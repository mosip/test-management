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5"/>
    <sheet state="visible" name="API_UI-Automation" sheetId="2" r:id="rId6"/>
    <sheet state="visible" name="Feature Health" sheetId="3" r:id="rId7"/>
    <sheet state="visible" name="Inji - Web - Test Cases" sheetId="4" r:id="rId8"/>
    <sheet state="visible" name="Known issues" sheetId="5" r:id="rId9"/>
    <sheet state="hidden" name="NL Android test cases" sheetId="6" r:id="rId10"/>
    <sheet state="hidden" name="NL ios test cases" sheetId="7" r:id="rId11"/>
    <sheet state="hidden" name="Bug tracker - Android" sheetId="8" r:id="rId12"/>
    <sheet state="hidden" name="Bug tracker - ios" sheetId="9" r:id="rId13"/>
    <sheet state="hidden" name="Release-bugs" sheetId="10" r:id="rId14"/>
    <sheet state="hidden" name="BLE testing-sharing flow" sheetId="11" r:id="rId15"/>
    <sheet state="hidden" name="BLE testing-independant feature" sheetId="12" r:id="rId16"/>
    <sheet state="hidden" name="Sheet3" sheetId="13" r:id="rId17"/>
  </sheets>
  <definedNames>
    <definedName hidden="1" localSheetId="3" name="_xlnm._FilterDatabase">'Inji - Web - Test Cases'!$J$1:$J$2674</definedName>
    <definedName hidden="1" localSheetId="4" name="_xlnm._FilterDatabase">'Known issues'!$C$1:$C$996</definedName>
    <definedName hidden="1" localSheetId="9"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<sst xmlns="http://schemas.openxmlformats.org/spreadsheetml/2006/main" count="12555" uniqueCount="4948">
  <si>
    <t>Details</t>
  </si>
  <si>
    <t>Stories 
Tested</t>
  </si>
  <si>
    <t>Test Cases</t>
  </si>
  <si>
    <t>Result</t>
  </si>
  <si>
    <t>INJI Web Testing</t>
  </si>
  <si>
    <t>Browser Versions Used For Testing</t>
  </si>
  <si>
    <t>Tested with Components</t>
  </si>
  <si>
    <t>Total</t>
  </si>
  <si>
    <t>With Stories</t>
  </si>
  <si>
    <t>w/o Stories</t>
  </si>
  <si>
    <t>Pass</t>
  </si>
  <si>
    <t>Fail</t>
  </si>
  <si>
    <t>Not tested</t>
  </si>
  <si>
    <t>Story</t>
  </si>
  <si>
    <t>Test Results</t>
  </si>
  <si>
    <t>Chrome: Version 142.0.7444.176</t>
  </si>
  <si>
    <t>Injistackqa/ui-test:0.16.x</t>
  </si>
  <si>
    <t>INJI Web</t>
  </si>
  <si>
    <t>Firefox: Version 145.0.2</t>
  </si>
  <si>
    <t>Injistackqa/inji-web:0.16.x</t>
  </si>
  <si>
    <t xml:space="preserve">Edge: Version 142.0.3595.94 </t>
  </si>
  <si>
    <t>Injistackqa/apitest-mimoto:0.21.x</t>
  </si>
  <si>
    <t>Safari : Version 16.6</t>
  </si>
  <si>
    <t>Injistackqa/mimoto:0.21.x</t>
  </si>
  <si>
    <t>INJI WEB UI Automation</t>
  </si>
  <si>
    <t>NA</t>
  </si>
  <si>
    <t>INJI Web UI</t>
  </si>
  <si>
    <t>INJI WEB API - Mimoto</t>
  </si>
  <si>
    <t>KI</t>
  </si>
  <si>
    <t>INJI Web API</t>
  </si>
  <si>
    <t>Feature list</t>
  </si>
  <si>
    <t>Inji Home page and User wallet</t>
  </si>
  <si>
    <t>Credential type</t>
  </si>
  <si>
    <t>Authenticate user credentials</t>
  </si>
  <si>
    <t>PDF Generation download and View</t>
  </si>
  <si>
    <t>Issuers and credentials support</t>
  </si>
  <si>
    <t>Multi languages support</t>
  </si>
  <si>
    <t>Responsive view of the web</t>
  </si>
  <si>
    <t>Access violations</t>
  </si>
  <si>
    <t>datashare</t>
  </si>
  <si>
    <t>OpenID4VP Implementation</t>
  </si>
  <si>
    <t>QR code</t>
  </si>
  <si>
    <t>Login flow and Setup passcode</t>
  </si>
  <si>
    <t>Key support for without Loginflow</t>
  </si>
  <si>
    <t>Label mapping</t>
  </si>
  <si>
    <t>SD-JWT</t>
  </si>
  <si>
    <t>Trust screen</t>
  </si>
  <si>
    <t>VC verification</t>
  </si>
  <si>
    <t>Refactor Key Generation</t>
  </si>
  <si>
    <t>SVG</t>
  </si>
  <si>
    <t>Claim 169</t>
  </si>
  <si>
    <t>Story id</t>
  </si>
  <si>
    <t>Story Title</t>
  </si>
  <si>
    <t>TestCase_No</t>
  </si>
  <si>
    <t>Functional</t>
  </si>
  <si>
    <t>Feature</t>
  </si>
  <si>
    <t>Prerequisite</t>
  </si>
  <si>
    <t>Scenario</t>
  </si>
  <si>
    <t>Steps</t>
  </si>
  <si>
    <t>Expected Result</t>
  </si>
  <si>
    <t>Pass/Fail</t>
  </si>
  <si>
    <t>Automated</t>
  </si>
  <si>
    <t>Automated In</t>
  </si>
  <si>
    <t>Automation Comments</t>
  </si>
  <si>
    <t>Bug ID</t>
  </si>
  <si>
    <t>Remarks</t>
  </si>
  <si>
    <t>Environments</t>
  </si>
  <si>
    <t>INJIWEB-36</t>
  </si>
  <si>
    <t>[UI] Inji Web - Launch Inji Web Home Page</t>
  </si>
  <si>
    <t>INJIWEB-36_TC_01</t>
  </si>
  <si>
    <t>1. The Inji Web Home Page should be available in the appropriate URL in the environment specified.
 2. Inji Web should have configured Header (logo) similar to Inji mobile, Footer (copyright information)
 3. Non-functional links of About MOSIP, Playstore and Appstore icons on the header.</t>
  </si>
  <si>
    <t>Open Inji web in diff browsers</t>
  </si>
  <si>
    <t>1. Open browser
 2. Browse Inji Web Home Page in all the supported browsers
 Ex: Chrome, Firefox, Edge,Safari etc.</t>
  </si>
  <si>
    <t>Inji web page should be opened in all the supported browsers without any errors</t>
  </si>
  <si>
    <t>PASS</t>
  </si>
  <si>
    <t>Yes</t>
  </si>
  <si>
    <t>UI</t>
  </si>
  <si>
    <t>edge browser is not supporting now need to do more resarch on it</t>
  </si>
  <si>
    <t>INJIWEB-36_TC_02</t>
  </si>
  <si>
    <t>Verify Header(Logo), footer(Copy right) info</t>
  </si>
  <si>
    <t>1. Open Inji Web Home Page
 2. Verify Header and footer information on home page
 in all the supported browsers
 Ex: Chrome, Firefox, Edge,Safari etc.</t>
  </si>
  <si>
    <t>Proper header and footer inforamtion similar to Inji mobile app</t>
  </si>
  <si>
    <t>INJIWEB-36_TC_04</t>
  </si>
  <si>
    <t>Open inji home page in multiple winodws</t>
  </si>
  <si>
    <t>1. Open inji web page
 2. Browse home page
 3. Open another browser window
 4. Browse inji home page</t>
  </si>
  <si>
    <t>Inji home page should be opened in all the windows with all the configured content</t>
  </si>
  <si>
    <t>INJIWEB-36_TC_05</t>
  </si>
  <si>
    <t>Open inji home page in multiple tabs</t>
  </si>
  <si>
    <t>1. Open browser
 2. Browse inji home page
 3. Open another browser tab
 4. Browse inji home page</t>
  </si>
  <si>
    <t>Inji home page should be opened in all the tabs with all the configured content</t>
  </si>
  <si>
    <t>INJIWEB-36_TC_06</t>
  </si>
  <si>
    <t>Open inji home page in multiple winodws of diff browsers</t>
  </si>
  <si>
    <t>1. Open browser
 2. Browse inji home page
 3. Open another browser window in diff browser
 4. Browse inji home page</t>
  </si>
  <si>
    <t>Diff browsers at the same time. so NA</t>
  </si>
  <si>
    <t>INJIWEB-36_TC_07</t>
  </si>
  <si>
    <t>Open inji home page in incognito window</t>
  </si>
  <si>
    <t>1. Open browser
 2. Browse inji home page
 3. Open another window in incognito mode
 4. Browse inji home page</t>
  </si>
  <si>
    <t>Inji home page should be opened incognito mode with all the configured content</t>
  </si>
  <si>
    <t>INJIWEB-36_TC_08</t>
  </si>
  <si>
    <t>Verify List of issuers on home page</t>
  </si>
  <si>
    <t>1. Open browser
 2. Browse inji home page
 3. Verify all the issuers as per configuration</t>
  </si>
  <si>
    <t>Home page should be displayed with all the configured issuers details</t>
  </si>
  <si>
    <t>INJIWEB-36_TC_09</t>
  </si>
  <si>
    <t>Serach issuer with complete name</t>
  </si>
  <si>
    <t>1. Open browser
 2. Browse inji home page
 3. Search for an issuer with complete name</t>
  </si>
  <si>
    <t>INJIWEB-36_TC_10</t>
  </si>
  <si>
    <t>Search Issuer with partial string</t>
  </si>
  <si>
    <t>1. Open browser
 2. Browse inji home page
 3. Search for an issuer with partial string</t>
  </si>
  <si>
    <t>Home page should be displayed with all the configured issuers details as per search string</t>
  </si>
  <si>
    <t>INJIWEB-36_TC_11</t>
  </si>
  <si>
    <t>Serach issuer with non-existing value</t>
  </si>
  <si>
    <t>1. Open browser
 2. Browse inji home page
 3. Search for an issuer with non-existing value</t>
  </si>
  <si>
    <t>Home page should not display any issuers</t>
  </si>
  <si>
    <t>INJIWEB-36_TC_12</t>
  </si>
  <si>
    <t>Verify click functionality on selected issuer</t>
  </si>
  <si>
    <t>1. Open browser
 2. Browse inji home page
 3. Click on Issuer</t>
  </si>
  <si>
    <t>Click button should be functional and should navigate to "Credential Type selection" screen</t>
  </si>
  <si>
    <t>INJIWEB-36_TC_13</t>
  </si>
  <si>
    <t>Verify error message when the server is not reachable</t>
  </si>
  <si>
    <t>1. Open browser
 2. Browse inji home page
 3. Make sure the site is down</t>
  </si>
  <si>
    <t>A red colour toaster should apper for 5 mins about the server is down and “The service is currently unavailable now. Please try again later.” at the footer</t>
  </si>
  <si>
    <t>Service stop required</t>
  </si>
  <si>
    <t>INJIWEB-36_TC_14</t>
  </si>
  <si>
    <t>Verify the error message when the list of issuers cannot be retrieved.</t>
  </si>
  <si>
    <t>“No issuers found. Please try again later.” should apper at the Issuers list section</t>
  </si>
  <si>
    <t>INJIWEB-37</t>
  </si>
  <si>
    <t>[UI ]Inji Web- Issuer selection in the “Home Page”</t>
  </si>
  <si>
    <t>INJIWEB-37_TC_01</t>
  </si>
  <si>
    <t>1. The “Issuer Selection” in the Home page should be updated with the list of issuers in a clickable tile.
 2. While loading the web page, an API call to issuers list should happen.
 3. The list of issuers should be taken from the mimoto issuers config.</t>
  </si>
  <si>
    <t>Verify that the issuer can be selected.</t>
  </si>
  <si>
    <t>Issuer can be selected and page navigated to "Credential Type selection" screen in the same tab</t>
  </si>
  <si>
    <t>INJIWEB-37_TC_02</t>
  </si>
  <si>
    <t>Verify that the issuer can be selected in diff browser windows</t>
  </si>
  <si>
    <t>1. Open browser
 2. Browse inji home page
 3. Open another browser window
 4. Browse inji home page
 5. Click on the issuer in both pages</t>
  </si>
  <si>
    <t>INJIWEB-37_TC_03</t>
  </si>
  <si>
    <t>Verify that the issuer can be selected in diff browser tabs</t>
  </si>
  <si>
    <t>1. Open browser
 2. Browse inji home page
 3. Open another browser tab
 4. Browse inji home page
 5. Click on Issuer in both tabs</t>
  </si>
  <si>
    <t>INJIWEB-37_TC_04</t>
  </si>
  <si>
    <t>Verify that the issuer can be selected in diff browser windows in diff browsers</t>
  </si>
  <si>
    <t>1. Open browser
 2. Browse inji home page
 3. Open another browser window in diff browser
 4. Browse inji home page
 5. Click on Issuer in both pages</t>
  </si>
  <si>
    <t>INJIWEB-37_TC_05</t>
  </si>
  <si>
    <t>Verify that the issuer can be selected in incongnito window</t>
  </si>
  <si>
    <t>1. Open browser
 2. Browse inji home page
 3. Open another window in incognito mode
 4. Browse inji home page
 5. Click on issuer in both normal and incongnito mode</t>
  </si>
  <si>
    <t>INJIWEB-37_TC_06</t>
  </si>
  <si>
    <t>Verify that the issuer can be selected after search operation</t>
  </si>
  <si>
    <t>1. Open browser
 2. Browse inji home page
 3. Search for an issuer with complete / partial name
 4. Click on issuer</t>
  </si>
  <si>
    <t>INJIWEB-37_TC_07</t>
  </si>
  <si>
    <t>Update mimoto issuers config and verify list updated as per config</t>
  </si>
  <si>
    <t>1. Update mimito config file for the specified branch
 2. Restart the required services
 3. Open the inji home page
 4. Verify the issuere list
 5. Select the new and previously available issuer</t>
  </si>
  <si>
    <t>Updated and previously available issuers should be displayed.
 And all the issuers can be selected</t>
  </si>
  <si>
    <t>Config change required</t>
  </si>
  <si>
    <t>INJIWEB-44</t>
  </si>
  <si>
    <t>[UI] Inji Web - Select the Credential type in the “Download Credential” page</t>
  </si>
  <si>
    <t>INJIWEB-44_TC_01</t>
  </si>
  <si>
    <t>1. The “Download Credential” page should be updated with the list of credentials(from the chosen issuer) in a clickable tile.
 2. The credential types should be taken from the well-known file published by the issuer/s.
 3. The endpoint required to prove ownership of the data (i.e. to authenticate the holder (ARC type)) should be in the well-known file for a given certificate type.</t>
  </si>
  <si>
    <t>Verify the crednetials are listed only for the selected issuer</t>
  </si>
  <si>
    <t>1. Open browser
 2. Browse inji home page
 3. Select the issuer</t>
  </si>
  <si>
    <t>Credentials should be displayed for the selected issuer only</t>
  </si>
  <si>
    <t>INJIWEB-44_TC_02</t>
  </si>
  <si>
    <t>Verify the "Credential download" diff browser windows</t>
  </si>
  <si>
    <t>1. Open browser
 2. Browse inji home page
 3. Select Issuer
 4. Select Credential
 3. Repeat the steps in another browser window</t>
  </si>
  <si>
    <t>Credentials should be displayed for the selected issuers and Authentication Portal should be opened for authentication</t>
  </si>
  <si>
    <t>INJIWEB-44_TC_03</t>
  </si>
  <si>
    <t>Verify the "Credential download" diff browser tabs</t>
  </si>
  <si>
    <t>1. Open browser
 2. Browse inji home page
 3. Select Issuer
 4. Select Credential
 3. Repeat the steps in another tab</t>
  </si>
  <si>
    <t>INJIWEB-44_TC_04</t>
  </si>
  <si>
    <t>Verify the "Credential download" in diff browser windows in diff browsers</t>
  </si>
  <si>
    <t>1. Open browser
 2. Browse inji home page
 3. Select Issuer
 4. Select Credential
 3. Repeat the steps in diff browsers</t>
  </si>
  <si>
    <t>INJIWEB-44_TC_05</t>
  </si>
  <si>
    <t>Verify the "Credential download" in incongnito window</t>
  </si>
  <si>
    <t>1. Open browser
 2. Browse inji home page
 3. Select Issuer
 4. Select Credential
 3. Repeat the steps in incognito</t>
  </si>
  <si>
    <t>INJIWEB-44_TC_06</t>
  </si>
  <si>
    <t>Verify that the "Credential donwload" can be selected after search operation</t>
  </si>
  <si>
    <t>1. Open browser
 2. Browse inji home page
 3. Select Issuer
 4. Search for a Credential.
 5. Click on credential</t>
  </si>
  <si>
    <t>Credentials should be displayed as per the search criteria Authentication Portal should be opened for authentication</t>
  </si>
  <si>
    <t>INJIWEB-44_TC_08</t>
  </si>
  <si>
    <t>Update Crednetials for an issuer in well known file and verify credential list</t>
  </si>
  <si>
    <t>1. Update credentials in a well nown file for a particular issuer
 2. Restart the necessary services
 3. Launch inji home page
 4. Select issuer
 5. Select the credential
 6. Verify the credential</t>
  </si>
  <si>
    <t>Credential should be apperered in the tile
 Crednetial can be downloaded and verified</t>
  </si>
  <si>
    <t>Verify the "Credential download" in chrome browser</t>
  </si>
  <si>
    <t>1. Open chrome browser
 2. Browse inji home page
 3. Select Issuer
 4. Select Credential
 3. provide valid details Download the credential</t>
  </si>
  <si>
    <t>Credentials shold be downloaded</t>
  </si>
  <si>
    <t>1. Open moziall browser
 2. Browse inji home page
 3. Select Issuer
 4. Select Credential
 3. provide valid details Download the credential</t>
  </si>
  <si>
    <t>1. Open edge browser
 2. Browse inji home page
 3. Select Issuer
 4. Select Credential
 3. provide valid details Download the credential</t>
  </si>
  <si>
    <t>1. Open safari browser
 2. Browse inji home page
 3. Select Issuer
 4. Select Credential
 3. provide valid details Download the credential</t>
  </si>
  <si>
    <t>INJIWEB-45</t>
  </si>
  <si>
    <t>[UI] Inji Web: Authentication Portal (eSignet) - Authenticate user credentials</t>
  </si>
  <si>
    <t>INJIWEB-45_TC_01</t>
  </si>
  <si>
    <t>Verify all the mandatory fields have * mark
 Note: if all the fields are mandatory, then * is not mandatory on all the fields</t>
  </si>
  <si>
    <t>1. Update credentials in a well nown file for a particular issuer
 2. Restart the necessary services
 3. Launch inji home page
 4. Select issuer
 5. Select the credential</t>
  </si>
  <si>
    <t>All the mandatory fileds should have * symbol
 If all the fileds are mandatory * not required</t>
  </si>
  <si>
    <t>there is no way to understand if all filds are manadatory or not</t>
  </si>
  <si>
    <t>INJIWEB-45_TC_02</t>
  </si>
  <si>
    <t>Verify Login button enabled if all the mandatory fileds are not entered</t>
  </si>
  <si>
    <t>3. provide valid details Download the credential</t>
  </si>
  <si>
    <t>Login button should not be enabled untill user enters all the mandatory fields</t>
  </si>
  <si>
    <t>INJIWEB-45_TC_03</t>
  </si>
  <si>
    <t>Verify all the mandatory fields have * mark for KBI authentication
 Note: if all the fields are mandatory, then * is not mandatory on all the fields</t>
  </si>
  <si>
    <t>1. Select credential to download
 2. Select KBI based authentication
 3. Verify all the mandatory fields have *</t>
  </si>
  <si>
    <t>All the mandatory fileds should have * symbol</t>
  </si>
  <si>
    <t>INJIWEB-45_TC_04</t>
  </si>
  <si>
    <t>Verify with all valid details</t>
  </si>
  <si>
    <t>1. Select credential to download
 2. Select KBI based authentication
 3. Verify with valid data</t>
  </si>
  <si>
    <t>Authentication should be passed and
 Issuer’s “Authentication Portal” page should hold the metadata that will be utilised to generate the pdf certificate.</t>
  </si>
  <si>
    <t>INJIWEB-45_TC_05</t>
  </si>
  <si>
    <t>Verify with invalid details</t>
  </si>
  <si>
    <t>1. Select credential to download
 2. Select KBI based authentication
 3. Verify with invalid data</t>
  </si>
  <si>
    <t>Authentication should be failed with proper error message: "Login Failed. Wrong details entered. Please enter correct details and login"</t>
  </si>
  <si>
    <t>INJIWEB-45_TC_06</t>
  </si>
  <si>
    <t>Verify with all mandatory fileds</t>
  </si>
  <si>
    <t>1. Select credential to download
 2. Select KBI based authentication</t>
  </si>
  <si>
    <t>Login button should be enabled</t>
  </si>
  <si>
    <t>INJIWEB-45_TC_07</t>
  </si>
  <si>
    <t>Verify Login button without entering all the mandatory fileds</t>
  </si>
  <si>
    <t>1. Select credential to download
 2. Select KBI based authentication
 3. Do not enter all mandatory fields</t>
  </si>
  <si>
    <t>INJIWEB-45_TC_08</t>
  </si>
  <si>
    <t>Verify proper labels on data field</t>
  </si>
  <si>
    <t>1. Select credential to download
 2. Select KBI based authentication
 3. Verify labels on the fields</t>
  </si>
  <si>
    <t>Labels should have proper info and with proper alignmnet</t>
  </si>
  <si>
    <t>INJIWEB-45_TC_09</t>
  </si>
  <si>
    <t>Verify text boxes accepting valid data</t>
  </si>
  <si>
    <t>1. Select credential to download
 2. Select KBI based authentication
 3. Verify text boxes accepting data from keyboard</t>
  </si>
  <si>
    <t>text boxes should have proper labels , aligned properly and should accept data from keyboard</t>
  </si>
  <si>
    <t>INJIWEB-45_TC_10</t>
  </si>
  <si>
    <t>Remove KBI field from config and try to authenticate for existing record</t>
  </si>
  <si>
    <t>1. Make sure there is credntial record available
 2. Update KBI fields config from esignet-default.properties
 3. Try to authenticate</t>
  </si>
  <si>
    <t>User should able to download the credentials</t>
  </si>
  <si>
    <t>INJIWEB-45_TC_11</t>
  </si>
  <si>
    <t>Remove KBI field from config and try to authenticate for new record</t>
  </si>
  <si>
    <t>1. Update KBI fields config from esignet-default.properties
 by removing a field
 2. Add a new credential record
 3. Try to authenticate</t>
  </si>
  <si>
    <r>
      <rPr>
        <rFont val="Calibri"/>
        <color rgb="FF1155CC"/>
        <sz val="11.0"/>
        <u/>
      </rPr>
      <t>https://mosip.atlassian.net/browse/INJIWEB-130</t>
    </r>
  </si>
  <si>
    <t>INJIWEB-45_TC_12</t>
  </si>
  <si>
    <t>Add KBI field from config and try to authenticate for alredy existing record</t>
  </si>
  <si>
    <t>1. Make sure there is credntial record available
 2. Update KBI fields config from esignet-default.properties
 by adding a new field
 3. Try to authenticate</t>
  </si>
  <si>
    <r>
      <rPr>
        <rFont val="Calibri"/>
        <color rgb="FF1155CC"/>
        <sz val="11.0"/>
        <u/>
      </rPr>
      <t>https://mosip.atlassian.net/browse/INJIWEB-130</t>
    </r>
  </si>
  <si>
    <t>INJIWEB-45_TC_13</t>
  </si>
  <si>
    <t>Add KBI field from config and try to authenticate for new record</t>
  </si>
  <si>
    <t>1. Update KBI fields config from esignet-default.properties
 by adding a new field
 2. Add a new credential record
 3. Try to authenticate</t>
  </si>
  <si>
    <r>
      <rPr>
        <rFont val="Calibri"/>
        <color rgb="FF1155CC"/>
        <sz val="11.0"/>
        <u/>
      </rPr>
      <t>https://mosip.atlassian.net/browse/INJIWEB-130</t>
    </r>
  </si>
  <si>
    <t>INJIWEB-45_TC_14</t>
  </si>
  <si>
    <t>Wait for somtime at KBI authentication page and verify for timeout message</t>
  </si>
  <si>
    <t>1. Select credetnials and wait for 2 to 3 min
 2. Check for timeout message</t>
  </si>
  <si>
    <t>User should get the timeout message</t>
  </si>
  <si>
    <r>
      <rPr>
        <rFont val="Calibri"/>
        <color rgb="FF1155CC"/>
        <sz val="11.0"/>
        <u/>
      </rPr>
      <t>https://mosip.atlassian.net/browse/INJIWEB-125</t>
    </r>
  </si>
  <si>
    <t>INJIWEB-45_TC_15</t>
  </si>
  <si>
    <t>Verify warning message like "Please wait a moment! We're converting your verifiable credentials to PDF" while downloading the credentials</t>
  </si>
  <si>
    <t>1. Select credentials to download
 2. Enter valid credentials</t>
  </si>
  <si>
    <t>User should get the warning message like "not to refresh/press back button"</t>
  </si>
  <si>
    <r>
      <rPr>
        <rFont val="Calibri"/>
        <color rgb="FF1155CC"/>
        <sz val="11.0"/>
        <u/>
      </rPr>
      <t>https://mosip.atlassian.net/browse/ES-1215</t>
    </r>
  </si>
  <si>
    <t>INJIWEB-45_TC_16</t>
  </si>
  <si>
    <r>
      <rPr>
        <rFont val="Calibri"/>
        <color rgb="FF1155CC"/>
        <sz val="11.0"/>
        <u/>
      </rPr>
      <t>https://mosip.atlassian.net/browse/INJIWEB-130</t>
    </r>
  </si>
  <si>
    <t>INJIWEB-45_TC_17</t>
  </si>
  <si>
    <r>
      <rPr>
        <rFont val="Calibri"/>
        <color rgb="FF1155CC"/>
        <sz val="11.0"/>
        <u/>
      </rPr>
      <t>https://mosip.atlassian.net/browse/INJIWEB-130</t>
    </r>
  </si>
  <si>
    <t>INJIWEB-45_TC_18</t>
  </si>
  <si>
    <t>INJIWEB-45_TC_19</t>
  </si>
  <si>
    <t>Verify warning message like "not to refresh/press back button" while downloading the credentials</t>
  </si>
  <si>
    <t>INJIWEB-47</t>
  </si>
  <si>
    <t>PDF is generated and Auto-downloaded to the computer/tablet/smartphone</t>
  </si>
  <si>
    <t>INJIWEB-47_TC_01</t>
  </si>
  <si>
    <t>1. The JSON response from the Authentication portal should be available to the Inji Web
 2. The user should have already successfully authenticated with the “Authentication Portal”</t>
  </si>
  <si>
    <t>Verify PDF generation after successful authentication</t>
  </si>
  <si>
    <t>1. Select credential to download
 2. Authenticate with valid details</t>
  </si>
  <si>
    <t>PDF should be generated and auto downloaded</t>
  </si>
  <si>
    <t>INJIWEB-47_TC_02</t>
  </si>
  <si>
    <t>Verify do not “Click Back” button or “ Refresh” the page messages after authentication</t>
  </si>
  <si>
    <t>User should get do not “Click Back” button or “ Refresh” the page message while PDF is getting downloaded</t>
  </si>
  <si>
    <t>INJIWEB-47_TC_03</t>
  </si>
  <si>
    <t>Verify PDF auto download</t>
  </si>
  <si>
    <t>PDF should be auto downloaded</t>
  </si>
  <si>
    <t>INJIWEB-47_TC_04</t>
  </si>
  <si>
    <t>Verify application asking for download path for auto generated PDF</t>
  </si>
  <si>
    <t>Verify application asking for download path to save PDF file</t>
  </si>
  <si>
    <t>INJIWEB-47_TC_05</t>
  </si>
  <si>
    <t>Open the donwloaded PDF</t>
  </si>
  <si>
    <t>1. Select credential to download
 2. Authenticate with valid details
 3. Open the downloaded PDF</t>
  </si>
  <si>
    <t>PDF should be readble and should contain the details as per configuration</t>
  </si>
  <si>
    <r>
      <rPr>
        <rFont val="Calibri"/>
        <color rgb="FF1155CC"/>
        <sz val="11.0"/>
        <u/>
      </rPr>
      <t>https://mosip.atlassian.net/browse/INJIWEB-131</t>
    </r>
  </si>
  <si>
    <t>INJIWEB-47_TC_06</t>
  </si>
  <si>
    <t>Verify Key Fields in the PDF certificate</t>
  </si>
  <si>
    <t>1. Select credential to download
 2. Authenticate with valid details
 3. Open the downloaded PDF
 4. Verify fields in PDF file</t>
  </si>
  <si>
    <t>PDF should be readble and should contain the details as per configuration..
 Name
 Policy Name
 Policy Expires On
 Policy Issued On
 Policy Number
 Phone Number
 Date of Birth
 Gender
 Benefits
 Email Id
 Logo
 QR Code
 Placeholder for Photo</t>
  </si>
  <si>
    <r>
      <rPr>
        <rFont val="Calibri"/>
        <color rgb="FF1155CC"/>
        <sz val="11.0"/>
        <u/>
      </rPr>
      <t>https://mosip.atlassian.net/browse/INJIWEB-131</t>
    </r>
  </si>
  <si>
    <t>INJIWEB-48</t>
  </si>
  <si>
    <t>[UI] Inji Web - Success/Failure notifier after downloading the VC PDF</t>
  </si>
  <si>
    <t>INJIWEB-48_TC_01</t>
  </si>
  <si>
    <t>1. A credential was immediately earlier/earlier downloaded in the same tab
 2. The Inji Download credential Page or its latest updated version should be available in the appropriate URL (&lt;URL link to be updated here&gt;)</t>
  </si>
  <si>
    <t>Verify success message after VC downloaded</t>
  </si>
  <si>
    <t>Application should display success message after VC download</t>
  </si>
  <si>
    <t>INJIWEB-48_TC_03</t>
  </si>
  <si>
    <t>Verify Back button on the inji downloaded page</t>
  </si>
  <si>
    <t>Application should display back button on the same tab after successful VC download</t>
  </si>
  <si>
    <t>INJIWEB-48_TC_04</t>
  </si>
  <si>
    <t>Verify back button functionality after download operatation</t>
  </si>
  <si>
    <t>1. Select credential to download
 2. Authenticate with valid details
 3 Verify back button after VC download</t>
  </si>
  <si>
    <t>All the credentials should displayed</t>
  </si>
  <si>
    <t>INJIWEB-48_TC_05</t>
  </si>
  <si>
    <t>Verify error message if internet bandwidth is slow and unable to download PDF</t>
  </si>
  <si>
    <t>1. Select credential to download
 2. Authenticate with valid details
 3 Verify VC download on low bandwidth</t>
  </si>
  <si>
    <t>Proper error message should be displayed if the internet bandwidth is slow, while downloading VC</t>
  </si>
  <si>
    <t>INJIWEB-49</t>
  </si>
  <si>
    <t>[BE]: API to retrieve issuers list</t>
  </si>
  <si>
    <t>INJIWEB-49_TC_01</t>
  </si>
  <si>
    <t>API</t>
  </si>
  <si>
    <t>1. Mimoto to be onboarded as an OIDC client in the environment.
 2. mimoto-issuers config json should have all the issuers listed with the auth end point.</t>
  </si>
  <si>
    <t>Get the list of issuers from the issuers end point</t>
  </si>
  <si>
    <t>1. Execute GET method to get all the issuers list
 End Point : https://{url}/residentmobileapp
 /issuers</t>
  </si>
  <si>
    <t>All the issuers should be retrived with the GET request</t>
  </si>
  <si>
    <t>INJIWEB-49_TC_02</t>
  </si>
  <si>
    <t>Update the issuers list in mimoto-issuers config json and execute GET issuers</t>
  </si>
  <si>
    <t>1. Update the issuers in mimoto-issuers config json
 2.Restart the necessary services
 3. Execute GET method to get all the issuers list</t>
  </si>
  <si>
    <t>All the issuers / Updated issuers should be retrived with the GET request</t>
  </si>
  <si>
    <t>INJIWEB-49_TC_04</t>
  </si>
  <si>
    <t>Verify the error message if endpoint is unable to retrieve data within the predefined time.</t>
  </si>
  <si>
    <t>1. Execute GET method to get all the issuers list
 2 Make sure the time taken for response is more</t>
  </si>
  <si>
    <t>End point should handle the delay in response and hang/crash should not be happen</t>
  </si>
  <si>
    <t>INJIWEB-49_TC_05</t>
  </si>
  <si>
    <t>Verify error messages and logging messages are appropriate with the API</t>
  </si>
  <si>
    <t>1. Execute GET method to get all the issuers list
 2 Verify all error messages/logging messages for failure cases</t>
  </si>
  <si>
    <t>The response should include an error code and message for logging purposes, as well as an appropriate status code.</t>
  </si>
  <si>
    <t>INJIWEB-49_TC_06</t>
  </si>
  <si>
    <t>Verify GET method o/p if the issuers configuration is empty</t>
  </si>
  <si>
    <t>1. Execute GET method to get the issuers list</t>
  </si>
  <si>
    <t>GET methos should return the status code as 200 but the response should have a message that there are no list of issuers.</t>
  </si>
  <si>
    <t>INJIWEB-49_TC_07</t>
  </si>
  <si>
    <t>Verify error messages if the end point unbale to retreive the data</t>
  </si>
  <si>
    <t>Proper error message should be displayed, if the end point not able to retrieve the data</t>
  </si>
  <si>
    <t>INJIWEB-50</t>
  </si>
  <si>
    <t>[BE]: API to retrieve credential types</t>
  </si>
  <si>
    <t>INJIWEB-50_TC_01</t>
  </si>
  <si>
    <t>1. Mimoto to be onboarded as an OIDC client in the environment.
 2. mimoto-issuers config json should have all the issuers listed with the auth end point.
 3. mimoto-issuers config json should have the well-known endpoint configured for the issuer.</t>
  </si>
  <si>
    <t>Get the list credential types for an issuer</t>
  </si>
  <si>
    <t>2. Execute GET method to get all the credential types of a particular issuer from the credential end point(Pass the issuer as path parameter)
 End Point: https://api.mosip.io/residentmobileapp
 /issuers/{issuer-id}/credentialTypes</t>
  </si>
  <si>
    <t>All the all the credential types of a particular issuer should be retrieved with status code 200.</t>
  </si>
  <si>
    <t>INJIWEB-50_TC_02</t>
  </si>
  <si>
    <t>try to Get the list credential types for an issuer with invalid credential</t>
  </si>
  <si>
    <t>with invalid details</t>
  </si>
  <si>
    <t>Authentication should fail with 400 error.</t>
  </si>
  <si>
    <t>INJIWEB-50_TC_03</t>
  </si>
  <si>
    <t>Get the list credential types for diff issuer</t>
  </si>
  <si>
    <t>2. Execute GET method to get all the credential types of a particular issuer from the credential end point(Pass the issuer as path parameter)</t>
  </si>
  <si>
    <t>INJIWEB-50_TC_04</t>
  </si>
  <si>
    <t>Update credentials for a particular issuer and Execute Get request for credential types</t>
  </si>
  <si>
    <t>1. Update the credential details for a particular issuer
 2. Restart the neccessary services
 3. Authenticate with Mimoto client details
 4. Execute GET method to get all the credential types of a particular issuer from the credential end point(Pass the issuer as path parameter)</t>
  </si>
  <si>
    <t>All the all updated details for a particular issuer should be retrieved with status code 200.</t>
  </si>
  <si>
    <t>INJIWEB-50_TC_05</t>
  </si>
  <si>
    <t>Verify timeout response for GET request on credetial type end point</t>
  </si>
  <si>
    <t>2. Execute GET method to get all the credential types of a particular issuer from the credential end point(Pass the issuer as path parameter)
 3. Make sure request failed to retreive the data in predefined time frame</t>
  </si>
  <si>
    <t>INJIWEB-50_TC_06</t>
  </si>
  <si>
    <t>2. Make sure to fail GET request method while retrieving credential types of a particular issuer from the credential end point</t>
  </si>
  <si>
    <t>INJIWEB-50_TC_07</t>
  </si>
  <si>
    <t>Verify the response when API request failed on particular end point</t>
  </si>
  <si>
    <t>2. Execute GET method to get all the credential types of a particular issuer from the credential end point and Pass the invalid issuer as path parameter</t>
  </si>
  <si>
    <t>Appropriate error message should be thrown by the end point</t>
  </si>
  <si>
    <t>INJIWEB-50_TC_08</t>
  </si>
  <si>
    <t>Verify GET method o/p if the credential type configuration is empty</t>
  </si>
  <si>
    <t>2. Execute GET method to get all the credential types of a particular issuer from the credential end point and Pass the valid issuer as path parameter</t>
  </si>
  <si>
    <t>API should return status code as 200 but the response should have a message that there are no list of credential types.</t>
  </si>
  <si>
    <t>INJIWEB-51</t>
  </si>
  <si>
    <t>[BE]: API to download VC as PDF</t>
  </si>
  <si>
    <t>INJIWEB-51_TC_01</t>
  </si>
  <si>
    <t>Download VC</t>
  </si>
  <si>
    <t>1. Mimoto to be onboarded as an OIDC client in the environment.
 2. mimoto-issuers config json should have all the issuers listed with the auth end point.
 3 mimoto-issuers config json should have the well-known endpoint configured for the issuer.
 4 OTP/KBI authentication to be integrated.</t>
  </si>
  <si>
    <t>Execute GET request on download VC end point</t>
  </si>
  <si>
    <t>1. Authenticate at mimoto get-token endpoint
 2. Execute GET method on end point
 End Point: https://api.mosip.io/residentmobileapp
 /issuers/{issuer-id}/credentials/{credentialType}/download</t>
  </si>
  <si>
    <t>VC should be downloaded as PDF</t>
  </si>
  <si>
    <t>INJIWEB-51_TC_02</t>
  </si>
  <si>
    <t>Execute GET request on download VC end point with invalid token</t>
  </si>
  <si>
    <t>1. Authenticate at mimoto get-token endpoint
 2. Execute GET method on end point with invalid token say expired or invalid details
 End point: https://api.mosip.io/residentmobileapp /issuers/{issuer-id}/credentials/{credentialType}/downlo</t>
  </si>
  <si>
    <t>VC download should fail with Error: 401 authentication failure message</t>
  </si>
  <si>
    <t>INJIWEB-51_TC_03</t>
  </si>
  <si>
    <t>Verify timeout response for GET request on download end point</t>
  </si>
  <si>
    <t>1. Authenticate at mimoto get-token endpoint
 2. Execute GET method on end point with valid token
 3. Make sure that the resonse is slow from the end point
 End point: https://api.mosip.io/residentmobileapp /issuers/{issuer-id}/credentials/{credentialType}/downlo</t>
  </si>
  <si>
    <t>INJIWEB-51_TC_04</t>
  </si>
  <si>
    <t>1. Authenticate at mimoto get-token endpoint
 2. Execute GET method on end point with invalid details
 End point: https://api.mosip.io/residentmobileapp /issuers/{issuer-id}/credentials/{credentialType}/downlo</t>
  </si>
  <si>
    <t>Appropriate error message and code should be thrown by the API</t>
  </si>
  <si>
    <t>INJIWEB-51_TC_05</t>
  </si>
  <si>
    <t>Verify error message if the end point unable to send PDF file</t>
  </si>
  <si>
    <t>1. Authenticate at mimoto get-token endpoint
 2. Execute GET method on end point with invalid credentials details
 End point: https://api.mosip.io/residentmobileapp /issuers/{issuer-id}/credentials/{credentialType}/downlo</t>
  </si>
  <si>
    <t>INJIWEB-291</t>
  </si>
  <si>
    <t>Open inji web portal
 Select an issuer
 Select Credential type
 Authenticate with valid details
 Open the downloaded VC card
 Also, try to translate the page in before to another language and perform the steps from 1 to 5</t>
  </si>
  <si>
    <t>All the messages should be in the language that we selected.</t>
  </si>
  <si>
    <r>
      <rPr>
        <rFont val="Calibri"/>
        <color rgb="FF1155CC"/>
        <sz val="11.0"/>
        <u/>
      </rPr>
      <t>https://mosip.atlassian.net/browse/INJIWEB-291</t>
    </r>
  </si>
  <si>
    <t>INJIWEB-290</t>
  </si>
  <si>
    <t>Verify QR code with QR scanner</t>
  </si>
  <si>
    <t>1. Open inji web portal
 2. Select an issuer
 3. Select Credntial type
 4. Authenticate with valid details
 5. Open the downloaded VC card
 6. Verify the QR code using QR scanner</t>
  </si>
  <si>
    <t>QR code should provide the details related to VC</t>
  </si>
  <si>
    <t>Scan function required</t>
  </si>
  <si>
    <r>
      <rPr>
        <rFont val="Calibri"/>
        <color rgb="FF1155CC"/>
        <sz val="11.0"/>
        <u/>
      </rPr>
      <t>https://mosip.atlassian.net/browse/INJIWEB-290</t>
    </r>
  </si>
  <si>
    <t>INJIWEB-288</t>
  </si>
  <si>
    <t>Open inji web portal
 Select an issuer
 Select Credntial type</t>
  </si>
  <si>
    <t>Date format should be the same in all the browsers.</t>
  </si>
  <si>
    <r>
      <rPr>
        <rFont val="Calibri"/>
        <color rgb="FF1155CC"/>
        <sz val="11.0"/>
        <u/>
      </rPr>
      <t>https://mosip.atlassian.net/browse/ES-1213</t>
    </r>
  </si>
  <si>
    <t>INJIWEB-243</t>
  </si>
  <si>
    <t>Open the inji web portal
 Observe the search bar
 Select the issuer
 Observe search bar</t>
  </si>
  <si>
    <t>Search bar should not contain dropdown buttons</t>
  </si>
  <si>
    <r>
      <rPr>
        <rFont val="Calibri"/>
        <color rgb="FF1155CC"/>
        <sz val="11.0"/>
        <u/>
      </rPr>
      <t>https://mosip.atlassian.net/browse/INJIWEB-243</t>
    </r>
  </si>
  <si>
    <t>INJIWEB-180</t>
  </si>
  <si>
    <t>Errror Handling</t>
  </si>
  <si>
    <t>Verify the error message when the injiweb site is down</t>
  </si>
  <si>
    <t>1. Make the inji-web service down
 2. Open the inji web site</t>
  </si>
  <si>
    <t>503 gateway error message should be displayed</t>
  </si>
  <si>
    <r>
      <rPr>
        <rFont val="Calibri"/>
        <color rgb="FF1155CC"/>
        <sz val="11.0"/>
        <u/>
      </rPr>
      <t>https://mosip.atlassian.net/browse/INJIWEB-180</t>
    </r>
  </si>
  <si>
    <t>INJIWEB-132</t>
  </si>
  <si>
    <t>Verify the data alignement in the VC PDF</t>
  </si>
  <si>
    <t>1.Launch inji web portal
 2. Select issuer
 3. Select credential
 4. Enter Valid credentials
 5. Download VC and open PDF file</t>
  </si>
  <si>
    <t>Data alignment in VC is not proper</t>
  </si>
  <si>
    <t>Alignment issue</t>
  </si>
  <si>
    <r>
      <rPr>
        <rFont val="Calibri"/>
        <color rgb="FF1155CC"/>
        <sz val="11.0"/>
        <u/>
      </rPr>
      <t>https://mosip.atlassian.net/browse/INJIWEB-132</t>
    </r>
  </si>
  <si>
    <t>INJIWEB-128</t>
  </si>
  <si>
    <t>Verify do not Click Back / refresh back button on esignet page</t>
  </si>
  <si>
    <t>1. Launch inji web portal
 2. Select issuer
 3. Select credential
 4. Enter Valid credentials</t>
  </si>
  <si>
    <t>After entering the data, user should get "do not Click Back” button or “ Refresh” the page message</t>
  </si>
  <si>
    <t>Enhancement Bug, Not implemented</t>
  </si>
  <si>
    <r>
      <rPr>
        <rFont val="Calibri"/>
        <color rgb="FF1155CC"/>
        <sz val="11.0"/>
        <u/>
      </rPr>
      <t>https://mosip.atlassian.net/browse/ES-1215</t>
    </r>
  </si>
  <si>
    <t>INJIWEB-122</t>
  </si>
  <si>
    <t>Verify the error message in injiweb portal</t>
  </si>
  <si>
    <t>Launch inji web portal
 Select issuer
 Select credential
 Enter invalid details and click on login</t>
  </si>
  <si>
    <t>Error message is not user readble format</t>
  </si>
  <si>
    <t>INJIWEB-247</t>
  </si>
  <si>
    <t>Localization support</t>
  </si>
  <si>
    <t>INJIWEB-247_TC_01</t>
  </si>
  <si>
    <t>Verify language selection option on home page</t>
  </si>
  <si>
    <t>1. Open inji web portal
 2. Verify language selection at the right corner</t>
  </si>
  <si>
    <t>Lang selection option should be present in the right corner</t>
  </si>
  <si>
    <t>INJIWEB-247_TC_02</t>
  </si>
  <si>
    <t>Verify all the configured language options</t>
  </si>
  <si>
    <t>1. Open inji web portal
 2. Verify language
 Selection at the right corner
 3. Click on the dropdown option for lang selection</t>
  </si>
  <si>
    <t>All the configured langs should be shown</t>
  </si>
  <si>
    <t>INJIWEB-247_TC_03</t>
  </si>
  <si>
    <t>Verify all the strings are as per the selected lang at the home page</t>
  </si>
  <si>
    <t>1. Open inji web portal
 2. Click on the dropdown option of lang selection
 3. Select arabic</t>
  </si>
  <si>
    <t>All the the options on the home screen should appear in the selected lang</t>
  </si>
  <si>
    <t>INJIWEB-247_TC_04</t>
  </si>
  <si>
    <t>Verify all the strings as per RTL for arabic at the homepage</t>
  </si>
  <si>
    <t>All the the options on the home screen should appear in RTL format</t>
  </si>
  <si>
    <t>INJIWEB-247_TC_05</t>
  </si>
  <si>
    <t>Verify search option in all the configured lang for issuers</t>
  </si>
  <si>
    <t>1. Open inji web portal
 2. Click on the dropdown option for lang selection
 3. Enter text and verify search option for issuers</t>
  </si>
  <si>
    <t>Search option should work for all the langs</t>
  </si>
  <si>
    <t>INJIWEB-247_TC_06</t>
  </si>
  <si>
    <t>Verify the credential details are appered in selected lang</t>
  </si>
  <si>
    <t>1. Open inji web portal
 2. Click on the dropdown option for lang selection
 3. Select a lang
 4. Click on an issuer to select credential</t>
  </si>
  <si>
    <t>In credential page also all the details should be appered in selected lang</t>
  </si>
  <si>
    <t>INJIWEB-247_TC_07</t>
  </si>
  <si>
    <t>Switch lang at credential details page</t>
  </si>
  <si>
    <t>1. Open inji web portal
 2. Click on the dropdown option for lang selection
 3. Select a lang
 4. Select any issuer
 5. Change the lang at credentials selction page</t>
  </si>
  <si>
    <t>all the strings should be appereared in new selection lang</t>
  </si>
  <si>
    <t>INJIWEB-247_TC_08</t>
  </si>
  <si>
    <t>Verify search operation at credentials lang page</t>
  </si>
  <si>
    <t>1. Open inji web portal
 2. Click on the dropdown option for lang selection
 3. Select a lang
 4. Select any issuer
 5. Serach for a particular credentials in selected lang</t>
  </si>
  <si>
    <t>Serach for credentials should work in the langs</t>
  </si>
  <si>
    <t>automated but cridentials are not changing as per the lang</t>
  </si>
  <si>
    <t>INJIWEB-247_TC_09</t>
  </si>
  <si>
    <t>Verify search option for arabic for credentials</t>
  </si>
  <si>
    <t>1. Open inji web portal
 2. Click on the dropdown option for lang selection
 3. Select lang as arabic
 4. Select any issuer
 5. Serach for a particular credentials in ara lang</t>
  </si>
  <si>
    <t>Letters should accepted in RTL way</t>
  </si>
  <si>
    <t>INJIWEB-247_TC_10</t>
  </si>
  <si>
    <t>Verify authentication window in all the langs</t>
  </si>
  <si>
    <t>1. Open inji web portal
 2. Click on the dropdown option for lang selection
 3. Select a lang
 4. Select any issuer
 5. Select a credential type</t>
  </si>
  <si>
    <t>All the options in authentication window should appear in the selected lang</t>
  </si>
  <si>
    <t>INJIWEB-247_TC_11</t>
  </si>
  <si>
    <t>Verify switching lang at authentication window</t>
  </si>
  <si>
    <t>1. Open inji web portal
 2. Click on the dropdown option for lang selection
 3. Select a lang
 4. Select any issuer
 5. Change the lang at the authentication page</t>
  </si>
  <si>
    <t>All the options in credential window should appear in the selected lang</t>
  </si>
  <si>
    <t>INJIWEB-247_TC_13</t>
  </si>
  <si>
    <t>Verify lang changes are getting reflected from mimoto-issuers-config.json file</t>
  </si>
  <si>
    <t>1. Make changes in mimoto-issuers-config.json file(Ex: display properties)
 2. Restart the mimoto service
 3. Open and navigate to all the pages in inji-web portal</t>
  </si>
  <si>
    <t>All the options for credentials and issuers should be reflected as per the config file</t>
  </si>
  <si>
    <t>INJIWEB-247_TC_14</t>
  </si>
  <si>
    <t>Verify without configuring lang option for issuer/credentials in mimoto-issuers-config.json file</t>
  </si>
  <si>
    <t>1. Make changes in mimoto-issuers-config.json file(Ex: dislay properties)
 2. Restart the mimoto service
 3. Open and navigate to all the pages in inji-web portal</t>
  </si>
  <si>
    <t>If lang option is not configured , all options should appear in eng</t>
  </si>
  <si>
    <t>Navigate to previous page and verify the lang selection persist</t>
  </si>
  <si>
    <t>1. Open injiweb portal
 2. Select a lang
 3. Select issuers and navigate to previous page
 4. Repeat the same at diff pages
 5. Verify the lang selection persit</t>
  </si>
  <si>
    <t>After Navigating to previous screen, all strings should be displayed in the slected lang</t>
  </si>
  <si>
    <t>Switch the lang at next screen and verify the previous screen also updated as per the next screen</t>
  </si>
  <si>
    <t>1. Open injiweb portal
 2. Select a lang
 3. Select issuers
 4. Switch to another lang
 4. Navigate to previous screen
 5. Verify the lang selection</t>
  </si>
  <si>
    <t>After Navigating to previous screen, all strings should be displayed in the new lang selected at next screen</t>
  </si>
  <si>
    <t>INJIWEB-257</t>
  </si>
  <si>
    <t>Theme customization for UI for the integrators/country implementation</t>
  </si>
  <si>
    <t>INJIWEB-257_TC_01</t>
  </si>
  <si>
    <t>Theme update</t>
  </si>
  <si>
    <t>Verify theme config changes reflected in web portal</t>
  </si>
  <si>
    <t>1. Change the theme in config map property
 Ex: DEFAULT_THEME= purple_theme
 DEFAULT_TITLE=INJIWEBPUR
 2. Restart the inji-web pod service</t>
  </si>
  <si>
    <t>New theme config should be reflected in all the pages for inji-web</t>
  </si>
  <si>
    <t>INJIWEB-257_TC_02</t>
  </si>
  <si>
    <t>Verify themes after reverting the changes</t>
  </si>
  <si>
    <t>1. Update with non supported config
 2. Restart the inji-web pod service</t>
  </si>
  <si>
    <t>Fall back to deafult theme</t>
  </si>
  <si>
    <t>1. Remove the new config changes from the config map
 2. Restart the inji-web pod service</t>
  </si>
  <si>
    <t>Default theme should be reflected in all the pages for inji-web</t>
  </si>
  <si>
    <t>INJIWEB-278</t>
  </si>
  <si>
    <t>PDF layout change</t>
  </si>
  <si>
    <t>INJIWEB-278_TC_01</t>
  </si>
  <si>
    <t>Verifying the card details</t>
  </si>
  <si>
    <t>1. User searches and selects an issuer
 2. The credential type is selected
 3. Provide details for authentication
 4. On successful authentication, VC is downloaded
 5. View the card.</t>
  </si>
  <si>
    <t>The card should be displayed with all required details like:
 Name, Gender, DOB, ID Type, Status, UIN, Generated on, Phone number, email, address and QR code.</t>
  </si>
  <si>
    <t>INJIWEB-278_TC_02</t>
  </si>
  <si>
    <t>Compare the card with the card generted on INJI Mobile.</t>
  </si>
  <si>
    <t>1. Donwnload the Card through INJI Web and INJI Mobile.
 2. Compare the card</t>
  </si>
  <si>
    <t>Both the cards should have the same template and format.</t>
  </si>
  <si>
    <t>Two applications should be involved, Mobile and web at a time</t>
  </si>
  <si>
    <t>INJIWEB-278_TC_03</t>
  </si>
  <si>
    <t>Check the QR Code</t>
  </si>
  <si>
    <t>1. Download the card through INJI Web.
 2. Verify the QR code in INJI Verify</t>
  </si>
  <si>
    <t>The card should be verified successfull in INJI Verify.</t>
  </si>
  <si>
    <t>Two applications should be involved, Mobile and verify at a time</t>
  </si>
  <si>
    <t>INJIWEB-278_TC_04</t>
  </si>
  <si>
    <t>Check the text format when long text is given while creating the Policy</t>
  </si>
  <si>
    <t>1. Create a policy giving a long length text.
 2. Download hte card in INJI Web.
 3. Check the text in the card view.</t>
  </si>
  <si>
    <t>The long text should be wrapped in the next line.</t>
  </si>
  <si>
    <t>INJIWEB-278_TC_05</t>
  </si>
  <si>
    <t>Check the VC with more data</t>
  </si>
  <si>
    <t>1. Create a policy giving a long length text for all the fields to make the card long.
 2. Download hte card in INJI Web.
 3. Check the text in the card view.</t>
  </si>
  <si>
    <t>VC with more data should be wrapped to the next page.</t>
  </si>
  <si>
    <t>INJIWEB-278_TC_06</t>
  </si>
  <si>
    <t>Check the logo position in the card.</t>
  </si>
  <si>
    <t>1. Download the card through INJI Web.
 2. Verify the VC and check for the logo</t>
  </si>
  <si>
    <t>The logo should be displayed below the photo as showin in the wireframe.</t>
  </si>
  <si>
    <t>INJIWEB-278_TC_07</t>
  </si>
  <si>
    <t>if QR is not sent by the issuer, dummy QR code should not be present.</t>
  </si>
  <si>
    <t>1. Download the card through INJI Web from the issuer which doesn't provide QR code
 2. Verify the VC and check for QR code</t>
  </si>
  <si>
    <t>QR field should not be present</t>
  </si>
  <si>
    <t>INJIWEB-232</t>
  </si>
  <si>
    <t>Support other issuers as in mobile</t>
  </si>
  <si>
    <t>INJIWEB-232_TC_01</t>
  </si>
  <si>
    <t>Verify the issuers list as per the mimoto-issuers-config.json</t>
  </si>
  <si>
    <t>1. Launch inji web-portal
 2. Verify the issuers in the issuers tile</t>
  </si>
  <si>
    <t>Issuers should be displayed as per the mimoto-issuers-config.json file</t>
  </si>
  <si>
    <t>INJIWEB-232_TC_02</t>
  </si>
  <si>
    <t>Update and Verify the issuers list on home page</t>
  </si>
  <si>
    <t>1. Add the issuers to mimoto-issuers-config.json file
 2. Restart the mimoto service
 3. Verify the list of issues in inji home page</t>
  </si>
  <si>
    <t>List of issuers should be updated as per the config change</t>
  </si>
  <si>
    <t>INJIWEB-232_TC_03</t>
  </si>
  <si>
    <t>Verify Dislay name of the issuers</t>
  </si>
  <si>
    <t>1. Launch inji-web home page
 2. Open the mimoto-issuers-config.json file
 3. Verify the name of the issuers</t>
  </si>
  <si>
    <t>Issuers names should be displayed as per the title field from the display array in mimoto-issuers-config.json</t>
  </si>
  <si>
    <t>INJIWEB-232_TC_04</t>
  </si>
  <si>
    <t>Update and verify display properties of an issuer</t>
  </si>
  <si>
    <t>1. Update the title field in mimoto-issuers-config.json file for an issuer
 2. Restart the minmoto service
 3. Launch inji-web portal
 4. Verify the name of the issuers</t>
  </si>
  <si>
    <t>Issuers names should be displayed as per the title field udated from the display array in mimoto-issuers-config.json</t>
  </si>
  <si>
    <t>INJIWEB-232_TC_05</t>
  </si>
  <si>
    <t>Update the display properties for the newly added issuers with all the supported langs</t>
  </si>
  <si>
    <t>1. Add new issuer
 2. Update the display properties for the issuer in all the lang
 3. Restart the minmoto service
 4. Launch inji web portal
 5. Select diff langs and verify issuers detail in all the config langs</t>
  </si>
  <si>
    <t>Issues should be displayed in all the configured langs</t>
  </si>
  <si>
    <t>INJIWEB-232_TC_06</t>
  </si>
  <si>
    <t>Update the display properties only in eng and verify the name in other lang</t>
  </si>
  <si>
    <t>1. Add new issuer
 2. Update the display properties for the issuer in eng only
 3. Restart the mimoto service
 4. Launch inji web portal
 5. Select diff langs other than eng and verify issuers detail</t>
  </si>
  <si>
    <t>Issuers details should be fallback to eng only</t>
  </si>
  <si>
    <t>INJIWEB-232_TC_07</t>
  </si>
  <si>
    <t>Verify error message when all the issues are disabled/Removed</t>
  </si>
  <si>
    <t>1. Disable/Remove all the issuers details in mimoto-issuers-config.json file
 2. Restart mimoto service
 3. Launch inji web portal</t>
  </si>
  <si>
    <t>On web page we should get the proper error message</t>
  </si>
  <si>
    <t>INJIWEB-232_TC_08</t>
  </si>
  <si>
    <t>Delete newly added issuers and verify the availability of the issuer in the home page</t>
  </si>
  <si>
    <t>1. Delete issuer
 2. Restart the mimoto service
 3. Launch inji web portal</t>
  </si>
  <si>
    <t>Deleted/Disabled issuer should not be visible in inji web home page</t>
  </si>
  <si>
    <t>Add more no.of credentials for an issuer and verify</t>
  </si>
  <si>
    <t>1. Add more credentials say more than 5
 2. Restart the service
 3. Launch inji web portal</t>
  </si>
  <si>
    <t>All the credentials should be displayed properly and there should not be any alignmnet issues</t>
  </si>
  <si>
    <t>INJIWEB-479</t>
  </si>
  <si>
    <t>Support Motor Insurance credential type</t>
  </si>
  <si>
    <t>INJIWEB-479_TC_01</t>
  </si>
  <si>
    <t>Motor Insurance credential</t>
  </si>
  <si>
    <t>Verify Motor Insurance credential type present under sunbird issuer</t>
  </si>
  <si>
    <t>1. Open the inji web portal
 2. Select sunbird issuer</t>
  </si>
  <si>
    <t>Motor Insurance credential type should be present under sunbird issuer</t>
  </si>
  <si>
    <t>INJIWEB-479_TC_02</t>
  </si>
  <si>
    <t>Verify order of the fileds</t>
  </si>
  <si>
    <t>1. Open the inji web portal
 2. Select sunbird issuer
 3. Select Motor Insurance credential type
 4. Authenticate with valid details</t>
  </si>
  <si>
    <t>Motor Insurance VC should be downloaded as PDF and the configured fileds should be resent in the VC in the configured oreder</t>
  </si>
  <si>
    <t>INJIWEB-479_TC_03</t>
  </si>
  <si>
    <t>Create and verify for multile VCs</t>
  </si>
  <si>
    <t>1. Open the inji web portal
 2. Select sunbird issuer
 3. Select Motor Insurance credential type
 4. Authenticate with newly created details
 Note: perform the same for diff VCs</t>
  </si>
  <si>
    <t>All the VCs should be downloaded without failures
 and the PDF layout and data should not have any issues</t>
  </si>
  <si>
    <t>INJIWEB-479_TC_04</t>
  </si>
  <si>
    <t>Download in mobile</t>
  </si>
  <si>
    <t>1. Download the credentials from inji mobile</t>
  </si>
  <si>
    <t>Credentials can be downloaded from inji mobile</t>
  </si>
  <si>
    <t>INJIWEB-479_TC_05</t>
  </si>
  <si>
    <t>Extract QR and verify it in injiverify</t>
  </si>
  <si>
    <t>1. Download the credentials from inji mobile
 2. Verify the credentials from injiverify</t>
  </si>
  <si>
    <t>The credentials should be validated</t>
  </si>
  <si>
    <t>INJIWEB-479_TC_06</t>
  </si>
  <si>
    <t>Verify PDF fileds from injiweb and verified in injiverify</t>
  </si>
  <si>
    <t>1. Download the credentials from inji mobile
 2. Extract the QR code
 3. Download the credentials from inji web
 4. Compare the fields from injiweb to inji mobile</t>
  </si>
  <si>
    <t>Same fields should be available in Downloaded PDF in injiweb and the verified by QR code from the injiverify app</t>
  </si>
  <si>
    <t>INJIWEB-192</t>
  </si>
  <si>
    <t>INJIWEB-192_TC_01</t>
  </si>
  <si>
    <t>Responsive view</t>
  </si>
  <si>
    <t>Verify home page alignment in tablet</t>
  </si>
  <si>
    <t>1. Open the inji web portal in mobile tablet browser
 2. Verify the alignment
 Note: Verify the alignment in diff dimensions</t>
  </si>
  <si>
    <t>Alignment should be proper for all diff dimensions</t>
  </si>
  <si>
    <t>Mobile</t>
  </si>
  <si>
    <t>INJIWEB-192_TC_02</t>
  </si>
  <si>
    <t>Verify home page alignment in smartpphone</t>
  </si>
  <si>
    <t>1. Open the inji web portal in mobile smart phone browser
 2. Verify the alignment
 Note: Verify the alignment in diff dimensions"</t>
  </si>
  <si>
    <r>
      <rPr>
        <rFont val="Calibri"/>
        <color rgb="FF1155CC"/>
        <sz val="11.0"/>
        <u/>
      </rPr>
      <t>https://mosip.atlassian.net/browse/INJIWEB-130</t>
    </r>
  </si>
  <si>
    <t>INJIWEB-192_TC_03</t>
  </si>
  <si>
    <t>Verify home credentials page alignment in tablet</t>
  </si>
  <si>
    <t>1. Open the inji web portal in mobile tablet browser
 2. Select an issuer
 3. Verify the alignment at credential page
 Note: Verify the alignment in diff dimensions</t>
  </si>
  <si>
    <r>
      <rPr>
        <rFont val="Calibri"/>
        <color rgb="FF1155CC"/>
        <sz val="11.0"/>
        <u/>
      </rPr>
      <t>https://mosip.atlassian.net/browse/INJIWEB-130</t>
    </r>
  </si>
  <si>
    <t>INJIWEB-192_TC_04</t>
  </si>
  <si>
    <t>Verify home credentials page alignment in smartpphone</t>
  </si>
  <si>
    <t>1. Open the inji web portal in mobile smart phone browser
 2. Select an issuer
 3. Verify the alignment at credential page
 Note: Verify the alignment in diff dimensions"</t>
  </si>
  <si>
    <r>
      <rPr>
        <rFont val="Calibri"/>
        <color rgb="FF1155CC"/>
        <sz val="11.0"/>
        <u/>
      </rPr>
      <t>https://mosip.atlassian.net/browse/INJIWEB-130</t>
    </r>
  </si>
  <si>
    <t>INJIWEB-192_TC_05</t>
  </si>
  <si>
    <t>Verify authentication page alignment in tablet</t>
  </si>
  <si>
    <t>1. Open the inji web portal in mobile tablet browser
 2. Select an issuer
 3. Select a crednetial
 3. Verify the alignment at authentication page
 Note: Verify the alignment in diff dimensions</t>
  </si>
  <si>
    <r>
      <rPr>
        <rFont val="Calibri"/>
        <color rgb="FF1155CC"/>
        <sz val="11.0"/>
        <u/>
      </rPr>
      <t>https://mosip.atlassian.net/browse/INJIWEB-125</t>
    </r>
  </si>
  <si>
    <t>INJIWEB-192_TC_06</t>
  </si>
  <si>
    <t>Verify authentication page alignment in smartphone</t>
  </si>
  <si>
    <t>1. Open the inji web portal in mobile smart phone browser
 2. Select an issuer
 3. Verify the alignment at credential page
 Note: Verify the alignment in diff dimensions</t>
  </si>
  <si>
    <r>
      <rPr>
        <rFont val="Calibri"/>
        <color rgb="FF1155CC"/>
        <sz val="11.0"/>
        <u/>
      </rPr>
      <t>https://mosip.atlassian.net/browse/INJIWEB-128</t>
    </r>
  </si>
  <si>
    <t>INJIWEB-192_TC_07</t>
  </si>
  <si>
    <t>Verify resonsiveness of all the objects at the home page in tablet</t>
  </si>
  <si>
    <t>1. Open the inji web portal in mobile tablet browser
 2. Click on all the elements , text box, search bar etc
 Note: Verify the resonsiveness in diff dimensions</t>
  </si>
  <si>
    <t>All the objects should be responsive for the dimensions</t>
  </si>
  <si>
    <r>
      <rPr>
        <rFont val="Calibri"/>
        <color rgb="FF1155CC"/>
        <sz val="11.0"/>
        <u/>
      </rPr>
      <t>https://mosip.atlassian.net/browse/INJIWEB-130</t>
    </r>
  </si>
  <si>
    <t>INJIWEB-192_TC_08</t>
  </si>
  <si>
    <t>Verify resonsiveness of all the objects at the home page in smartpphone</t>
  </si>
  <si>
    <t>1. Open the inji web portal in mobile smart phone browser
 2. Click on all the elements , text box, search bar etc
 Note: Verify the resonsiveness in diff dimensions"</t>
  </si>
  <si>
    <r>
      <rPr>
        <rFont val="Calibri"/>
        <color rgb="FF1155CC"/>
        <sz val="11.0"/>
        <u/>
      </rPr>
      <t>https://mosip.atlassian.net/browse/INJIWEB-130</t>
    </r>
  </si>
  <si>
    <t>INJIWEB-192_TC_09</t>
  </si>
  <si>
    <t>Verify resonsiveness of all the objects at credentials page in tablet</t>
  </si>
  <si>
    <t>1. Open the inji web portal in mobile tablet browser
 2. Select an issuer
 3. Click on all the elements , text box, search bar etc
 Note: Verify the resonsiveness in diff dimensions</t>
  </si>
  <si>
    <r>
      <rPr>
        <rFont val="Calibri"/>
        <color rgb="FF1155CC"/>
        <sz val="11.0"/>
        <u/>
      </rPr>
      <t>https://mosip.atlassian.net/browse/INJIWEB-125</t>
    </r>
  </si>
  <si>
    <t>INJIWEB-192_TC_10</t>
  </si>
  <si>
    <t>Verify resonsiveness of all the objects at credentials page in smartphone</t>
  </si>
  <si>
    <t>1. Open the inji web portal in mobile smart phone browser
 2. Select an issuer
 3. Click on all the elements , text box, search bar etc
 Note: Verify the resonsiveness in diff dimensions</t>
  </si>
  <si>
    <r>
      <rPr>
        <rFont val="Calibri"/>
        <color rgb="FF1155CC"/>
        <sz val="11.0"/>
        <u/>
      </rPr>
      <t>https://mosip.atlassian.net/browse/INJIWEB-128</t>
    </r>
  </si>
  <si>
    <t>INJIWEB-192_TC_11</t>
  </si>
  <si>
    <t>Verify resonsiveness of all the objects at authentication page in tablet</t>
  </si>
  <si>
    <t>1. Open the inji web portal in mobile tablet browser
 2. Select an issuer
 3. Select a crednetial
 3. Click on all the elements , text box, search bar etc
 Note: Verify the resonsiveness in diff dimensions</t>
  </si>
  <si>
    <t>INJIWEB-192_TC_12</t>
  </si>
  <si>
    <t>Verify resonsiveness of all the objects at authentication page in smartphone</t>
  </si>
  <si>
    <t>1. Open the inji web portal in mobile smart phone browser
 2. Select an issuer
 3. Click on all the elements , text box, search bar etc
 Note: Verify the alignment in diff dimensions</t>
  </si>
  <si>
    <r>
      <rPr>
        <rFont val="Calibri"/>
        <color rgb="FF1155CC"/>
        <sz val="11.0"/>
        <u/>
      </rPr>
      <t>https://mosip.atlassian.net/browse/INJIWEB-128</t>
    </r>
  </si>
  <si>
    <t>INJIWEB-192_TC_13</t>
  </si>
  <si>
    <t>Verify download VC from a tablet device.</t>
  </si>
  <si>
    <t>1. Open inji web portal in mobile tablet browser
 2. Select issuer
 3. Select credential type
 4. Authenticate with valid details
 5. Open the downloaded PDF from local storage</t>
  </si>
  <si>
    <t>User can download and open the PDF</t>
  </si>
  <si>
    <t>INJIWEB-192_TC_14</t>
  </si>
  <si>
    <t>Verify download VC from a smartphone device.</t>
  </si>
  <si>
    <t>1. Open inji web portal in mobile smart phone browser
 2. Select issuer
 3. Select credential type
 4. Authenticate with valid details
 5. Open the downloaded PDF from local storage</t>
  </si>
  <si>
    <t>INJIWEB-192_TC_15</t>
  </si>
  <si>
    <t>Verify menu button for About inji web and help links</t>
  </si>
  <si>
    <t>1. Open inji web portal in smart phone/Tablet browsers with smaller dimensions</t>
  </si>
  <si>
    <t>A hamburger menu button should be created and under which "About inji web" and "help" links should be placed</t>
  </si>
  <si>
    <r>
      <rPr>
        <rFont val="Calibri"/>
        <color rgb="FF1155CC"/>
        <sz val="11.0"/>
        <u/>
      </rPr>
      <t>https://mosip.atlassian.net/browse/INJIWEB-131</t>
    </r>
  </si>
  <si>
    <t>INJIWEB-192_TC_16</t>
  </si>
  <si>
    <t>Verify alignments and resonsiveness in all the supported languages</t>
  </si>
  <si>
    <t>1. Open inji web portal in smart phone/Tablet browsers
 2. Select diff langs
 3. Navigate to diff pages
 4. Verify alignment and responsveness in diff langs</t>
  </si>
  <si>
    <t>Alignment and responsiveness should be proper for all the suported langs in all the dimensions</t>
  </si>
  <si>
    <r>
      <rPr>
        <rFont val="Calibri"/>
        <color rgb="FF1155CC"/>
        <sz val="11.0"/>
        <u/>
      </rPr>
      <t>https://mosip.atlassian.net/browse/INJIWEB-131</t>
    </r>
  </si>
  <si>
    <t>INJIWEB-192_TC_17</t>
  </si>
  <si>
    <t>Verify device back button to navigate to previous screen</t>
  </si>
  <si>
    <t>1. Open inji web portal in smart phone / Tablet browsers
 2. Navigate to diff pages
 4. Click on back button on every page</t>
  </si>
  <si>
    <t>Devcie backbutton should be functional and user should navigate to previous page</t>
  </si>
  <si>
    <t>INJIWEB-192_TC_18</t>
  </si>
  <si>
    <t>Navigation header in credential page</t>
  </si>
  <si>
    <t>1. Open inji web portal in smart phone/Tablet browsers
 2. Select issuer
 3. Select credential
 4. Verify alignment</t>
  </si>
  <si>
    <t>Serach bar in navigation link should be placed in the next line</t>
  </si>
  <si>
    <t>Verify Multi languages support is at Authentication window</t>
  </si>
  <si>
    <t>1. Open inji web portal
 2. Select issuer
 3. Select credential type
 4. Verify authentication window in all langs</t>
  </si>
  <si>
    <t>eginet should appear in the selected lang</t>
  </si>
  <si>
    <t>The lenghty email address is not formatted properly in the PDF file downloaded from VC.</t>
  </si>
  <si>
    <t>1. Open inji web portal
 2. Select issuer
 3. Select credential type
 4. Verify authentication
 5. Verify PDF view</t>
  </si>
  <si>
    <t>Data in PDF should be aligned properly</t>
  </si>
  <si>
    <t>INJIWEB-464</t>
  </si>
  <si>
    <t>Inappropriate error message when "/" entered in the search box</t>
  </si>
  <si>
    <t>1. Open inji web portal
 2. Select issuer
 3. Enter garbage value like "/"</t>
  </si>
  <si>
    <t>Should not show any issues and also should not show any errors</t>
  </si>
  <si>
    <t>INJIWEB-466</t>
  </si>
  <si>
    <t>Search result is not properly getting refreshed after clearing entire text from it</t>
  </si>
  <si>
    <t>1. Open inji web portal
 2. Enter some random text in search bar
 3. Delete the text from the search basr</t>
  </si>
  <si>
    <t>After removing the data from search bar actual result should appear</t>
  </si>
  <si>
    <t>INJIWEB-468</t>
  </si>
  <si>
    <t>Getting VC download issue for UINs with Lenghty usernames and emailId for mosip issuers</t>
  </si>
  <si>
    <t>1. Create UINs with username and emailid with more charectars
 2. Launch inji web
 3. select mosip issuers
 4. Select a credential
 5. Identify with the created UINs
 6. Open the downloaded PDF</t>
  </si>
  <si>
    <t>Creating and downloading crednetials shoud be passed</t>
  </si>
  <si>
    <t>Verify all the pages with 100% zoom</t>
  </si>
  <si>
    <t>1. Open inji web portal
 2. Set the zoom to 100% and navigate to all the pages</t>
  </si>
  <si>
    <t>All the pages should appera properly</t>
  </si>
  <si>
    <t>INJIWEB-564</t>
  </si>
  <si>
    <t>language dropdown is active until selecting a different one</t>
  </si>
  <si>
    <t>1. Open injiweb portal.
 2. Select the language in the dropdown Home page.</t>
  </si>
  <si>
    <t>Dropdowns should minimized on changing the focus</t>
  </si>
  <si>
    <t>INJIWEB-565</t>
  </si>
  <si>
    <t>Search preview message has extra dot in the Issuer home page and credential home page</t>
  </si>
  <si>
    <t>1.Open injiweb portal
 2.View the Issuer home page and the credential home page</t>
  </si>
  <si>
    <t>There should not extra dots or spaces after completion of strings</t>
  </si>
  <si>
    <t>INJIWEB-571</t>
  </si>
  <si>
    <t>In the help document, it's not possible to minimize of all the fields</t>
  </si>
  <si>
    <t>1. Open injiweb portal
 2. Click on help</t>
  </si>
  <si>
    <t>User should able to minimize all the fields</t>
  </si>
  <si>
    <t>Need to raise PR</t>
  </si>
  <si>
    <t>INJIWEB-573</t>
  </si>
  <si>
    <t>Once the hamburger menu expanded in the home page, even after changing the focus menu button remains expanded</t>
  </si>
  <si>
    <t>1. Open injiweb portal
 2. Click on help
 3. Change the responsive view from the browser/open in mobile device
 4. Click on hamburger menu and change the focus</t>
  </si>
  <si>
    <t>Once the focus changed , menu should be minimized</t>
  </si>
  <si>
    <t>INJIWEB-595</t>
  </si>
  <si>
    <t>The "service is currently unavailable" error message is displayed, after downloading VC, refreshing the browser, and clicking on the back button</t>
  </si>
  <si>
    <t>1.Download the credential
 2.Regresh the browser
 3.Click on back button in the application area</t>
  </si>
  <si>
    <t>Home button should be palced and back button should be removed</t>
  </si>
  <si>
    <t>INJIWEB-594</t>
  </si>
  <si>
    <t>Increase the browser zoom and verify the alignment</t>
  </si>
  <si>
    <t>1. Launch inji web
 2. Increase the zoom in option from the browser and verify the alignment</t>
  </si>
  <si>
    <t>Should be aligned properly</t>
  </si>
  <si>
    <r>
      <rPr>
        <rFont val="Calibri"/>
        <color rgb="FF1155CC"/>
        <sz val="11.0"/>
        <u/>
      </rPr>
      <t>https://mosip.atlassian.net/browse/INJIWEB-594</t>
    </r>
  </si>
  <si>
    <t>INJIWEB-593</t>
  </si>
  <si>
    <t>Verify back button at the esignet page</t>
  </si>
  <si>
    <t>1. Launch inji web
 2. select issuers
 3. Select a credential</t>
  </si>
  <si>
    <t>There is should back button to go back to the previous screen</t>
  </si>
  <si>
    <t>FAIL</t>
  </si>
  <si>
    <t>Enhancement request, not implemented</t>
  </si>
  <si>
    <r>
      <rPr>
        <rFont val="Calibri"/>
        <color rgb="FF1155CC"/>
        <sz val="11.0"/>
        <u/>
      </rPr>
      <t>https://mosip.atlassian.net/browse/ES-1691</t>
    </r>
  </si>
  <si>
    <t>INJIWEB-570</t>
  </si>
  <si>
    <t>Create policy with missing fields and download the VC</t>
  </si>
  <si>
    <t>1. Create a policy with missing fields
 2. Launch inji portal
 3. Select credential
 4. Verify with the credential created with missing field</t>
  </si>
  <si>
    <t>For missing filelds data should not sown in the VC and should it gitve any placeholder for the same</t>
  </si>
  <si>
    <r>
      <rPr>
        <rFont val="Calibri"/>
        <color rgb="FF1155CC"/>
        <sz val="11.0"/>
        <u/>
      </rPr>
      <t>https://mosip.atlassian.net/browse/INJIWEB-570</t>
    </r>
  </si>
  <si>
    <t>INJIWEB-568</t>
  </si>
  <si>
    <t>Verify access violations with IBM Equal Access Accessibility Checker</t>
  </si>
  <si>
    <t>1. Add extension "IBM Equal Access Accessibility Checker" extension to the browser
 2. Right click on the browser and select inspect mode
 3. Select Accessibility Assessment from the menu option
 4. Click on scan button and observe the failures
 5. Do the same on the pages</t>
  </si>
  <si>
    <t>There should not be any access violations on the pages</t>
  </si>
  <si>
    <t>Need browser extention</t>
  </si>
  <si>
    <r>
      <rPr>
        <rFont val="Calibri"/>
        <color rgb="FF1155CC"/>
        <sz val="11.0"/>
        <u/>
      </rPr>
      <t>https://mosip.atlassian.net/browse/INJIWEB-568</t>
    </r>
  </si>
  <si>
    <t>INJIWEB-597</t>
  </si>
  <si>
    <t>[Spike]: Java library for Pixel Pass</t>
  </si>
  <si>
    <t>INJIWEB-597_TC_01</t>
  </si>
  <si>
    <t>Verify QR code generated and placed in the right area of the PDF for health insurance</t>
  </si>
  <si>
    <t>1. Open browser
 2. Browse inji home page
 3. Select Issuer
 4. Select Credential for health insurance.
 5. Authenticate with valid credentials
 6. Download PDF</t>
  </si>
  <si>
    <t>PDF should be downloaded and the QR code should be present in the second page of PDF</t>
  </si>
  <si>
    <t>Alignment request</t>
  </si>
  <si>
    <t>INJIWEB-597_TC_02</t>
  </si>
  <si>
    <t>Verify QR code generated for the expired crednetials for health insurance</t>
  </si>
  <si>
    <t>1. Open browser
 2. Browse inji home page
 3. Select Issuer
 4. Select Credential for health insurance
 5. Authenticate with valid credentials for expired record</t>
  </si>
  <si>
    <t>INJIWEB-597_TC_03</t>
  </si>
  <si>
    <t>Verify Generated QR code with the inji verify app for health insurance</t>
  </si>
  <si>
    <t>1. Open browser
 2. Browse inji home page
 3. Select Issuer
 4. Select Credential health insurance
 5. Download the credentials
 6. Verify the QR code with inji verify</t>
  </si>
  <si>
    <t>QR code in PDF should be validated in verify app and all the config fields should be displayed</t>
  </si>
  <si>
    <t>Automated in verify application</t>
  </si>
  <si>
    <t>INJIWEB-597_TC_04</t>
  </si>
  <si>
    <t>Verify Generated QR code with the inji verify app for health insurance with expired credentials</t>
  </si>
  <si>
    <t>1. Open browser
 2. Browse inji home page
 3. Select Issuer
 4. Select Credential for health insurance
 5. Authenticate with valid credentials for expired record
 6. Verify the downloaded QR code with inji verify app</t>
  </si>
  <si>
    <t>PDF should be downloaded and Verification of QR code should be failed</t>
  </si>
  <si>
    <t>INJIWEB-597_TC_05</t>
  </si>
  <si>
    <t>Verify details extracted by scan QR code and downloaded PDF are same for Health insurance</t>
  </si>
  <si>
    <t>1. Open browser
 2. Browse inji home page
 3. Select Issuer
 4. Select Health insurance Credential
 5. Authenticate with valid credentials
 6. Download the credentials
 7. Verify the QR code with inji verify</t>
  </si>
  <si>
    <t>The details and fields should be same in PDF doc and scanned copy of inji verify app</t>
  </si>
  <si>
    <r>
      <rPr>
        <rFont val="Calibri"/>
        <color rgb="FF1155CC"/>
        <sz val="11.0"/>
        <u/>
      </rPr>
      <t>https://mosip.atlassian.net/browse/INJIWEB-1500</t>
    </r>
    <r>
      <rPr>
        <rFont val="Calibri"/>
        <sz val="11.0"/>
      </rPr>
      <t xml:space="preserve">
 https://mosip.atlassian.net/browse/INJIWEB-1499</t>
    </r>
  </si>
  <si>
    <t>INJIWEB-597_TC_06</t>
  </si>
  <si>
    <t>Verify if the QR code present in mosip VC</t>
  </si>
  <si>
    <t>1. Open browser
 2. Browse inji home page
 3. Select mosip
 4. Select Credential
 5. Authenticate with OTP
 6. Download the credentials
 7. Verify the QR code on VC</t>
  </si>
  <si>
    <t>QR code should not be present of mosip VC</t>
  </si>
  <si>
    <t>INJIWEB-597_TC_07</t>
  </si>
  <si>
    <t>Update VC and verify VC values from QR code scan</t>
  </si>
  <si>
    <t>1. Create VC and download the VC
 2. Scan the QR code from verify app
 3. Update VC and download VC
 4. Scan the QR code from inji verify</t>
  </si>
  <si>
    <t>QR code scan should display latest values</t>
  </si>
  <si>
    <t>INJIWEB-597_TC_08</t>
  </si>
  <si>
    <t>Verify generated QR code by scanning from inji verify mobile scan</t>
  </si>
  <si>
    <t>1. Open browser
 2. Browse inji home page
 3. Select Issuer
 4. Select Credential for health insurance.
 5. Authenticate with valid credentials
 6. Download PDF
 7. Scan the QR code in VC from inji verify mobile browser</t>
  </si>
  <si>
    <t>QR code scan should be passed and all the configured fields should be displayed</t>
  </si>
  <si>
    <t>INJIWEB-824</t>
  </si>
  <si>
    <t>Verify error message properly if the mimoto is down while verifying it injiverify</t>
  </si>
  <si>
    <t>1. Download VC from injiweb
 2. Down the mimoto service
 3. Try to verify the VC from injiverify portal</t>
  </si>
  <si>
    <t>User should get valid error message.</t>
  </si>
  <si>
    <r>
      <rPr>
        <rFont val="Calibri"/>
        <color rgb="FF1155CC"/>
        <sz val="11.0"/>
        <u/>
      </rPr>
      <t>https://mosip.atlassian.net/browse/INJIWEB-291</t>
    </r>
  </si>
  <si>
    <t>INJIWEB-823</t>
  </si>
  <si>
    <t>Better to habndle properly if the injiweb is down while verifying it injiverify</t>
  </si>
  <si>
    <t>1. Download VC from injiweb
 2. Down the inji web pod
 3. Try to verify the VC from injiverify portal</t>
  </si>
  <si>
    <t>Enhancement request</t>
  </si>
  <si>
    <r>
      <rPr>
        <rFont val="Calibri"/>
        <color rgb="FF1155CC"/>
        <sz val="11.0"/>
        <u/>
      </rPr>
      <t>https://mosip.atlassian.net/browse/INJIWEB-290</t>
    </r>
  </si>
  <si>
    <t>INJIWEB-762</t>
  </si>
  <si>
    <t>Verify the error description when the record is not available in durian</t>
  </si>
  <si>
    <t>1. Create a record in sunbird RC
 2. Download VC from inji-web portal
 3. Remove the record from durian</t>
  </si>
  <si>
    <t>User should get the error as “The requested resource doesn’t exist.”</t>
  </si>
  <si>
    <t>Verification required from another application</t>
  </si>
  <si>
    <r>
      <rPr>
        <rFont val="Calibri"/>
        <color rgb="FF1155CC"/>
        <sz val="11.0"/>
        <u/>
      </rPr>
      <t>https://mosip.atlassian.net/browse/ES-1213</t>
    </r>
  </si>
  <si>
    <t>INJIWEB-761</t>
  </si>
  <si>
    <t>Verify the client id and redirect URI domains</t>
  </si>
  <si>
    <t>1. Create a record in sunbird RC
 2. Download VC from inji-web portal
 3. upload the VC to inji verify to validate the VC</t>
  </si>
  <si>
    <t>Both should be from domain.</t>
  </si>
  <si>
    <t>Coverd in inji-verify application</t>
  </si>
  <si>
    <r>
      <rPr>
        <rFont val="Calibri"/>
        <color rgb="FF1155CC"/>
        <sz val="11.0"/>
        <u/>
      </rPr>
      <t>https://mosip.atlassian.net/browse/INJIWEB-243</t>
    </r>
  </si>
  <si>
    <t>INJIWEB-760</t>
  </si>
  <si>
    <t>Verify the background image for downloading the VC PDF in InjiWeb</t>
  </si>
  <si>
    <t>1. Open the injiweb
 2. choose any issue and download the VC</t>
  </si>
  <si>
    <t>User should get the background image in the downloaded PDF.</t>
  </si>
  <si>
    <t>Alignment/Branding testcase</t>
  </si>
  <si>
    <r>
      <rPr>
        <rFont val="Calibri"/>
        <color rgb="FF1155CC"/>
        <sz val="11.0"/>
        <u/>
      </rPr>
      <t>https://mosip.atlassian.net/browse/INJIWEB-180</t>
    </r>
  </si>
  <si>
    <t>INJIWEB-757</t>
  </si>
  <si>
    <t>Verify the display properties in the certify-mosipid-identity.properties file in the downloaded VC.</t>
  </si>
  <si>
    <t>1. Open the inji web in the browser.
 2.Download the VC mosip VC.
 3. Check the display attributes.
 4. compare the VC display properties</t>
  </si>
  <si>
    <t>User should be able to see all display properties mentioned in the configuration</t>
  </si>
  <si>
    <r>
      <rPr>
        <rFont val="Calibri"/>
        <color rgb="FF1155CC"/>
        <sz val="11.0"/>
        <u/>
      </rPr>
      <t>https://mosip.atlassian.net/browse/INJIWEB-132</t>
    </r>
  </si>
  <si>
    <t>INJIWEB-626</t>
  </si>
  <si>
    <t>Verify Field values in json decoded from CBOR and the values in VC PDF</t>
  </si>
  <si>
    <t>1. Download VC PDF from inji web
 2. Observe the field values
 3. Scan the QR from QRcode scanner(Not from inji)
 4. Get the text and decode it
 5. Verify the field values in json file</t>
  </si>
  <si>
    <t>User should get the same Field values in both</t>
  </si>
  <si>
    <r>
      <rPr>
        <rFont val="Calibri"/>
        <color rgb="FF1155CC"/>
        <sz val="11.0"/>
        <u/>
      </rPr>
      <t>https://mosip.atlassian.net/browse/INJIWEB-122</t>
    </r>
  </si>
  <si>
    <t>INJIWEB-625</t>
  </si>
  <si>
    <t>Verify the QR code generated in INJI Web and in INJI Mobile are not matching.</t>
  </si>
  <si>
    <t>1. Create a sunbird VC policy
 2. Download the same in card in INJI Web and in INJI Mobile,
 3. Compare the the 2 QR codes generated</t>
  </si>
  <si>
    <t>User should the same QR code in web and mobile.</t>
  </si>
  <si>
    <t>Need inji-web and We for testing at time</t>
  </si>
  <si>
    <r>
      <rPr>
        <rFont val="Calibri"/>
        <color rgb="FF1155CC"/>
        <sz val="11.0"/>
        <u/>
      </rPr>
      <t>https://mosip.atlassian.net/browse/INJIWEB-625</t>
    </r>
  </si>
  <si>
    <t>INJIWEB-627</t>
  </si>
  <si>
    <t>Verify the scenario - "No MultiFormat Readers were able to detect the QR code." error when the VC PDF from inji web application is uploaded.</t>
  </si>
  <si>
    <t>1. Launch inji web portal
 2. Select "Veridonia Insurance Company" issuer
 3. Select "Health Insurance" credential
 4. Enter valid credentials(Ex:Policy Nuber:123123321,fullName: quality, dob: 1990-05-05)
 5. Download PDF
 6. Launch inji verify portal
 7. Select Upload QR code
 8. Upload the downloaded PDF file</t>
  </si>
  <si>
    <t>QR code of the PDF should be scanned properly and there should not be any error while scanning the QR code</t>
  </si>
  <si>
    <t>coverd in verify</t>
  </si>
  <si>
    <r>
      <rPr>
        <rFont val="Calibri"/>
        <color rgb="FF1155CC"/>
        <sz val="11.0"/>
        <u/>
      </rPr>
      <t>https://mosip.atlassian.net/browse/INJIVER-709</t>
    </r>
  </si>
  <si>
    <t>INJIWEB-590</t>
  </si>
  <si>
    <t>Verify if credential strings are properly displayed for diff dimensions under mosip issuer</t>
  </si>
  <si>
    <t>1. Open inji web portal
 2. Select inspect mode to change the dimensions
 3. Change to inspect mode and change the dimensions</t>
  </si>
  <si>
    <t>All the strings should be properly aligned</t>
  </si>
  <si>
    <r>
      <rPr>
        <rFont val="Calibri"/>
        <color rgb="FF1155CC"/>
        <sz val="11.0"/>
        <u/>
      </rPr>
      <t>https://mosip.atlassian.net/browse/INJIWEB-590</t>
    </r>
  </si>
  <si>
    <t>INJIWEB-639</t>
  </si>
  <si>
    <t>INJIWEB-639_TC_01</t>
  </si>
  <si>
    <t>Verify QR code in PDF and Scan code from Verify app when Configured for VC</t>
  </si>
  <si>
    <t>1. Select credentials
 2. Select issuer
 3. Enter KBI details
 4. Scan the QR code from verify app</t>
  </si>
  <si>
    <t>VC details should be fetched on scanning the QR code</t>
  </si>
  <si>
    <t>Need scan operation from inji-verify</t>
  </si>
  <si>
    <t>INJIWEB-639_TC_02</t>
  </si>
  <si>
    <t>Verify QR code in mobile device and Scan code from Verify app when Configured for VC</t>
  </si>
  <si>
    <t>1. Download VC in inji mobile app
 2. Scan the QR code from verify app</t>
  </si>
  <si>
    <t>INJIWEB-639_TC_03</t>
  </si>
  <si>
    <t>Verify QR code in PDF and Scan code from Verify app when Configured for VP</t>
  </si>
  <si>
    <t>Client ID and redirect URL is added in INJI Verify after we scan the qr code.
 VC details should be fetched</t>
  </si>
  <si>
    <t>INJIWEB-639_TC_04</t>
  </si>
  <si>
    <t>Verify QR code in mobile device and Scan code from Verify app when Configured for VP</t>
  </si>
  <si>
    <t>INJIWEB-639_TC_05</t>
  </si>
  <si>
    <t>Verify QR code in PDF and Upload Configure for VC</t>
  </si>
  <si>
    <t>INJIWEB-639_TC_06</t>
  </si>
  <si>
    <t>Verify QR code in mobile device and Upload Configure for VC</t>
  </si>
  <si>
    <t>INJIWEB-639_TC_07</t>
  </si>
  <si>
    <t>Verify QR code in PDF and Upload Configure for VP</t>
  </si>
  <si>
    <t>INJIWEB-639_TC_08</t>
  </si>
  <si>
    <t>Verify QR code in mobile device and Upload Configure for VP</t>
  </si>
  <si>
    <t>INJIWEB-639_TC_09</t>
  </si>
  <si>
    <t>Verify PDF rendering template for VC configuration</t>
  </si>
  <si>
    <t>Details fetched as per the rendering template</t>
  </si>
  <si>
    <t>INJIWEB-639_TC_10</t>
  </si>
  <si>
    <t>Check the complete flow in inspect mode</t>
  </si>
  <si>
    <t>Verify the complete flow in inspect mode by looking into the logs</t>
  </si>
  <si>
    <t>INJIWEB-639_TC_12</t>
  </si>
  <si>
    <t>Scan the QR code and check the data present in the QR code</t>
  </si>
  <si>
    <t>1. Select credentials
 2. Select issuer
 3. Enter KBI details
 4. Scan the QR code from third party(Not verify) app</t>
  </si>
  <si>
    <t>The QR code should contain 3 query params
 response type, presentation defination and resource.</t>
  </si>
  <si>
    <t>INJIWEB-639_TC_13</t>
  </si>
  <si>
    <t>Verify flow in INJI Verify after the QR code is scanned.</t>
  </si>
  <si>
    <t>Client ID and redirect URL is added in INJI Verify after we scan the qr code.
 This can be observed in inspect mode in INJI Verify</t>
  </si>
  <si>
    <t>INJIWEB-639_TC_14</t>
  </si>
  <si>
    <t>Check if the VC is downloaded in Durian storage</t>
  </si>
  <si>
    <t>1. Select credentials
 2. Select issuer
 3. Enter KBI details</t>
  </si>
  <si>
    <t>Once the download is completed there should be an entry created in minio static-policyid bucket</t>
  </si>
  <si>
    <t>DB/Minio operation required here</t>
  </si>
  <si>
    <t>INJIWEB-639_TC_18</t>
  </si>
  <si>
    <t>Verify QR code scan in INJI Verify Windows</t>
  </si>
  <si>
    <t>QR code scan should be passed and all fields should be displayed in inji-verify app</t>
  </si>
  <si>
    <t>INJIWEB-639_TC_19</t>
  </si>
  <si>
    <t>Upload VC from INJI Verify Windows</t>
  </si>
  <si>
    <t>1. Select credentials
 2. Select issuer
 3. Enter KBI details
 4. Upload QR code from verify app</t>
  </si>
  <si>
    <t>QR code Upload should be passed and all fields should be displayed in inji-verify app</t>
  </si>
  <si>
    <t>INJIWEB-639_TC_20</t>
  </si>
  <si>
    <t>Downloaded VC and scan in INJI Verify - Android</t>
  </si>
  <si>
    <t>1. Select credentials
 2. Select issuer
 3. Enter KBI details
 4. Scan the QR code from inji-verify</t>
  </si>
  <si>
    <t>INJIWEB-639_TC_21</t>
  </si>
  <si>
    <t>Downloa VC and Upload in INJI Verify - Android</t>
  </si>
  <si>
    <t>INJIWEB-649</t>
  </si>
  <si>
    <t>Integrate with Durian for data storage</t>
  </si>
  <si>
    <t>INJIWEB-649_TC_01</t>
  </si>
  <si>
    <t>Try to access the Durian DB and get the response back</t>
  </si>
  <si>
    <t>1. Download VC from Web
 2. Verify the entry in minio.</t>
  </si>
  <si>
    <t>It should create a new entry in minio database in static-policyid bucket</t>
  </si>
  <si>
    <t>INJIWEB-649_TC_02</t>
  </si>
  <si>
    <t>Verify retry attempts for "create" to connect durian</t>
  </si>
  <si>
    <t>1. Try Execute the Create Request to push the credentials into data share when the durian service is down</t>
  </si>
  <si>
    <t>3 attempts should be performed to connected to Durian DB
 Verify mimoto logs in rancher</t>
  </si>
  <si>
    <t>Servcie restart required</t>
  </si>
  <si>
    <t>INJIWEB-649_TC_03</t>
  </si>
  <si>
    <t>Check error message in Injiweb UI after max no.of retry attempts by brining the pod down</t>
  </si>
  <si>
    <t>1. Select Issuer
 2. Select Crednetial
 3. Down the durian pod
 4. Try to download the VC</t>
  </si>
  <si>
    <t>An error message should be displayed in the UI :
 Error header: “An Error Occured“Error message: “Sorry, due to technical error, we are unable to download the VC. Please try again later!“</t>
  </si>
  <si>
    <t>INJIWEB-649_TC_04</t>
  </si>
  <si>
    <t>Make the config to 2 to fail the download,
 Check error message in Injiweb UI after max no.of retry attempts by brining the pod down</t>
  </si>
  <si>
    <t>mimoto default, pls change the property :
 mosip.data.share.create.retry.count=2</t>
  </si>
  <si>
    <t>The retry to happen only 2 times and it should fail.
 in UI below error message should be appereard.
 Error header: “An Error Occured“Error message: “Sorry, due to technical error, we are unable to download the VC. Please try again later!“</t>
  </si>
  <si>
    <t>Config changes required</t>
  </si>
  <si>
    <t>INJIWEB-649_TC_05</t>
  </si>
  <si>
    <t>Make the config to 0 to fail the download and Check error message in Injiweb UI</t>
  </si>
  <si>
    <t>mimoto default, pls change the property :
 mosip.data.share.create.retry.count=0</t>
  </si>
  <si>
    <t>it should fail to connect to the durian db.
 in UI below error message should be appereard.
 Error header: “An Error Occured“Error message: “Sorry, due to technical error, we are unable to download the VC. Please try again later!“</t>
  </si>
  <si>
    <t>INJIWEB-649_TC_06</t>
  </si>
  <si>
    <t>Create API</t>
  </si>
  <si>
    <t>Execute the create API
 1. Use the below api to push the record
 https://datashare-inji.qa-inji.mosip.net/v1/datashare/create/static-policyid/static-subscriberid
 2. Select Body as form-data
 3. Under key as File
 4. Select Upload button and upload any file
 5. Submit the post request</t>
  </si>
  <si>
    <t>DB/Minio operation required from the api</t>
  </si>
  <si>
    <t>INJIWEB-649_TC_07</t>
  </si>
  <si>
    <t>Use the get API</t>
  </si>
  <si>
    <r>
      <rPr>
        <rFont val="Calibri"/>
        <color rgb="FF1155CC"/>
        <u/>
      </rPr>
      <t>1. Execute the get API request</t>
    </r>
    <r>
      <rPr>
        <rFont val="Calibri"/>
      </rPr>
      <t xml:space="preserve">
 https://datashare-inji.qa-inji.mosip.net/v1/datashare/get/static-policyid/static-subscriberid/{record-id}</t>
    </r>
  </si>
  <si>
    <t>API should fetch all the details</t>
  </si>
  <si>
    <t>INJIWEB-649_TC_08</t>
  </si>
  <si>
    <t>re-use the get API</t>
  </si>
  <si>
    <r>
      <rPr>
        <rFont val="Calibri"/>
        <color rgb="FF1155CC"/>
        <u/>
      </rPr>
      <t>1. Execute the get API request</t>
    </r>
    <r>
      <rPr>
        <rFont val="Calibri"/>
      </rPr>
      <t xml:space="preserve">
 https://datashare-inji.qa-inji.mosip.net/v1/datashare/get/static-policyid/static-subscriberid/{record-id}</t>
    </r>
  </si>
  <si>
    <t>INJIWEB-649_TC_09</t>
  </si>
  <si>
    <t>Try using the same token for more than 2 times</t>
  </si>
  <si>
    <r>
      <rPr>
        <rFont val="Calibri"/>
        <color rgb="FF1155CC"/>
        <u/>
      </rPr>
      <t>1. Execute the get API request</t>
    </r>
    <r>
      <rPr>
        <rFont val="Calibri"/>
      </rPr>
      <t xml:space="preserve">
 https://datashare-inji.qa-inji.mosip.net/v1/datashare/get/static-policyid/static-subscriberid/{record-id}</t>
    </r>
  </si>
  <si>
    <t>We should only be able to hit the API 2 times</t>
  </si>
  <si>
    <t>INJIWEB-649_TC_10</t>
  </si>
  <si>
    <t>Update the registry in sunbird and try to download the VC</t>
  </si>
  <si>
    <t>1. Update the details for the record in sunbird
 2. Download the VC</t>
  </si>
  <si>
    <t>VC should be downloaded and it should create another entry in datashare(minio)</t>
  </si>
  <si>
    <t>DB/Minio operation required</t>
  </si>
  <si>
    <t>INJIWEB-649_TC_13</t>
  </si>
  <si>
    <t>Delete record from Durain and verify scan configured for VC</t>
  </si>
  <si>
    <t>1. Delete the record for the VC and try to scan the QR code from verify app</t>
  </si>
  <si>
    <t>Proper error message should be returned when there is no data</t>
  </si>
  <si>
    <t>INJIWEB-649_TC_14</t>
  </si>
  <si>
    <t>Delete record from Durain and verify upload configured for VC</t>
  </si>
  <si>
    <t>1. Delete the record for the VC and try to upload the QR code from verify app</t>
  </si>
  <si>
    <t>INJIWEB-649_TC_15</t>
  </si>
  <si>
    <t>Update record and verify scan configured for VC</t>
  </si>
  <si>
    <t>1. Update the record for the VC and scan the QR code from verify app</t>
  </si>
  <si>
    <t>VC should fetch all the updated details</t>
  </si>
  <si>
    <t>INJIWEB-649_TC_16</t>
  </si>
  <si>
    <t>Update record and verify Upload configured for VC</t>
  </si>
  <si>
    <t>1. Update the record for the VC and upload the QR code from verify app</t>
  </si>
  <si>
    <t>INJIWEB-649_TC_17</t>
  </si>
  <si>
    <t>Delete record from Durain and verify scan configured for VP</t>
  </si>
  <si>
    <t>INJIWEB-649_TC_18</t>
  </si>
  <si>
    <t>Delete record from Durain and verify upload configured for VP</t>
  </si>
  <si>
    <t>INJIWEB-649_TC_19</t>
  </si>
  <si>
    <t>Update record and verify scan configured for VP</t>
  </si>
  <si>
    <t>INJIWEB-649_TC_20</t>
  </si>
  <si>
    <t>Update record and verify Upload configured for VP</t>
  </si>
  <si>
    <t>INJIWEB-649_TC_21</t>
  </si>
  <si>
    <t>Create more no.of VCs and verify the Durian</t>
  </si>
  <si>
    <t>1. Create more no.of VCs and verify scan and upload operations</t>
  </si>
  <si>
    <t>VC should fetch all the details without error</t>
  </si>
  <si>
    <t>INJIWEB-649_TC_22</t>
  </si>
  <si>
    <t>Verify entry in durian if configured for VC and downlaod the vC</t>
  </si>
  <si>
    <t>Make configuration for VC(not for VP)
 Downalod the VC from inji web
 Verify the entry in durian</t>
  </si>
  <si>
    <t>There should not be any entry in durian if configred for VC</t>
  </si>
  <si>
    <t>INJIWEB-665</t>
  </si>
  <si>
    <t>Online Sharing: Error Handling</t>
  </si>
  <si>
    <t>INJIWEB-665_TC_01</t>
  </si>
  <si>
    <t>Verify error message for invalid clinet-id</t>
  </si>
  <si>
    <t>1. Provide invalid client-id
 2. Try to scan/upload the QR code</t>
  </si>
  <si>
    <t>Shoud get the error message "Invalid request-some incorrect parameters in the request"</t>
  </si>
  <si>
    <t>INJIWEB-665_TC_02</t>
  </si>
  <si>
    <t>Verify error message for valid client_id and invalid redirect_uri</t>
  </si>
  <si>
    <t>1. Provide valid client-id and invalid redirect_uri
 2. Try to scan/upload the QR code</t>
  </si>
  <si>
    <t>INJIWEB-665_TC_03</t>
  </si>
  <si>
    <t>Verify error message for invalid client_id and invalid redirect_uri</t>
  </si>
  <si>
    <t>1. Provide invalid client-id and invalid redirect_uri
 2. Try to scan/upload the QR code</t>
  </si>
  <si>
    <t>INJIWEB-665_TC_04</t>
  </si>
  <si>
    <t>Verify error message for invalid QR Code</t>
  </si>
  <si>
    <t>1. Upload/Scan invalid QR code and verify error message</t>
  </si>
  <si>
    <t>Shoud get the error message "The requested resource doesn’t exist."</t>
  </si>
  <si>
    <t>Automated from inji-verify</t>
  </si>
  <si>
    <t>INJIWEB-665_TC_05</t>
  </si>
  <si>
    <t>Verify for invalid format</t>
  </si>
  <si>
    <t>Shoud get the error message "No VC of this format is found"</t>
  </si>
  <si>
    <t>INJIWEB-665_TC_06</t>
  </si>
  <si>
    <t>Verify error message for non-existing record</t>
  </si>
  <si>
    <t>1. Delete record from the db
 2. Verify QR code by scan/upload</t>
  </si>
  <si>
    <t>INJIWEB-665_TC_07</t>
  </si>
  <si>
    <t>Verify eror message if the limit to connect durian exceeded</t>
  </si>
  <si>
    <t>1. Try to verify the QR code on slow network to exceed config time limit</t>
  </si>
  <si>
    <t>Shoud get the error message "We are unable to process your request right now"</t>
  </si>
  <si>
    <t>INJIWEB-665_TC_08</t>
  </si>
  <si>
    <t>Veriy error message if the URI in the request is too long</t>
  </si>
  <si>
    <t>1. Scan the QR code which has long URI</t>
  </si>
  <si>
    <t>Shoud get the error message "Resource URI is too long to be handled"</t>
  </si>
  <si>
    <t>INJIWEB-665_TC_09</t>
  </si>
  <si>
    <t>Verify Error message on the slow internet</t>
  </si>
  <si>
    <t>1. Adjust the network setting in browser
 2. Upload the VC and check</t>
  </si>
  <si>
    <t>Shoud get the proper error message</t>
  </si>
  <si>
    <r>
      <rPr>
        <rFont val="Calibri"/>
        <color rgb="FF1155CC"/>
        <sz val="11.0"/>
        <u/>
      </rPr>
      <t>https://mosip.atlassian.net/browse/INJIWEB-842</t>
    </r>
  </si>
  <si>
    <t>INJIWEB-665_TC_10</t>
  </si>
  <si>
    <t>Verify error message if the Server is not reachable</t>
  </si>
  <si>
    <t>1. Make sure the durian service is down and scan the QR code</t>
  </si>
  <si>
    <t>Shoud get the error message "Inji Web server is not reachable right now"</t>
  </si>
  <si>
    <t>INJIWEB-679</t>
  </si>
  <si>
    <t>INJIWEB-679_TC_05</t>
  </si>
  <si>
    <t>Verification of the draft 13 (v13) changes with the issuer.</t>
  </si>
  <si>
    <t>1. Open the API in browser
 "https://injicertify-mock.qa-inji.mosip.net/v1/certify/issuance/.well-known/openid-credential-issuer"
 2. Check the "credential_configurations_supported" should be map
 3. "proof_types_supported" should be map</t>
  </si>
  <si>
    <t>Check the changes from the API response from browser. User should see the draft13 changes</t>
  </si>
  <si>
    <t>INJIWEB-679_TC_06</t>
  </si>
  <si>
    <t>Verify when the vd11 and vd12 URLs are blocked from nginX for insurance</t>
  </si>
  <si>
    <t>1. Get devops help to block the URLs of vd11 and vd12
 2. check the URLs are blocked from the browser
 3. From browser user should get as "URLs are blocked"
 "https://injicertify-insurance.qa-inji.mosip.net/v1/certify/issuance/.well-known/openid-credential-issuer?version=vd11"
 "https://injicertify-insurance.qa-inji.mosip.net/v1/certify/issuance/.well-known/openid-credential-issuer?version=vd12"
 4. Perform VC download from inji web</t>
  </si>
  <si>
    <t>User should be able to download VC successfully.</t>
  </si>
  <si>
    <t>INJIWEB-679_TC_07</t>
  </si>
  <si>
    <t>Verify when the vd11 and vd12 URLs are blocked from nginX for Mosip</t>
  </si>
  <si>
    <t>1. Get devops help to block the URLs of vd11 and vd12
 2. check the URLs are blocked from the browser
 3. From browser user should get as "URLs are blocked"
 "https://injicertify-mosipid.qa-inji.mosip.net/v1/certify/issuance/.well-known/openid-credential-issuer?version=vd11"
 "https://injicertify-mosipid.qa-inji.mosip.net/v1/certify/issuance/.well-known/openid-credential-issuer?version=vd12"
 4. Perform VC download from inji application</t>
  </si>
  <si>
    <t>INJIWEB-679_TC_08</t>
  </si>
  <si>
    <t>Verify when the vd11 and vd12 URLs are blocked from nginX for mock</t>
  </si>
  <si>
    <t>1. Get devops help to block the URLs of vd11 and vd12
 2. check the URLs are blocked from the browser
 3. From browser user should get as "URLs are blocked"
 "https://injicertify-mock.qa-inji.mosip.net/v1/certify/issuance/.well-known/openid-credential-issuer?version=vd11"
 "https://injicertify-mock.qa-inji.mosip.net/v1/certify/issuance/.well-known/openid-credential-issuer?version=vd12"
 4. Perform VC download from inji application</t>
  </si>
  <si>
    <t>INJIWEB-679_TC_09</t>
  </si>
  <si>
    <t>Verify when the vd11 and vd12 properties are removed from config for insurance</t>
  </si>
  <si>
    <t>1. Goto the qa from inji config repo
 2. Remove the vd11 and vd12 from "certify-sunbird-insurance.properties"
 3. Restart insurance-certify pod
 4. Perform VC download from inji web</t>
  </si>
  <si>
    <t>INJIWEB-679_TC_10</t>
  </si>
  <si>
    <t>Verify when the vd11 and vd12 properties are removed from config for mosip</t>
  </si>
  <si>
    <t>1. Goto the qa from inji config repo
 2. Remove the vd11 and vd12 from "certify-mosipid-identity.properties"
 3. Restart mosip-certify pod
 4. Perform VC download from inji web</t>
  </si>
  <si>
    <t>INJIWEB-679_TC_11</t>
  </si>
  <si>
    <t>Verify when the vd11 and vd12 properties are removed from config for mock</t>
  </si>
  <si>
    <t>1. Goto the qa from inji config repo
 2. Remove the vd11 and vd12 from "certify-mock-identity.properties"
 3. Restart mock-certify pod
 4. Perform VC download from inji application</t>
  </si>
  <si>
    <t>INJIWEB-679_TC_12</t>
  </si>
  <si>
    <t>Verify when the display properties are removed for sunbird VC from certify config</t>
  </si>
  <si>
    <t>1. Goto the qa from inji config repo
 2. Remove the display properties from "certify-sunbird-insurance.properties"
 3. Restart insurance-certify pod
 4. Perform VC download from inji web</t>
  </si>
  <si>
    <t>User should not able download VC successfully and the user get this error "The services currently unable now please try again later." in the inji web</t>
  </si>
  <si>
    <t>INJIWEB-679_TC_13</t>
  </si>
  <si>
    <t>Verify when the display properties are removed for mock VC from certify config</t>
  </si>
  <si>
    <t>1. Goto the qa from inji config repo
 2. Remove the display properties from "certify-mock-identity.properties"
 3. Restart mock-certify pod
 4. Perform VC download from inji web</t>
  </si>
  <si>
    <t>INJIWEB-679_TC_14</t>
  </si>
  <si>
    <t>Verify when the display properties are removed for mosip VC from certify config</t>
  </si>
  <si>
    <t>1. Goto the qa from inji config repo
 2. Remove the display properties from "certify-mosipid-identity.properties"
 3. Restart mosip-certify pod
 4. Perform VC download from inji web</t>
  </si>
  <si>
    <t>INJIWEB-679_TC_15</t>
  </si>
  <si>
    <t>Verify when the additional attribute added into display properties for mosip VC from certify config</t>
  </si>
  <si>
    <t>1. Goto the qa from inji config repo
 2. add attribute to the display properties from "certify-mosipid-identity.properties"
 EX: 'name': 'MOSIP National ID', \
 'name1': 'Test QA Name field', \
 3. Restart mosip-certify pod
 4. Perform VC download from inji application</t>
  </si>
  <si>
    <t>User should be able to download VC successfully and only the vaild attribute details should be displayed.</t>
  </si>
  <si>
    <t>INJIWEB-679_TC_16</t>
  </si>
  <si>
    <t>Verify when the additional duplicate attribute added into display properties for mosip VC from certify config</t>
  </si>
  <si>
    <t>1. Goto the qa from inji config repo
 2. add attribute to the display properties from "certify-mosipid-identity.properties"
 EX: 'name': 'MOSIP National ID', \
 'name': 'Test QA Name field', \
 3. Restart mosip-certify pod
 4. Perform VC download from inji web</t>
  </si>
  <si>
    <t>User should be able to download VC successfully and only the second attribute details should be displayed.</t>
  </si>
  <si>
    <t>INJIWEB-679_TC_17</t>
  </si>
  <si>
    <t>Verify when the display properties order is changed for mosip VC from certify config</t>
  </si>
  <si>
    <t>1. Goto the qa from inji config repo
 2. Change the order of the display properties from "certify-mosipid-identity.properties"
 ex: 'order' : {'phone','gender','dateOfBirth','fullName','email','region','province','UIN', 'VID', 'postalCode'}
 3. Restart mosip-certify pod
 4. Perform VC download from inji application</t>
  </si>
  <si>
    <t>User should be able to download VC successfully with updated order of display properties.</t>
  </si>
  <si>
    <t>INJIWEB-679_TC_18</t>
  </si>
  <si>
    <t>1. Goto the qa from inji config repo
 2. Remove the display properties from "certify-mock-identity.properties"
 3. Restart mock-certify pod
 4. Perform VC download from inji application</t>
  </si>
  <si>
    <t>User should be able to download VC successfully without display properties.</t>
  </si>
  <si>
    <t>INJIWEB-679_TC_19</t>
  </si>
  <si>
    <t>Verify when the additional attribute added into display properties for mock VC from certify config</t>
  </si>
  <si>
    <t>1. Goto the qa from inji config repo
 2. add attribute to the display properties from "certify-mock-identity.properties"
 EX: 'name': 'Mock identity', \
 'name1': 'Test QA Name field', \
 3. Restart mock-certify pod
 4. Perform VC download from inji web</t>
  </si>
  <si>
    <t>INJIWEB-679_TC_20</t>
  </si>
  <si>
    <t>Verify when the additional duplicate attribute added into display properties for mock VC from certify config</t>
  </si>
  <si>
    <t>1. Goto the qa from inji config repo
 2. add attribute to the display properties from "certify-mock-identity.properties"
 EX: 'name': 'Mock identity', \
 'name': 'Test QA Name field', \
 3. Restart mock-certify pod
 4. Perform VC download from inji application</t>
  </si>
  <si>
    <t>INJIWEB-679_TC_21</t>
  </si>
  <si>
    <t>Verify when the display properties order is changed for mock VC from certify config</t>
  </si>
  <si>
    <t>1. Goto the qa from inji config repo
 2. Change the order of the display properties from "certify-mock-identity.properties"
 ex: 'order' : {'phone','gender','dateOfBirth','fullName','email','region','province','UIN', 'VID', 'postalCode'}
 3. Restart mock-certify pod
 4. Perform VC download from inji application</t>
  </si>
  <si>
    <t>INJIWEB-679_TC_22</t>
  </si>
  <si>
    <t>Verify when the display properties are removed for insurance VC from certify config</t>
  </si>
  <si>
    <t>INJIWEB-679_TC_23</t>
  </si>
  <si>
    <t>Verify when the additional attribute added into display properties for insurance VC from certify config</t>
  </si>
  <si>
    <t>1. Goto the qa from inji config repo
 2. add attribute to the display properties from "certify-sunbird-insurance.properties"
 EX: 'name': 'Staye Protected', \
 'name1': 'Test QA Name field', \
 3. Restart insurance-certify pod
 4. Perform VC download from inji web</t>
  </si>
  <si>
    <t>User should be able to download VC successfully with updated display properties.</t>
  </si>
  <si>
    <t>INJIWEB-679_TC_24</t>
  </si>
  <si>
    <t>Verify when the additional duplicate attribute added into display properties for insurance VC from certify config</t>
  </si>
  <si>
    <t>1. Goto the qa from inji config repo
 2. add attribute to the display properties from "certify-sunbird-insurance.properties"
 EX: 'name': 'Staye Protected', \
 'name': 'Test QA Name field', \
 3. Restart insurance-certify pod
 4. Perform VC download from inji application</t>
  </si>
  <si>
    <t>User should be able to download VC successfully and only the first attribute details should be displayed.</t>
  </si>
  <si>
    <t>INJIVER-388</t>
  </si>
  <si>
    <t>INJIWEB-679_TC_25</t>
  </si>
  <si>
    <t>Verify when the display properties order is changed for insurance VC from certify config</t>
  </si>
  <si>
    <t>1. Goto the qa from inji config repo
 2. Change the order of the display properties from "certify-sunbird-insurance.properties"
 ex: 'order' : {'phone','gender','dateOfBirth','fullName','email','region','province','UIN', 'VID', 'postalCode'}
 3. Restart insurance-certify pod
 4. Perform VC download from inji web</t>
  </si>
  <si>
    <t>INJIWEB-679_TC_26</t>
  </si>
  <si>
    <t>Verify when the certify config file is removed</t>
  </si>
  <si>
    <t>1. Goto the qa from inji config repo
 2. delete file "certify-mosipid-insurance.properties"
 3. restart the mosip-certify pod from rancher</t>
  </si>
  <si>
    <t>Application should not restart successfully.</t>
  </si>
  <si>
    <t>ES-1361</t>
  </si>
  <si>
    <t>Verify the limit for OTP validation for mosip VC download</t>
  </si>
  <si>
    <t>1. Select MOSIP National ID credential for download
 2. Provide UIN/VID to download credential
 3. Provide wrong OTP for multiple times</t>
  </si>
  <si>
    <t>OTP verification should be failed after certain no.of validations</t>
  </si>
  <si>
    <r>
      <rPr>
        <rFont val="Calibri"/>
        <color rgb="FF1155CC"/>
        <sz val="11.0"/>
        <u/>
      </rPr>
      <t>https://mosip.atlassian.net/browse/ES-1361</t>
    </r>
  </si>
  <si>
    <t>ES-1360</t>
  </si>
  <si>
    <t>Verify invalid charectars in search bar</t>
  </si>
  <si>
    <t>1. Launch inji-web application
 2. Enter special charectars/-ve numbers/garbage values</t>
  </si>
  <si>
    <t>Search should not accept special charectars</t>
  </si>
  <si>
    <t>Esginet configuration</t>
  </si>
  <si>
    <r>
      <rPr>
        <rFont val="Calibri"/>
        <color rgb="FF1155CC"/>
        <sz val="11.0"/>
        <u/>
      </rPr>
      <t>https://mosip.atlassian.net/browse/ES-1360</t>
    </r>
  </si>
  <si>
    <t>ES-1358</t>
  </si>
  <si>
    <t>Verify error message if the authentication page is under stress</t>
  </si>
  <si>
    <t>Proper error message should be displayed, even when the authentication page is under stress</t>
  </si>
  <si>
    <r>
      <rPr>
        <rFont val="Calibri"/>
        <color rgb="FF1155CC"/>
        <sz val="11.0"/>
        <u/>
      </rPr>
      <t>https://mosip.atlassian.net/browse/ES-1358</t>
    </r>
  </si>
  <si>
    <t>ES-1215</t>
  </si>
  <si>
    <t>Verify After entering the data, user getting "do not Click Back” button or “ Refresh” the page message</t>
  </si>
  <si>
    <t>1. Open inji web portal
 2. Select mosip issuer
 3. Select a credential
 4. Select inspect mode and diff dimesions</t>
  </si>
  <si>
    <t>User should get "do not Click Back” button or “ Refresh” the page message</t>
  </si>
  <si>
    <r>
      <rPr>
        <rFont val="Calibri"/>
        <color rgb="FF1155CC"/>
        <sz val="11.0"/>
        <u/>
      </rPr>
      <t>https://mosip.atlassian.net/browse/ES-1215</t>
    </r>
  </si>
  <si>
    <t>ES-1214</t>
  </si>
  <si>
    <t>Verify Error message is displayed in choosen lang when the authentication is failed</t>
  </si>
  <si>
    <t>1. Create a policy
 2. Open injiweb portal
 3. Select Sunbird issuer
 4. Select "Sunbird Life Insurance" credential
 5. Provide invalid data for KBA authentication</t>
  </si>
  <si>
    <t>Error message should displayed properly in all the configured langs</t>
  </si>
  <si>
    <r>
      <rPr>
        <rFont val="Calibri"/>
        <color rgb="FF1155CC"/>
        <sz val="11.0"/>
        <u/>
      </rPr>
      <t>https://mosip.atlassian.net/browse/ES-1214</t>
    </r>
  </si>
  <si>
    <t>ES-1213</t>
  </si>
  <si>
    <t>Verify authentication window alignment in all the browsers</t>
  </si>
  <si>
    <t>1. Open inji web portal
 2. Select an issuer
 3. Select Credntial type</t>
  </si>
  <si>
    <t>Authnetication window should align properly in all the browsers</t>
  </si>
  <si>
    <r>
      <rPr>
        <rFont val="Calibri"/>
        <color rgb="FF1155CC"/>
        <sz val="11.0"/>
        <u/>
      </rPr>
      <t>https://mosip.atlassian.net/browse/ES-1213</t>
    </r>
  </si>
  <si>
    <t>ES-1212</t>
  </si>
  <si>
    <t>Verify Authnetication window alignment in RTL</t>
  </si>
  <si>
    <t>Authentication window should be aligned properly in RTL lang</t>
  </si>
  <si>
    <r>
      <rPr>
        <rFont val="Calibri"/>
        <color rgb="FF1155CC"/>
        <sz val="11.0"/>
        <u/>
      </rPr>
      <t>https://mosip.atlassian.net/browse/ES-1212</t>
    </r>
  </si>
  <si>
    <t>ES-1211</t>
  </si>
  <si>
    <t>Verify authentication window with lower browser versions</t>
  </si>
  <si>
    <t>1. Verify authentication window on lower browser version for all the supported browsers</t>
  </si>
  <si>
    <t>Authntication window should suppot all the browser versions</t>
  </si>
  <si>
    <r>
      <rPr>
        <rFont val="Calibri"/>
        <color rgb="FF1155CC"/>
        <sz val="11.0"/>
        <u/>
      </rPr>
      <t>https://mosip.atlassian.net/browse/ES-1211</t>
    </r>
  </si>
  <si>
    <t>ES-1206</t>
  </si>
  <si>
    <t>Verify authentication window for unwanted strings/spaces</t>
  </si>
  <si>
    <t>There should not be any extra spaces/strings in the authentication page</t>
  </si>
  <si>
    <r>
      <rPr>
        <rFont val="Calibri"/>
        <color rgb="FF1155CC"/>
        <sz val="11.0"/>
        <u/>
      </rPr>
      <t>https://mosip.atlassian.net/browse/ES-1206</t>
    </r>
  </si>
  <si>
    <t>INJIWEB-880</t>
  </si>
  <si>
    <t>Update Inji Web FAQ for Online Sharing (OVP)</t>
  </si>
  <si>
    <t>INJIWEB-880_TC_01</t>
  </si>
  <si>
    <t>FAQ Support</t>
  </si>
  <si>
    <t>Verify the FAQ details updated for the OVP</t>
  </si>
  <si>
    <t>1. Open inji web portal
 2. Click on Help tab</t>
  </si>
  <si>
    <t>FAQ should be updated with the latest OVP details</t>
  </si>
  <si>
    <t>INJIWEB-880_TC_02</t>
  </si>
  <si>
    <t>Verify the FAQ details updated for the OVP for all languages</t>
  </si>
  <si>
    <t>1. Open inji web portal
 2. Click on Help tab
 3. Change lang option</t>
  </si>
  <si>
    <t>FAQ should be translated to all the langs and the latest data should be present in all the langs</t>
  </si>
  <si>
    <t>INJIWEB-880_TC_03</t>
  </si>
  <si>
    <t>Verify the FAQ alignmnet for all languages</t>
  </si>
  <si>
    <t>1. Open inji web portal
 2. Click on Help tab
 3. Change lang option
 4. Verify alignment for all the languages</t>
  </si>
  <si>
    <t>Latest info should be present in FAQs in all the langs and the alignment should be proper for all the langs</t>
  </si>
  <si>
    <t>INJIWEB-880_TC_04</t>
  </si>
  <si>
    <t>Verify the FAQ alignmnet for responsive view</t>
  </si>
  <si>
    <t>1. Open inji web portal
 2. Click on Help tab
 3. Change lang option
 4. Verify alignment for all the screen sizes</t>
  </si>
  <si>
    <t>Latest info should be present in FAQs in all the langs and the alignment should be proper for all the screen sizes</t>
  </si>
  <si>
    <t>INJIWEB-268</t>
  </si>
  <si>
    <t>UI/UX improvements</t>
  </si>
  <si>
    <t>INJIWEB-268_TC_01</t>
  </si>
  <si>
    <t>UI UX Dessign</t>
  </si>
  <si>
    <t>Verify the issuers are center aligned for all the supported browsers</t>
  </si>
  <si>
    <t>1. Open the inji web portal</t>
  </si>
  <si>
    <t>The list of issuers should be center aligned</t>
  </si>
  <si>
    <t>Alignmnet/Brnading changes</t>
  </si>
  <si>
    <t>INJIWEB-268_TC_02</t>
  </si>
  <si>
    <t>Verify the issuers are center aligned for all the supported languages</t>
  </si>
  <si>
    <t>INJIWEB-268_TC_03</t>
  </si>
  <si>
    <t>Verify the issuers displayed in the UI in all supported browsers</t>
  </si>
  <si>
    <t>The list of issuers should displayed as boxed</t>
  </si>
  <si>
    <t>INJIWEB-268_TC_04</t>
  </si>
  <si>
    <t>Verify the issuers alignment in the UI in all supported browsers</t>
  </si>
  <si>
    <t>INJIWEB-268_TC_05</t>
  </si>
  <si>
    <t>Verify the credentials lignment UI in all supported browsers</t>
  </si>
  <si>
    <t>1. Open the inji web portal
 2. Select any issuer</t>
  </si>
  <si>
    <t>The list of credentials should displayed as boxed</t>
  </si>
  <si>
    <t>INJIWEB-268_TC_06</t>
  </si>
  <si>
    <t>Verify the credentials displayed UI in all supported languages</t>
  </si>
  <si>
    <t>INJIWEB-268_TC_07</t>
  </si>
  <si>
    <t>Verify mouse hover feature on issuers in all supported browsers</t>
  </si>
  <si>
    <t>1. Open the inji web portal
 2. Move the mouse cursor near by issuer box</t>
  </si>
  <si>
    <t>The issuer should be hightlighted</t>
  </si>
  <si>
    <t>INJIWEB-268_TC_08</t>
  </si>
  <si>
    <t>Verify mouse hover feature on issuers in all supported languages</t>
  </si>
  <si>
    <t>INJIWEB-268_TC_09</t>
  </si>
  <si>
    <t>Verify mouse hover feature on credentials in all supported browsers</t>
  </si>
  <si>
    <t>1. Open the inji web portal
 2. Select the issuer
 3. Move the mouse cursor nearer to credential box</t>
  </si>
  <si>
    <t>The credential should be hightlighted</t>
  </si>
  <si>
    <t>INJIWEB-268_TC_10</t>
  </si>
  <si>
    <t>Verify mouse hover feature on credentials in all supported languages</t>
  </si>
  <si>
    <t>INJIWEB-268_TC_11</t>
  </si>
  <si>
    <t>Verify the heading on the landing page in different languages</t>
  </si>
  <si>
    <t>Heading on the landing page should be "Access your Verifiable Credentials with ease!" and should translate to selected languages</t>
  </si>
  <si>
    <t>INJIWEB-268_TC_12</t>
  </si>
  <si>
    <t>Verify the message below heading on landing page in all supported languages</t>
  </si>
  <si>
    <t>Message below heading on landing page should be "
 Securely download and share your credentials instantly" and should translate to the selected alnguages</t>
  </si>
  <si>
    <t>INJIWEB-268_TC_13</t>
  </si>
  <si>
    <t>Verify subtext for list of issuers in all the languages</t>
  </si>
  <si>
    <t>the subtext for list of issuers should be "
 Search for your trusted issuer and choose a credential type in the next step" and should also translate to selected languages</t>
  </si>
  <si>
    <t>INJIWEB-268_TC_14</t>
  </si>
  <si>
    <t>Verify subtext for list of credentials in all the languages</t>
  </si>
  <si>
    <t>the subtext for list of credentilals should be "Choose a credential, and confirm your identity in the next step." and should also translated to selected language</t>
  </si>
  <si>
    <t>INJIWEB-424</t>
  </si>
  <si>
    <t>VC Verification before PDF generation</t>
  </si>
  <si>
    <t>INJIWEB-424_TC_01</t>
  </si>
  <si>
    <t>Configure for VP</t>
  </si>
  <si>
    <t>Verify for newly created record</t>
  </si>
  <si>
    <t>1. Launch the inji web portal
 2. Select veridonia issuer
 3. Select a credential
 4. Download the cedential</t>
  </si>
  <si>
    <t>VC should be downloaded and the new entry should be created in durian</t>
  </si>
  <si>
    <t>INJIWEB-424_TC_02</t>
  </si>
  <si>
    <t>Verify with updated record details</t>
  </si>
  <si>
    <t>1. Update the record in sunbird using update api
 2. Launch the inji web portal
 3. Select veridonia issuer
 4. Select a credential
 5. Download the cedential with the updated details</t>
  </si>
  <si>
    <t>INJIWEB-424_TC_03</t>
  </si>
  <si>
    <t>Verify with deleted record details</t>
  </si>
  <si>
    <t>1. Delete the existing record in durian
 2. Launch the inji web portal
 3. Select veridonia issuer
 4. Select a credential
 5. Download the cedential with the the deleted details</t>
  </si>
  <si>
    <t>Authentication should be failed/
 Proper error message should be displayed</t>
  </si>
  <si>
    <t>INJIWEB-424_TC_05</t>
  </si>
  <si>
    <t>Verify if the durain entry is created for VC verification failure</t>
  </si>
  <si>
    <t>1. Launch the inji web portal
 2. Select veridonia issuer
 3. Select a credential
 4. Download the cedential with invalid details</t>
  </si>
  <si>
    <t>VC download should be failed and no record should be created in durian</t>
  </si>
  <si>
    <t>INJIWEB-424_TC_06</t>
  </si>
  <si>
    <t>Verify downloaded VC in inji-verify</t>
  </si>
  <si>
    <t>1. Launch the inji web portal
 2. Select veridonia issuer
 3. Select a credential
 4. Download the cedential with valid details
 5. Verify the downloaded VC from inji verify</t>
  </si>
  <si>
    <t>Download VC should be verified always and failures should not be observed</t>
  </si>
  <si>
    <t>INJIWEB-424_TC_07</t>
  </si>
  <si>
    <t>Verify for download mosip VC</t>
  </si>
  <si>
    <t>1. Launch the inji web portal
 2. Select mosip issuer
 3. Select a credential
 4. Download the cedential with valid details</t>
  </si>
  <si>
    <t>INJIWEB-424_TC_08</t>
  </si>
  <si>
    <t>Verify for download mosip VC with invalid details</t>
  </si>
  <si>
    <t>1. Launch the inji web portal
 2. Select mosip issuer
 3. Select a credential
 4. Download the cedential with invalid details</t>
  </si>
  <si>
    <t>Authentication should be failed and
 Proper error message should be displayed</t>
  </si>
  <si>
    <t>INJIWEB-424_TC_09</t>
  </si>
  <si>
    <t>Verify for mock VC</t>
  </si>
  <si>
    <t>1. Launch the inji web portal
 2. Select mock issuer
 3. Select a credential
 4. Download the cedential with valid details</t>
  </si>
  <si>
    <t>INJIWEB-424_TC_10</t>
  </si>
  <si>
    <t>Verify for mock VC with invalid details</t>
  </si>
  <si>
    <t>1. Launch the inji web portal
 2. Select mock issuer
 3. Select a credential
 4. Download the cedential with invalid details</t>
  </si>
  <si>
    <t>INJIWEB-424_TC_14</t>
  </si>
  <si>
    <t>Configure for Embeded VC</t>
  </si>
  <si>
    <t>Verify if record created in durian for veridonia VC download</t>
  </si>
  <si>
    <t>VC should be downloaded but new entry should not be created in durian</t>
  </si>
  <si>
    <t>Duraian DB verification</t>
  </si>
  <si>
    <t>INJIWEB-424_TC_15</t>
  </si>
  <si>
    <t>Verify if record created in durian for mosip VC download</t>
  </si>
  <si>
    <t>INJIWEB-424_TC_16</t>
  </si>
  <si>
    <t>Verify if record created in durian for mock VC download</t>
  </si>
  <si>
    <t>INJIWEB-424_TC_18</t>
  </si>
  <si>
    <t>1. Download the VC with valid details
 2. Verify the vc from the inji verify</t>
  </si>
  <si>
    <t>Download VC should be validated</t>
  </si>
  <si>
    <t>INJIWEB-511</t>
  </si>
  <si>
    <t>Home Page for Inji Web with New Branding</t>
  </si>
  <si>
    <t>INJIWEB-511_TC_01</t>
  </si>
  <si>
    <t>Verify the home page colors are updated as per the new branding design</t>
  </si>
  <si>
    <t>1. Launch inji web portal in all supported browsers</t>
  </si>
  <si>
    <t>Home page colors should be updated as per the new UI changes</t>
  </si>
  <si>
    <t>INJIWEB-511_TC_02</t>
  </si>
  <si>
    <t>Verify the logo updated as per the new design</t>
  </si>
  <si>
    <t>1. Launch inji web portal in diff browsers
 2. Verify the logo in all the supported browsers</t>
  </si>
  <si>
    <t>INJIWEB-511_TC_03</t>
  </si>
  <si>
    <t>Verify the Home button present on the landinging page and is clickable</t>
  </si>
  <si>
    <t>1. Launch inji web portal in diff browsers
 2. Verify the home button presnet in all the supported browsers
 3. Click on home button</t>
  </si>
  <si>
    <t>Home button should be present/visible in all the supported browsers and home button should be clickable</t>
  </si>
  <si>
    <t>INJIWEB-511_TC_04</t>
  </si>
  <si>
    <t>Verify the Home button translated to diff languages and functioning in all the languages</t>
  </si>
  <si>
    <t>1. Launch inji web portal in diff browsers
 2. Verify the home button presnet in all the supported browsers
 3. Select different languages
 4. Click on home button</t>
  </si>
  <si>
    <t>Home button should be translated to all the languages and should function in all the languages</t>
  </si>
  <si>
    <t>INJIWEB-511_TC_05</t>
  </si>
  <si>
    <t>Verify the Help button present on the landing page and is clickable</t>
  </si>
  <si>
    <t>1. Launch inji web portal in diff browsers
 2. Verify the Help button presnet in all the supported browsers
 3. Click on Help button</t>
  </si>
  <si>
    <t>Help button should be present/visible in all the supported browsers and clicking on help button should navigate to FAQ page</t>
  </si>
  <si>
    <t>INJIWEB-511_TC_06</t>
  </si>
  <si>
    <t>Verify the Help button translated to diff languages and functioning in all the languages</t>
  </si>
  <si>
    <t>1. Launch inji web portal in diff browsers
 2. Verify the Help button presnet in all the supported browsers
 3. Select different languages
 4. Click on Help button</t>
  </si>
  <si>
    <t>Help button should be translated to all the languages and should function in all the languages</t>
  </si>
  <si>
    <t>INJIWEB-511_TC_07</t>
  </si>
  <si>
    <t>Verify the Language selection button present and is clickable</t>
  </si>
  <si>
    <t>1. Launch inji web portal in diff browsers
 2. Verify the Language selection button presnet in all the supported browsers
 3. Click on Language selection button and change the language</t>
  </si>
  <si>
    <t>Language selection button should be present/visible in all the supported browsers and clicking on Language selection button should open all the supported languages</t>
  </si>
  <si>
    <t>INJIWEB-511_TC_08</t>
  </si>
  <si>
    <t>Verify Login and Signup button are present</t>
  </si>
  <si>
    <t>1. Launch inji web portal in diff browsers
 2. Verify the login and signup button presnet in all the supported browsers</t>
  </si>
  <si>
    <t>Login and signup button should be present/visible in all the supported</t>
  </si>
  <si>
    <t>INJIWEB-511_TC_10</t>
  </si>
  <si>
    <t>verify the home banner heading</t>
  </si>
  <si>
    <t>1. Launch inji web portal in diff browsers
 2. Verify Home banner heading</t>
  </si>
  <si>
    <t>Home banner should be present and heading on home banner should be: "Effortlessly Access and Manage Your Digital Credentials"</t>
  </si>
  <si>
    <t>INJIWEB-511_TC_11</t>
  </si>
  <si>
    <t>1. Launch inji web portal in diff browsers
 2. Verify Home banner heading
 3. Select diff languages</t>
  </si>
  <si>
    <t>Home banner should be present and heading on home banner should be translated to all the supported languages</t>
  </si>
  <si>
    <t>INJIWEB-511_TC_12</t>
  </si>
  <si>
    <t>Verify home banner description</t>
  </si>
  <si>
    <t>1. Launch inji web portal in diff browsers
 2. Verify description on Home banner</t>
  </si>
  <si>
    <t>Description should be present on Home banner and The Description should be: "Make your data portable with trust. Securely manage your digital documents with our easy-to-use web-based wallet."</t>
  </si>
  <si>
    <t>INJIWEB-511_TC_13</t>
  </si>
  <si>
    <t>Verify home banner description in diff languages</t>
  </si>
  <si>
    <t>1. Launch inji web portal in diff browsers
 2. Verify description on Home banner
 3. Select diff languages</t>
  </si>
  <si>
    <t>Description should be present on Home banner and The Description should be translated to all the languages</t>
  </si>
  <si>
    <t>INJIWEB-511_TC_14</t>
  </si>
  <si>
    <t>Verify Get started button on home banner</t>
  </si>
  <si>
    <t>1. Launch inji web portal in diff browsers
 2. Verify Get started on Home banner
 3. Click on Get started button</t>
  </si>
  <si>
    <t>Get started button should be present on the Home banner and on clicking the Get started should naviagate to issuers landing page</t>
  </si>
  <si>
    <t>INJIWEB-511_TC_15</t>
  </si>
  <si>
    <t>1. Launch inji web portal in diff browsers
 2. Verify Get started on Home banner
 3. Select diff lang
 3. Click on Get started button</t>
  </si>
  <si>
    <t>Get started button should be present on the Home banner and should be translated to all the supported languages. on clicking the Get started should naviagate to issuers landing page</t>
  </si>
  <si>
    <t>INJIWEB-511_TC_16</t>
  </si>
  <si>
    <t>Verify "Features of Inji Web" heading</t>
  </si>
  <si>
    <t>1. Launch inji web portal in diff browsers
 2. Verify heading on Features of Inji Web</t>
  </si>
  <si>
    <t>Heading should be displayed as "Features of Inji Web"</t>
  </si>
  <si>
    <t>INJIWEB-511_TC_17</t>
  </si>
  <si>
    <t>Verify "Features of Inji Web" heading in diff lang</t>
  </si>
  <si>
    <t>1. Launch inji web portal in diff browsers
 2. Verify heading on Features of Inji Web
 3. Select diff languages</t>
  </si>
  <si>
    <t>Heading should be to all the supported languages</t>
  </si>
  <si>
    <t>INJIWEB-511_TC_18</t>
  </si>
  <si>
    <t>Verify Features of Inji Web descrption</t>
  </si>
  <si>
    <t>1. Launch inji web portal in diff browsers
 2. Verify description on Features of Inji Web</t>
  </si>
  <si>
    <t>Description should be displayed as "Seamless and secure management of verifiable credentials
 for trusted digital interactions." for "Features of Inji Web"</t>
  </si>
  <si>
    <t>INJIWEB-511_TC_19</t>
  </si>
  <si>
    <t>Verify Features of Inji Web descrption in all the langs</t>
  </si>
  <si>
    <t>1. Launch inji web portal in diff browsers
 2. Verify description on Features of Inji Web
 3. Change the lang</t>
  </si>
  <si>
    <t>Description should be displayed translated to all the supported languages</t>
  </si>
  <si>
    <t>INJIWEB-511_TC_20</t>
  </si>
  <si>
    <t>Verify "Features of Inji Web" image</t>
  </si>
  <si>
    <t>1. Launch inji web portal in diff browsers
 2. Verify logo for Features of Inji Web</t>
  </si>
  <si>
    <t>Image should be present on "Features of Inji Web'</t>
  </si>
  <si>
    <t>INJIWEB-511_TC_21</t>
  </si>
  <si>
    <t>Verify Accessing Credentials details available with Heading</t>
  </si>
  <si>
    <t>1. Launch inji web portal in diff browsers
 2. Verify heading on Accessing Credentials of Inji Web</t>
  </si>
  <si>
    <t>Heading should be displayed as "Access Your Credentials, Anywhere You Need"</t>
  </si>
  <si>
    <t>INJIWEB-511_TC_22</t>
  </si>
  <si>
    <t>Verify Accessing Credentials details available with Heading in all the langs</t>
  </si>
  <si>
    <t>1. Launch inji web portal in diff browsers
 2. Verify heading on Accessing Credentials of Inji Web
 3. Change the language</t>
  </si>
  <si>
    <t>Heading should be displayed and translated to all the languages</t>
  </si>
  <si>
    <t>INJIWEB-511_TC_23</t>
  </si>
  <si>
    <t>Verify Accessing Credentials details available with Description1 and Description2</t>
  </si>
  <si>
    <t>1. Launch inji web portal in diff browsers
 2. Verify description on Accessing Credentials details of Inji Web</t>
  </si>
  <si>
    <t>Description should be displayed as :
 Credentials Simplified
 Keep all your essential documents
 No more Paperwork. All In One Place
 Effortlessly download, store, and retrieve your documents with ease. WIn, win, win.</t>
  </si>
  <si>
    <t>INJIWEB-511_TC_24</t>
  </si>
  <si>
    <t>Verify Accessing Credentials details available with Description1 and Description2 in all the langs</t>
  </si>
  <si>
    <t>1. Launch inji web portal in diff browsers
 2. Verify description on Accessing Credentials details of Inji Web
 3. Select diff languages</t>
  </si>
  <si>
    <t>Description should be displayed and translated to all the languages</t>
  </si>
  <si>
    <t>INJIWEB-511_TC_25</t>
  </si>
  <si>
    <t>Verify Accessing Credentials details available with Logo</t>
  </si>
  <si>
    <t>1. Launch inji web portal in diff browsers
 2. Verify logo for Accessing Credentials details of Inji Web</t>
  </si>
  <si>
    <t>Image should be present on "Access Your Credentials, Anywhere You Need'</t>
  </si>
  <si>
    <t>INJIWEB-511_TC_26</t>
  </si>
  <si>
    <t>Verify Downloading Credentials details available with Heading</t>
  </si>
  <si>
    <t>1. Launch inji web portal in diff browsers
 2. Verify heading on Downloading Credentials details of Inji Web</t>
  </si>
  <si>
    <t>Heading should be displayed as "Your Documents Downloaded in Second"</t>
  </si>
  <si>
    <t>INJIWEB-511_TC_27</t>
  </si>
  <si>
    <t>Verify Downloading Credentials details available with Heading in all the langs</t>
  </si>
  <si>
    <t>1. Launch inji web portal in diff browsers
 2. Verify heading on Downloading Credentials details of Inji Web
 3. Select diff langs</t>
  </si>
  <si>
    <t>INJIWEB-511_TC_28</t>
  </si>
  <si>
    <t>Verify Downloading Credentials details available with logo</t>
  </si>
  <si>
    <t>1. Launch inji web portal in diff browsers
 2. Verify logo on Accessing Credentials details of Inji Web</t>
  </si>
  <si>
    <t>Logo should be present on "Your Documents Downloaded in Second"</t>
  </si>
  <si>
    <t>INJIWEB-511_TC_29</t>
  </si>
  <si>
    <t>Verify Downloading Credentials details available with Description1 and Description2</t>
  </si>
  <si>
    <t>Description should be displayed as :
 Download with Confidence
 Save you rimportant documents instantly
 Safe and Sound
 Download IDs, licenses, and more, in one secure location.</t>
  </si>
  <si>
    <t>INJIWEB-511_TC_30</t>
  </si>
  <si>
    <t>Verify Downloading Credentials details available with Description1 and Description2 in all the langs</t>
  </si>
  <si>
    <t>1. Launch inji web portal in diff browsers
 2. Verify logo for Accessing Credentials details of Inji Web
 3. Select diff langs</t>
  </si>
  <si>
    <t>INJIWEB-511_TC_31</t>
  </si>
  <si>
    <t>Verify Easy sharing details available with Heading</t>
  </si>
  <si>
    <t>1. Launch inji web portal in diff browsers
 2. Verify heading on Easy sharing details of Inji Web</t>
  </si>
  <si>
    <t>Heading should be displayed as "Easy sharing"</t>
  </si>
  <si>
    <t>INJIWEB-511_TC_32</t>
  </si>
  <si>
    <t>Verify Easy sharing details available with Heading in all the langs</t>
  </si>
  <si>
    <t>1. Launch inji web portal in diff browsers
 2. Verify heading on Easy sharing details of Inji Web
 3. Select diff langs</t>
  </si>
  <si>
    <t>INJIWEB-511_TC_33</t>
  </si>
  <si>
    <t>Verify Easy sharing Credentials details available with logo</t>
  </si>
  <si>
    <t>1. Launch inji web portal in diff browsers
 2. Verify logo on Easy sharing Credentials detail of Inji Web</t>
  </si>
  <si>
    <t>Logo should be present on "Easy sharing"</t>
  </si>
  <si>
    <t>INJIWEB-511_TC_34</t>
  </si>
  <si>
    <t>Verify Easy sharing Credentials details available with Description1 and Description2</t>
  </si>
  <si>
    <t>1. Launch inji web portal in diff browsers
 2. Verify logo for Easy sharing details of Inji Web</t>
  </si>
  <si>
    <t>Description should be displayed as :
 Share with a QR Code
 Seamlessly share your IDs and certificates on the go. Just present the QR code of your document, to be scanned and shared.
 Read, set, share
 QR code verified in real time.</t>
  </si>
  <si>
    <t>INJIWEB-511_TC_35</t>
  </si>
  <si>
    <t>Verify Easy sharing Credentials details available with Description1 and Description2 in all the alngs</t>
  </si>
  <si>
    <t>1. Launch inji web portal in diff browsers
 2. Verify logo for Easy sharing details of Inji Web
 3. Select diff langs</t>
  </si>
  <si>
    <t>INJIWEB-511_TC_36</t>
  </si>
  <si>
    <t>Verify secure and Private (secure storage) details available with Heading</t>
  </si>
  <si>
    <t>1. Launch inji web portal in diff browsers
 2. Verify heading on secure and Private details of Inji Web</t>
  </si>
  <si>
    <t>Heading should be displayed as "secure and Private"</t>
  </si>
  <si>
    <t>INJIWEB-511_TC_37</t>
  </si>
  <si>
    <t>Verify secure and Private (secure storage) details available with Heading in all the langs</t>
  </si>
  <si>
    <t>1. Launch inji web portal in diff browsers
 2. Verify heading on secure and Private details of Inji Web
 3. Select diff langs</t>
  </si>
  <si>
    <t>INJIWEB-511_TC_38</t>
  </si>
  <si>
    <t>Verify secure and Private (secure storage) details available with logo</t>
  </si>
  <si>
    <t>1. Launch inji web portal in diff browsers
 2. Verify logo on "secure and Private" of Inji Web</t>
  </si>
  <si>
    <t>Logo should be present on "secure and Private"</t>
  </si>
  <si>
    <t>INJIWEB-511_TC_39</t>
  </si>
  <si>
    <t>Verify secure and Private (secure storage) details available with Description1 and Description2</t>
  </si>
  <si>
    <t>1. Launch inji web portal in diff browsers
 2. Verify logo for secure and Private details of Inji Web</t>
  </si>
  <si>
    <t>Description should be displayed as :
 Your Credentials, Protected
 Your data stays private, with the built-in security mechanism.
 Rest Easy
 Keep your credentials safe, so you can focus on what matters..</t>
  </si>
  <si>
    <t>INJIWEB-511_TC_40</t>
  </si>
  <si>
    <t>Verify secure and Private (secure storage) details available with Description1 and Description2 in all the langs</t>
  </si>
  <si>
    <t>1. Launch inji web portal in diff browsers
 2. Verify logo for secure and Private details of Inji Web
 3. Select diff langs</t>
  </si>
  <si>
    <t>INJIWEB-511_TC_41</t>
  </si>
  <si>
    <t>Verify "Wider Access &amp; Compatibility" details available with Heading</t>
  </si>
  <si>
    <t>1. Launch inji web portal in diff browsers
 2. Verify heading on Wider Access &amp; Compatibility details of Inji Web</t>
  </si>
  <si>
    <t>Heading should be displayed as "Wider Access &amp; Compatibility"</t>
  </si>
  <si>
    <t>INJIWEB-511_TC_42</t>
  </si>
  <si>
    <t>Verify "Wider Access &amp; Compatibility" details available with Heading in all the langs</t>
  </si>
  <si>
    <t>1. Launch inji web portal in diff browsers
 2. Verify heading on Wider Access &amp; Compatibility details of Inji Web
 3. Select diff langs</t>
  </si>
  <si>
    <t>INJIWEB-511_TC_43</t>
  </si>
  <si>
    <t>Verify "Wider Access &amp; Compatibility" details available with logo</t>
  </si>
  <si>
    <t>1. Launch inji web portal in diff browsers
 2. Verify logo on "Wider Access &amp; Compatibility" of Inji Web</t>
  </si>
  <si>
    <t>Logo should be present on "Wider Access &amp; Compatibility"</t>
  </si>
  <si>
    <t>INJIWEB-511_TC_44</t>
  </si>
  <si>
    <t>Verify "Wider Access &amp; Compatibility" details available with Description1 and Description2</t>
  </si>
  <si>
    <t>1. Launch inji web portal in diff browsers
 2. Verify logo for Wider Access &amp; Compatibility details of Inji Web</t>
  </si>
  <si>
    <t>Description should be displayed as :
 Available on Your Favourite Browser
 Inji Web works with Chrome, Safari, Firefox, and Edge.
 Always Within Reach
 Convenience meets accessibility wherever you are, ensuring your documents are always within reach.</t>
  </si>
  <si>
    <t>INJIWEB-511_TC_45</t>
  </si>
  <si>
    <t>Verify "Wider Access &amp; Compatibility" details available with Description1 and Description2 in all the langs</t>
  </si>
  <si>
    <t>1. Launch inji web portal in diff browsers
 2. Verify logo for Wider Access &amp; Compatibility details of Inji Web
 3. Select diff langs</t>
  </si>
  <si>
    <t>INJIWEB-511_TC_46</t>
  </si>
  <si>
    <t>Verify quick tips heading is available with description</t>
  </si>
  <si>
    <t>1. Launch inji web portal in diff browsers
 2. Verify logo for "Quick Tips for Instantly Downloading Your Credentials" details of Inji Web</t>
  </si>
  <si>
    <t>Heading should be displayed as "Quick Tips for Instantly Downloading Your Credentials"</t>
  </si>
  <si>
    <t>INJIWEB-511_TC_47</t>
  </si>
  <si>
    <t>Verify quick tips heading is available with description in all the langs</t>
  </si>
  <si>
    <t>1. Launch inji web portal in diff browsers
 2. Verify logo for "Quick Tips for Instantly Downloading Your Credentials" details of Inji Web
 3. Select diff langs</t>
  </si>
  <si>
    <t>INJIWEB-511_TC_48</t>
  </si>
  <si>
    <t>Verify click button on quick tips</t>
  </si>
  <si>
    <t>1. Launch inji web portal in diff browsers
 2. Verify "Quick Tips for Instantly Downloading Your Credentials" details of Inji Web
 3. Click on "Click Here"</t>
  </si>
  <si>
    <t>INJIWEB-511_TC_49</t>
  </si>
  <si>
    <t>Verify Mosip logo on footer</t>
  </si>
  <si>
    <t>1. Launch inji web portal in diff browsers
 2. Verify footer of the landing page</t>
  </si>
  <si>
    <t>"A MOSIP Product" string should present along with mosip logo</t>
  </si>
  <si>
    <t>INJIWEB-511_TC_50</t>
  </si>
  <si>
    <t>Verify Mosip logo on footer in all the langs</t>
  </si>
  <si>
    <t>1. Launch inji web portal in diff browsers
 2. Verify footer of the landing page
 3. Select diff langs</t>
  </si>
  <si>
    <t>"A MOSIP Product" string should present along with mosip logo and should be tranlsated to all the langs</t>
  </si>
  <si>
    <t>INJIWEB-511_TC_51</t>
  </si>
  <si>
    <t>Verify copy right info on the footer</t>
  </si>
  <si>
    <t>1. Launch inji web portal in diff browsers
 2. Verify copyright info on footer of the landing page</t>
  </si>
  <si>
    <t>copyright info message should be displayed with proper details.
 "© 2024 Inji. All rights reserved."</t>
  </si>
  <si>
    <t>INJIWEB-511_TC_52</t>
  </si>
  <si>
    <t>Verify copy right info on the footer in all the langs</t>
  </si>
  <si>
    <t>1. Launch inji web portal in diff browsers
 2. Verify copyright info on footer of the landing page
 3. Select diff langs</t>
  </si>
  <si>
    <t>copyright info message should be displayed and translated to all the supported langs</t>
  </si>
  <si>
    <t>Home Page for Inji Web with New Branding in mobile view/Device</t>
  </si>
  <si>
    <t>INJIWEB-511_TC_53</t>
  </si>
  <si>
    <t>Verify landing page in mobile device</t>
  </si>
  <si>
    <t>1. Launch inji web portal in diff browsers
 2. verify landing page alignmnets and colors in mobile device</t>
  </si>
  <si>
    <t>All the colors should be displayed properly and all the logos and strigns should be aligned properly</t>
  </si>
  <si>
    <t>INJIWEB-511_TC_54</t>
  </si>
  <si>
    <t>Verify landing page in mobile device in diff langs</t>
  </si>
  <si>
    <t>1. Launch inji web portal in diff browsers
 2. verify landing page alignmnets and colors in mobile device
 3. Select diff langs</t>
  </si>
  <si>
    <t>All the colors should be displayed properly and all the logos and strigns should be aligned properly. all the strings should be translated to selected lang</t>
  </si>
  <si>
    <t>INJIWEB-511_TC_55</t>
  </si>
  <si>
    <t>Verify hamburger menu in mobile device and the button is clickable</t>
  </si>
  <si>
    <t>1. Launch inji web portal in diff browsers
 2. click on hamburger menu</t>
  </si>
  <si>
    <t>Hamburger menu should be displayed and on clikciing on hamburger menu Help button should be displayed</t>
  </si>
  <si>
    <t>INJIWEB-758</t>
  </si>
  <si>
    <t>Swagger update for mimoto APIs</t>
  </si>
  <si>
    <t>INJIWEB-758_TC_01</t>
  </si>
  <si>
    <t>Swagger update</t>
  </si>
  <si>
    <t>Verify the information added for each api</t>
  </si>
  <si>
    <r>
      <rPr>
        <rFont val="Calibri"/>
        <color rgb="FF1155CC"/>
        <sz val="11.0"/>
        <u/>
      </rPr>
      <t>1. Open the swagger link</t>
    </r>
    <r>
      <rPr>
        <rFont val="Calibri"/>
        <sz val="11.0"/>
      </rPr>
      <t xml:space="preserve">
 https://api.qa-inji.mosip.net/v1/mimoto/swagger-ui/index.html
 2. Verify the info present for each api</t>
    </r>
  </si>
  <si>
    <t>Information should be provided for each api</t>
  </si>
  <si>
    <t>Swagger documentation</t>
  </si>
  <si>
    <t>INJIWEB-758_TC_02</t>
  </si>
  <si>
    <t>Verify the Documentation added for each api</t>
  </si>
  <si>
    <r>
      <rPr>
        <rFont val="Calibri"/>
        <color rgb="FF1155CC"/>
        <sz val="11.0"/>
        <u/>
      </rPr>
      <t>1. Open the swagger link</t>
    </r>
    <r>
      <rPr>
        <rFont val="Calibri"/>
        <sz val="11.0"/>
      </rPr>
      <t xml:space="preserve">
 https://api.qa-inji.mosip.net/v1/mimoto/swagger-ui/index.html
 2. Verify the documentation present for each api</t>
    </r>
  </si>
  <si>
    <t>Docuementation should be provided for each api</t>
  </si>
  <si>
    <t>INJIWEB-758_TC_03</t>
  </si>
  <si>
    <t>Verify the schema added for input each api</t>
  </si>
  <si>
    <r>
      <rPr>
        <rFont val="Calibri"/>
        <color rgb="FF1155CC"/>
        <sz val="11.0"/>
        <u/>
      </rPr>
      <t>1. Open the swagger link</t>
    </r>
    <r>
      <rPr>
        <rFont val="Calibri"/>
        <sz val="11.0"/>
      </rPr>
      <t xml:space="preserve">
 https://api.qa-inji.mosip.net/v1/mimoto/swagger-ui/index.html
 2. Expand each api and verify schema presnet on each api</t>
    </r>
  </si>
  <si>
    <t>Schema details should be provided for each api</t>
  </si>
  <si>
    <t>INJIWEB-758_TC_04</t>
  </si>
  <si>
    <t>Verify the schema added for repsonse for each api</t>
  </si>
  <si>
    <r>
      <rPr>
        <rFont val="Calibri"/>
        <color rgb="FF1155CC"/>
        <sz val="11.0"/>
        <u/>
      </rPr>
      <t>1. Open the swagger link</t>
    </r>
    <r>
      <rPr>
        <rFont val="Calibri"/>
        <sz val="11.0"/>
      </rPr>
      <t xml:space="preserve">
 https://api.qa-inji.mosip.net/v1/mimoto/swagger-ui/index.html
 2. Expand each api and verify schema presnet on each api</t>
    </r>
  </si>
  <si>
    <t>Schema details should be provided for each api for response</t>
  </si>
  <si>
    <t>INJIWEB-700</t>
  </si>
  <si>
    <t>PDF Credentials to display "Number of Times" credential is verifiable by Verifer</t>
  </si>
  <si>
    <t>INJIWEB-700_TC_01</t>
  </si>
  <si>
    <t>Verify share visibility page after selecting credential for sunbird</t>
  </si>
  <si>
    <t>1. Launch injiweb page
 2. Select sunbird issuer
 3. Select credential
 4. Verify share visibility page</t>
  </si>
  <si>
    <t>Share visibility page should be displayed when the credential is selected</t>
  </si>
  <si>
    <t>INJIWEB-700_TC_02</t>
  </si>
  <si>
    <t>Verify share visibility page after selecting credential for mosip</t>
  </si>
  <si>
    <t>1. Launch injiweb page
 2. Select mosip issuer
 3. Select credential
 4. Verify share visibility page</t>
  </si>
  <si>
    <t>INJIWEB-700_TC_03</t>
  </si>
  <si>
    <t>Verify share visibility page after selecting credential for mock</t>
  </si>
  <si>
    <t>1. Launch injiweb page
 2. Select mock issuer
 3. Select credential
 4. Verify share visibility page</t>
  </si>
  <si>
    <t>INJIWEB-700_TC_04</t>
  </si>
  <si>
    <t>Verify all the alignements on the share visibility page on all the browser</t>
  </si>
  <si>
    <t>1. Launch injiweb page
 2. Select an issuer
 3. Select credential
 4. Verify all the options and alignment of the page</t>
  </si>
  <si>
    <t>All the options should be aligned properly on Share visibility page</t>
  </si>
  <si>
    <t>INJIWEB-700_TC_05</t>
  </si>
  <si>
    <t>Verify all the alignements on the share visibility page for responsiveness</t>
  </si>
  <si>
    <t>INJIWEB-700_TC_06</t>
  </si>
  <si>
    <t>Verify disclaimer message on the share visiblility window</t>
  </si>
  <si>
    <t>1. Launch injiweb page
 2. Select an issuer
 3. Select credential</t>
  </si>
  <si>
    <t>Disclaimer message should be appeared on the share visibility window like "Please note that the QR Code can be shared only for the number of times you have chosen here. To use the QR Code for sharing again, you have to download the PDF again."</t>
  </si>
  <si>
    <t>Need to raise the PR</t>
  </si>
  <si>
    <t>INJIWEB-700_TC_07</t>
  </si>
  <si>
    <t>Verify Heading message on share visibility window</t>
  </si>
  <si>
    <t>Heading message should be appeared on the share visibility window like "Share Validity"</t>
  </si>
  <si>
    <t>INJIWEB-700_TC_08</t>
  </si>
  <si>
    <t>Verify consent message on share visibility window</t>
  </si>
  <si>
    <t>Consent message should be appeared on the share visibility window "Please provide your consent to set a validity for sharing the Health Insurance"</t>
  </si>
  <si>
    <t>INJIWEB-700_TC_09</t>
  </si>
  <si>
    <t>Verify Back button functionality</t>
  </si>
  <si>
    <t>1. Launch injiweb page
 2. Select an issuer
 3. Select credential
 4. Select a value from drop drop and click on back button</t>
  </si>
  <si>
    <t>Redirected to credentials selection page</t>
  </si>
  <si>
    <t>INJIWEB-700_TC_10</t>
  </si>
  <si>
    <t>Verify Proceed Button Functionality</t>
  </si>
  <si>
    <t>1. Launch injiweb page
 2. Select an issuer
 3. Select credential
 4. Select a value from drop drop and click on proceed button</t>
  </si>
  <si>
    <t>Redirected to authentication window</t>
  </si>
  <si>
    <t>INJIWEB-700_TC_11</t>
  </si>
  <si>
    <t>Verify selected Document option</t>
  </si>
  <si>
    <t>1. Launch injiweb page
 2. Select an issuer
 3. Select credential
 4. Verify selected document option in share visibility page</t>
  </si>
  <si>
    <t>Selected credential string should appear in Document option</t>
  </si>
  <si>
    <t>INJIWEB-700_TC_12</t>
  </si>
  <si>
    <t>Verify for consent validity options</t>
  </si>
  <si>
    <t>1. Launch injiweb page
 2. Select an issuer
 3. Select credential
 4. Verify consent validity options available</t>
  </si>
  <si>
    <t>No.of time and Date options should be availble</t>
  </si>
  <si>
    <t>INJIWEB-700_TC_13</t>
  </si>
  <si>
    <t>Verify default options for no.of times VC can validated</t>
  </si>
  <si>
    <t>1. Launch injiweb page
 2. Select an issuer
 3. Select credential
 4. Verify default options available for no.of verifications</t>
  </si>
  <si>
    <t>Default options shlould be availbe in dropdown option along with no limit and custom options</t>
  </si>
  <si>
    <t>INJIWEB-700_TC_14</t>
  </si>
  <si>
    <t>Verify costom option window</t>
  </si>
  <si>
    <t>1. Launch injiweb page
 2. Select an issuer
 3. Select credential
 4. Verify no.of options for custom</t>
  </si>
  <si>
    <t>Custom option window should be opened and where we observe can cel, proceed, no.of time , drodpwn options</t>
  </si>
  <si>
    <t>INJIWEB-700_TC_15</t>
  </si>
  <si>
    <t>Enter number and back on custom page</t>
  </si>
  <si>
    <t>1. Launch injiweb page
 2. Select an issuer
 3. Select credential
 4. Enter no.of options and click on cancel</t>
  </si>
  <si>
    <t>Custom options page should be cancelled</t>
  </si>
  <si>
    <t>INJIWEB-700_TC_16</t>
  </si>
  <si>
    <t>Enter number and Proceed on custom page</t>
  </si>
  <si>
    <t>1. Launch injiweb page
 2. Select an issuer
 3. Select credential
 4. Enter no.of options and click on proceed option</t>
  </si>
  <si>
    <t>Authentication page should be apperaed and VC should be downloaded</t>
  </si>
  <si>
    <t>INJIWEB-700_TC_17</t>
  </si>
  <si>
    <t>Verify string on the custom option</t>
  </si>
  <si>
    <t>1. Launch injiweb page
 2. Select an issuer
 3. Select credential
 4. Check information string on custom option</t>
  </si>
  <si>
    <t>Information string be displayed on custom options page like "Please enter the number of times you want to use this credential"</t>
  </si>
  <si>
    <t>INJIWEB-700_TC_18</t>
  </si>
  <si>
    <t>Download for once Verify it</t>
  </si>
  <si>
    <t>1. Launch injiweb page
 2. Select an issuer
 3. Select credential
 4. Download credential with only once default option
 5. Verify the credential</t>
  </si>
  <si>
    <t>Verification should be passed only for once</t>
  </si>
  <si>
    <t>INJIWEB-700_TC_19</t>
  </si>
  <si>
    <t>Download for thrice Verify it</t>
  </si>
  <si>
    <t>1. Launch injiweb page
 2. Select an issuer
 3. Select credential
 4. Download credential with thrice default option
 5. Verify the credential</t>
  </si>
  <si>
    <t>Verification should be passed for 3 times</t>
  </si>
  <si>
    <t>INJIWEB-700_TC_20</t>
  </si>
  <si>
    <t>Download for nolimit an Verify it</t>
  </si>
  <si>
    <t>1. Launch injiweb page
 2. Select an issuer
 3. Select credential
 4. Download credential with no limit default option
 5. Verify the credential</t>
  </si>
  <si>
    <t>Verification should be passed always and the should not be any limit</t>
  </si>
  <si>
    <t>INJIWEB-700_TC_21</t>
  </si>
  <si>
    <t>Download for custom options and Verify it</t>
  </si>
  <si>
    <t>1. Launch injiweb page
 2. Select an issuer
 3. Select credential
 4. Download credential with some custom value
 5. Verify the credential</t>
  </si>
  <si>
    <t>Verification should be passed as per the max no.of times configured</t>
  </si>
  <si>
    <t>INJIWEB-700_TC_23</t>
  </si>
  <si>
    <t>Verify inappropriate values for custom options and Verify it</t>
  </si>
  <si>
    <t>1. Launch injiweb page
 2. Select an issuer
 3. Select credential
 4. Enter some invalid -ve and string values and try to download the credential</t>
  </si>
  <si>
    <t>Inappropriate values should not be accepted</t>
  </si>
  <si>
    <t>INJIWEB-700_TC_24</t>
  </si>
  <si>
    <t>Verify dropdown arrows at costom option window</t>
  </si>
  <si>
    <t>1. Launch injiweb page
 2. Select an issuer
 3. Select credential
 4. Enter some custom value and use downdrop button to increase or decrease the max no.of verifications</t>
  </si>
  <si>
    <t>max no.of attempts should be decreased and increased as per the dropdown selection</t>
  </si>
  <si>
    <t>INJIWEB-700_TC_25</t>
  </si>
  <si>
    <t>Download the same credential again with the diff no.of times allowed for verification</t>
  </si>
  <si>
    <t>1. Launch injiweb page
 2. Select an issuer
 3. Select credential
 4. Download the credential
 5. Downoad the credential with diff no.of times
 6. Verify the credntials</t>
  </si>
  <si>
    <t>Both VC should work independently</t>
  </si>
  <si>
    <t>INJIWEB-700_TC_26</t>
  </si>
  <si>
    <t>Verify the info message after completion max no.of verifications</t>
  </si>
  <si>
    <t>1. Launch injiweb page
 2. Select an issuer
 3. Select credential
 4. Download the credential
 5. Verify the credential more the max no.of time</t>
  </si>
  <si>
    <t>Proper error message should be displayed max no.of allowed verifications are exceeded</t>
  </si>
  <si>
    <t>INJIWEB-700_TC_27</t>
  </si>
  <si>
    <t>Verify share visibility page when configured for embededVC</t>
  </si>
  <si>
    <t>1. Change the configuration from inline sharing to embeded VC
 2. Restart the mimoto service
 3. Select the issuer
 4. Select the credential</t>
  </si>
  <si>
    <t>There should not be any pop up related to share visibility page</t>
  </si>
  <si>
    <t>INJIWEB-980</t>
  </si>
  <si>
    <t>Inji Web gradient theme and logo updates as per new Inji Branding</t>
  </si>
  <si>
    <t>INJIWEB-980_TC_01</t>
  </si>
  <si>
    <t>Verify the logo on title page</t>
  </si>
  <si>
    <t>1. Launch inji verify portal</t>
  </si>
  <si>
    <t>Logo should be updated as per the new design change</t>
  </si>
  <si>
    <t>INJIWEB-980_TC_02</t>
  </si>
  <si>
    <t>Verify the logo on home button</t>
  </si>
  <si>
    <t>INJIWEB-980_TC_03</t>
  </si>
  <si>
    <t>Verify the logo color on title page</t>
  </si>
  <si>
    <t>1. Launch inji verify portal
 2. Verify the color for logo</t>
  </si>
  <si>
    <t>INJIWEB-980_TC_04</t>
  </si>
  <si>
    <t>Verify the logo color on home button</t>
  </si>
  <si>
    <t>1. Launch inji verify portal
 2. Verify the color for home button</t>
  </si>
  <si>
    <t>INJIWEB-980_TC_05</t>
  </si>
  <si>
    <t>Verify Buttons gradient color combination on home page</t>
  </si>
  <si>
    <t>Buttons on Home page color codes should be updated as per the new gradient change
 and the colors codes should be appered as below in the page
 Darker shade: #951F6F
 Lighter shade: #F7EDF3</t>
  </si>
  <si>
    <t>INJIWEB-980_TC_06</t>
  </si>
  <si>
    <t>Verify the gradient color combination on landing page</t>
  </si>
  <si>
    <t>1. Launch inji verify portal
 2. Verify the landing page colors</t>
  </si>
  <si>
    <t>Home page color codes should be updated as per the new gradient change
 and the colors codes should be appered as below in the page
 Darker shade: #951F6F
 Lighter shade: #F7EDF3</t>
  </si>
  <si>
    <t>INJIWEB-980_TC_07</t>
  </si>
  <si>
    <t>Verify the gradient color combination in all the browser on landing page</t>
  </si>
  <si>
    <t>1. Launch inji verify portal in different browsers
 2. Verify the landing page colors</t>
  </si>
  <si>
    <t>Home page color codes should be updated as per the new gradient change in all the browsers
 and the colors codes should be appered as below in the page
 Darker shade: #951F6F
 Lighter shade: #F7EDF3</t>
  </si>
  <si>
    <t>INJIWEB-980_TC_08</t>
  </si>
  <si>
    <t>Verify the gradient color combination in all the languages on landing page</t>
  </si>
  <si>
    <t>1. Launch inji verify portal in different browsers
 2. Select different languages
 3. Verify the landing page colors</t>
  </si>
  <si>
    <t>Home page color codes should be updated as per the new gradient change in all the browser in all the langs
 and the colors codes should be appered as below in the page
 Darker shade: #951F6F
 Lighter shade: #F7EDF3</t>
  </si>
  <si>
    <t>INJIWEB-980_TC_09</t>
  </si>
  <si>
    <t>Verify the gradient color combination in mobile devices on landing page</t>
  </si>
  <si>
    <t>1. Launch inji verify portal in mobile device
 2. Select different languages
 3. Verify the landing page colors</t>
  </si>
  <si>
    <t>Home page color codes should be updated as per the new gradient change and the colors codes should be appered as below in the page
 Darker shade: #951F6F
 Lighter shade: #F7EDF3</t>
  </si>
  <si>
    <t>INJIWEB-980_TC_10</t>
  </si>
  <si>
    <t>Verify the gradient color combination on credentials page</t>
  </si>
  <si>
    <t>1. Launch inji verify portal
 2. Select an issuer
 3. Verify the credential page colors</t>
  </si>
  <si>
    <t>Credentials page color codes should be updated as per the new gradient change and the colors codes should be appered as below in the page
 Darker shade: #951F6F
 Lighter shade: #F7EDF3</t>
  </si>
  <si>
    <t>INJIWEB-980_TC_11</t>
  </si>
  <si>
    <t>Verify the gradient color combination in all the browser on credentials</t>
  </si>
  <si>
    <t>1. Launch inji verify portal in different browsers
 2. Select an issuer
 3. Verify the credential page colors</t>
  </si>
  <si>
    <t>Credentials page color codes should be updated as per the new gradient change in all the browsers and the colors codes should be appered as below in the page
 Darker shade: #951F6F
 Lighter shade: #F7EDF3</t>
  </si>
  <si>
    <t>INJIWEB-980_TC_12</t>
  </si>
  <si>
    <t>Verify the gradient color combination in all the languages on credentials</t>
  </si>
  <si>
    <t>1. Launch inji verify portal in different browsers in diff languages
 2. Select an issuer
 3. Verify the credential page colors</t>
  </si>
  <si>
    <t>Credentials page color codes should be updated as per the new gradient change in all the browsers for all the supported langs and the colors codes should be appered as below in the page
 Darker shade: #951F6F
 Lighter shade: #F7EDF3</t>
  </si>
  <si>
    <t>INJIWEB-980_TC_13</t>
  </si>
  <si>
    <t>Verify the gradient color combination in mobile devices on credentials</t>
  </si>
  <si>
    <t>1. Launch inji verify portal in mobile device in diff languages
 2. Select an issuer
 3. Verify the credential page colors</t>
  </si>
  <si>
    <t>Credentials page color codes should be updated as per the new gradient change in the mobile devices and the colors codes should be appered as below in the page
 Darker shade: #951F6F
 Lighter shade: #F7EDF3</t>
  </si>
  <si>
    <t>INJIWEB-980_TC_14</t>
  </si>
  <si>
    <t>Verify the gradient color combination on share visibility page</t>
  </si>
  <si>
    <t>1. Launch inji verify portal
 2. Select an issuer
 3. Select a credential
 4. Verify the share visibility page colors</t>
  </si>
  <si>
    <t>Share visibility page color codes should be updated as per the new gradient change in the mobile devices and the colors codes should be appered as below in the page
 Darker shade: #951F6F
 Lighter shade: #F7EDF3</t>
  </si>
  <si>
    <t>INJIWEB-980_TC_15</t>
  </si>
  <si>
    <t>Verify the gradient color combination in all the languages on share visibility</t>
  </si>
  <si>
    <t>1. Launch inji verify portal in different languages
 2. Select an issuer
 3. Select a credential
 4. Verify the share visibility page colors</t>
  </si>
  <si>
    <t>Share visibility page color codes should be updated as per the new gradient change in all the langs and the colors codes should be appered as below in the page
 Darker shade: #951F6F
 Lighter shade: #F7EDF3</t>
  </si>
  <si>
    <t>INJIWEB-980_TC_16</t>
  </si>
  <si>
    <t>Verify the gradient color combination in all the browsers on share visibility</t>
  </si>
  <si>
    <t>1. Launch inji verify portal in different browsers
 2. Select an issuer
 3. Select a credential
 4. Verify the share visibility page colors</t>
  </si>
  <si>
    <t>Share visibility page color codes should be updated as per the new gradient change in all the langs in all the browsers and the colors codes should be appered as below in the page
 Darker shade: #951F6F
 Lighter shade: #F7EDF3</t>
  </si>
  <si>
    <t>INJIWEB-980_TC_17</t>
  </si>
  <si>
    <t>Verify the gradient color combination in mobile devices on share visibility</t>
  </si>
  <si>
    <t>1. Launch inji verify portal in mobile device
 2. Select an issuer
 3. Select a credential
 4. Verify the share visibility page colors</t>
  </si>
  <si>
    <t>Share visibility page color codes should be updated as per the new gradient change in all the langs in mobile devices and the colors codes should be appered as below in the page
 Darker shade: #951F6F
 Lighter shade: #F7EDF3</t>
  </si>
  <si>
    <t>INJIWEB-980_TC_18</t>
  </si>
  <si>
    <t>Verify the gradient color combination for active buttons on share visibility</t>
  </si>
  <si>
    <t>1. Launch inji verify portal
 2. Select an issuer
 3. Select a credential
 4. Verify the share visibility page buttons</t>
  </si>
  <si>
    <t>On Share visibliity page Active button should follow primary color style</t>
  </si>
  <si>
    <t>INJIWEB-980_TC_19</t>
  </si>
  <si>
    <t>Verify the gradient color combination for inactive buttons on share visibility</t>
  </si>
  <si>
    <t>1. Launch inji verify portal
 2. Select an issuer
 3. Select a credential
 4. Verify the share visibility page for inactive buttons</t>
  </si>
  <si>
    <t>On Share visibliity page Inactive button should follow secondary color style</t>
  </si>
  <si>
    <t>INJIWEB-980_TC_20</t>
  </si>
  <si>
    <t>Verify the gradient color combination while downloading credentials</t>
  </si>
  <si>
    <t>1. Launch inji verify portal
 2. Select an issuer
 3. Select a credential
 4. Select an option from share visibility page
 5. Click on proceed</t>
  </si>
  <si>
    <t>While downloadin VC gradient color combinations should be followed
 Darker shade: #951F6F
 Lighter shade: #F7EDF3</t>
  </si>
  <si>
    <t>INJIWEB-980_TC_21</t>
  </si>
  <si>
    <t>Verify the gradient color combination in all the browser while downloading credentials</t>
  </si>
  <si>
    <t>1. Launch inji verify portal in different browsers
 2. Select an issuer
 3. Select a credential
 4. Select an option from share visibility page
 5. Click on proceed</t>
  </si>
  <si>
    <t>While downloadin VC in all the browsers gradient color combinations should be followed
 Darker shade: #951F6F
 Lighter shade: #F7EDF3</t>
  </si>
  <si>
    <t>INJIWEB-980_TC_22</t>
  </si>
  <si>
    <t>Verify the gradient color combination in all the languages while downloading credentials</t>
  </si>
  <si>
    <t>1. Launch inji verify portal in different browsers in different languages
 2. Select an issuer
 3. Select a credential
 4. Select an option from share visibility page
 5. Click on proceed</t>
  </si>
  <si>
    <t>While downloadin VC in all the browsers gradient color combinations should be followed in all the langs
 Darker shade: #951F6F
 Lighter shade: #F7EDF3</t>
  </si>
  <si>
    <t>INJIWEB-980_TC_23</t>
  </si>
  <si>
    <t>Verify the gradient color combination in mobile devices while downloading credentials</t>
  </si>
  <si>
    <t>1. Launch inji verify portal in mobile device
 2. Select an issuer
 3. Select a credential
 4. Select an option from share visibility page
 5. Click on proceed</t>
  </si>
  <si>
    <t>While downloadin VC in mobile devices gradient color combinations should be followed in all the langs
 Darker shade: #951F6F
 Lighter shade: #F7EDF3</t>
  </si>
  <si>
    <t>INJIWEB-980_TC_24</t>
  </si>
  <si>
    <t>Verify the gradient color combination when VC download failed</t>
  </si>
  <si>
    <t>When downloadin VC failed gradient color combinations should be followed
 Darker shade: #951F6F
 Lighter shade: #F7EDF3</t>
  </si>
  <si>
    <t>INJIWEB-980_TC_25</t>
  </si>
  <si>
    <t>Verify the gradient color combination in all the browser when VC download failed</t>
  </si>
  <si>
    <t>1. Launch inji verify portal in all the browsers
 2. Select an issuer
 3. Select a credential
 4. Select an option from share visibility page
 5. Click on proceed</t>
  </si>
  <si>
    <t>When downloadin VC failed gradient color combinations should be followed in all the browsers
 Darker shade: #951F6F
 Lighter shade: #F7EDF3</t>
  </si>
  <si>
    <t>INJIWEB-980_TC_26</t>
  </si>
  <si>
    <t>Verify the gradient color combination in all the languages when VC download failed</t>
  </si>
  <si>
    <t>1. Launch inji verify portal in all the languages
 2. Select an issuer
 3. Select a credential
 4. Select an option from share visibility page
 5. Click on proceed</t>
  </si>
  <si>
    <t>When downloadin VC failed gradient color combinations should be followed in all the browsers in all the languages
 Darker shade: #951F6F
 Lighter shade: #F7EDF3</t>
  </si>
  <si>
    <t>INJIWEB-980_TC_27</t>
  </si>
  <si>
    <t>Verify the gradient color combination in mobile devices when VC download failed</t>
  </si>
  <si>
    <t>When downloadin VC failed gradient color combinations should be followed in mobile devices
 Darker shade: #951F6F
 Lighter shade: #F7EDF3</t>
  </si>
  <si>
    <t>INJIWEB-910</t>
  </si>
  <si>
    <t>INJIWEB-910_TC_01</t>
  </si>
  <si>
    <t>Verify the statement at the end of the page for no.of verifications allowed when user selects default values for sunbird VC</t>
  </si>
  <si>
    <t>PDF should include below statement at the end of the page
 Please note: This credential is limited to a maximum of &lt;default value&gt; verifications by authorized verifiers. Once the specified number of verifications has been reached, this credential will no longer be valid for further verification attempts</t>
  </si>
  <si>
    <t>PDF</t>
  </si>
  <si>
    <t>INJIWEB-910_TC_02</t>
  </si>
  <si>
    <t>Verify the statement at the end of the page for no.of verifications allowed when user selects custom option for sunbird VC</t>
  </si>
  <si>
    <t>PDF should include below statement at the end of the page
 Please note: This credential is limited to a maximum of &lt;custom value&gt; verifications by authorized verifiers. Once the specified number of verifications has been reached, this credential will no longer be valid for further verification attempts</t>
  </si>
  <si>
    <t>INJIWEB-910_TC_03</t>
  </si>
  <si>
    <t>Verify the statement at the end of the page for no.of verifications allowed when user selects zero option for sunbird VC</t>
  </si>
  <si>
    <t>PDF should include below statement at the end of the page
 Please note: This credential is limited to a maximum of 0 verifications by authorized verifiers. Once the specified number of verifications has been reached, this credential will no longer be valid for further verification attempts</t>
  </si>
  <si>
    <t>INJIWEB-910_TC_04</t>
  </si>
  <si>
    <t>Verify the statement at the end of the page for no.of verifications allowed when user selects no limit for sunbird VC</t>
  </si>
  <si>
    <t>INJIWEB-910_TC_05</t>
  </si>
  <si>
    <t>Verify the statement at the end of the page for no.of verifications allowed when user selects maximum limit for sunbird VC</t>
  </si>
  <si>
    <t>PDF should include below statement at the end of the page
 Please note: This credential is limited to a maximum of &lt;maximum value&gt; verifications by authorized verifiers. Once the specified number of verifications has been reached, this credential will no longer be valid for further verification attempts</t>
  </si>
  <si>
    <t>INJIWEB-910_TC_06</t>
  </si>
  <si>
    <t>Verify the statement at the end of the page for no.of verifications allowed when VC created with huge data for sunbird VC</t>
  </si>
  <si>
    <t>PDF should include below statement at the end of the page without any alignment issues
 Please note: This credential is limited to a maximum of value&gt; verifications by authorized verifiers. Once the specified number of verifications has been reached, this credential will no longer be valid for further verification attempts</t>
  </si>
  <si>
    <t>INJIWEB-910_TC_07</t>
  </si>
  <si>
    <t>Verify the statement at the end of the page for no.of verifications allowed when user selects default values for mosip VC</t>
  </si>
  <si>
    <t>INJIWEB-910_TC_08</t>
  </si>
  <si>
    <t>Verify the statement at the end of the page for no.of verifications allowed when user selects custom option for mosip VC</t>
  </si>
  <si>
    <t>INJIWEB-910_TC_09</t>
  </si>
  <si>
    <t>Verify the statement at the end of the page for no.of verifications allowed when user selects zero option for mosip VC</t>
  </si>
  <si>
    <t>1. Launch inji web portal
 2. Select mosip issuer
 3. Select credential type
 4. Select custom options
 5. Enter the custom number
 6. Select zero option
 7. Download the credential
 8. verify the message on the PDF</t>
  </si>
  <si>
    <t>INJIWEB-910_TC_10</t>
  </si>
  <si>
    <t>Verify the statement at the end of the page for no.of verifications allowed when user selects no limit for mosip VC</t>
  </si>
  <si>
    <t>1. Launch inji web portal
 2. Select mosip issuer
 3. Select credential type
 4. Select custom options
 5. Enter the custom number
 6. Select no limit option
 7. Download the credential
 8. verify the message on the PDF</t>
  </si>
  <si>
    <t>INJIWEB-910_TC_11</t>
  </si>
  <si>
    <t>Verify the statement at the end of the page for no.of verifications allowed when user selects maximum limit for mosip VC</t>
  </si>
  <si>
    <t>1. Launch inji web portal
 2. Select mosip issuer
 3. Select credential type
 4. Select custom options
 5. Enter the custom number
 6. Select maximum limit
 7. Download the credential
 8. verify the message on the PDF</t>
  </si>
  <si>
    <t>INJIWEB-910_TC_12</t>
  </si>
  <si>
    <t>Verify the statement at the end of the page for no.of verifications allowed when VC created with huge data for mosip VC</t>
  </si>
  <si>
    <t>1. Create a mosip record with huge data like email, phonenumber, name etc
 2. Launch inji web portal
 3. Select mosip issuer
 4. Select credential type
 5. Select custom options
 6. Enter the custom number
 7. Select maximum limit
 8. Download the credential
 9. verify the message on the PDF</t>
  </si>
  <si>
    <t>INJIWEB-910_TC_13</t>
  </si>
  <si>
    <t>Verify the statement at the end of the page for no.of verifications allowed when user selects default values for mock VC</t>
  </si>
  <si>
    <t>1. Launch inji web portal
 2. Select mock issuer
 3. Select credential type
 4. Select deafult options lile once, thrice etc
 5. Download the credential
 6. verify the message on the PDF</t>
  </si>
  <si>
    <t>INJIWEB-910_TC_14</t>
  </si>
  <si>
    <t>Verify the statement at the end of the page for no.of verifications allowed when user selects custom option for mock VC</t>
  </si>
  <si>
    <t>1. Launch inji web portal
 2. Select mock issuer
 3. Select credential type
 4. Select custom options
 5. Enter the custom number
 6. Download the credential
 7. verify the message on the PDF</t>
  </si>
  <si>
    <t>INJIWEB-910_TC_15</t>
  </si>
  <si>
    <t>Verify the statement at the end of the page for no.of verifications allowed when user selects zero option for mock VC</t>
  </si>
  <si>
    <t>1. Launch inji web portal
 2. Select mock issuer
 3. Select credential type
 4. Select custom options
 5. Enter the custom number
 6. Select zero option
 7. Download the credential
 8. verify the message on the PDF</t>
  </si>
  <si>
    <t>INJIWEB-910_TC_16</t>
  </si>
  <si>
    <t>Verify the statement at the end of the page for no.of verifications allowed when user selects no limit for mock VC</t>
  </si>
  <si>
    <t>1. Launch inji web portal
 2. Select mock issuer
 3. Select credential type
 4. Select custom options
 5. Enter the custom number
 6. Select no limit option
 7. Download the credential
 8. verify the message on the PDF</t>
  </si>
  <si>
    <t>INJIWEB-910_TC_17</t>
  </si>
  <si>
    <t>Verify the statement at the end of the page for no.of verifications allowed when user selects maximum limit for mock VC</t>
  </si>
  <si>
    <t>1. Launch inji web portal
 2. Select mock issuer
 3. Select credential type
 4. Select custom options
 5. Enter the custom number
 6. Select maximum limit
 7. Download the credential
 8. verify the message on the PDF</t>
  </si>
  <si>
    <t>INJIWEB-910_TC_18</t>
  </si>
  <si>
    <t>Verify the statement at the end of the page for no.of verifications allowed when VC created with huge data for mock VC</t>
  </si>
  <si>
    <t>1. Create a mock record with huge data like email, phonenumber, name etc
 2. Launch inji web portal
 3. Select mosip issuer
 4. Select credential type
 5. Select custom options
 6. Enter the custom number
 7. Select maximum limit
 8. Download the credential
 9. verify the message on the PDF</t>
  </si>
  <si>
    <t>INJIWEB-910_TC_19</t>
  </si>
  <si>
    <t>Verify the statement at the end of the page for no.of verifications allowed when user downloads VC in diff languages</t>
  </si>
  <si>
    <t>1. Launch inji web portal in diff languages
 2. Select veridonia issuer
 3. Select credential type
 4. Select custom options
 5. Enter the custom number
 6. Select valid limit
 7. Download the credential
 8. verify the message on the PDF</t>
  </si>
  <si>
    <t>PDF should include below statement at the end of the page without any alignment issues
 Please note: This credential is limited to a maximum of &lt;value&gt; verifications by authorized verifiers. Once the specified number of verifications has been reached, this credential will no longer be valid for further verification attempts</t>
  </si>
  <si>
    <t>INJIWEB-920</t>
  </si>
  <si>
    <t>Error Handling scenarios: Secure Time Bound Storage</t>
  </si>
  <si>
    <t>INJIWEB-920_TC_01</t>
  </si>
  <si>
    <t>Verify share visibility page for oneline sharing for sunbird VC</t>
  </si>
  <si>
    <t>1. Lauch inji-web portal
 2. Select sunbird issuer
 3. Select credentail under sunbird Credential</t>
  </si>
  <si>
    <t>Share visibility page should be appeared</t>
  </si>
  <si>
    <t>INJIWEB-920_TC_02</t>
  </si>
  <si>
    <t>Verify share visibility page for oneline sharing for Mosip VC</t>
  </si>
  <si>
    <t>1. Lauch inji-web portal
 2. Select Mosip issuer
 3. Select credentail under Mosip credential</t>
  </si>
  <si>
    <t>INJIWEB-920_TC_03</t>
  </si>
  <si>
    <t>Verify share visibility page for oneline sharing for Mock VC</t>
  </si>
  <si>
    <t>1. Lauch inji-web portal
 2. Select Mock issuer
 3. Select credentail under Mock credential</t>
  </si>
  <si>
    <t>INJIWEB-920_TC_04</t>
  </si>
  <si>
    <t>Verify share visibility page for embeded VC for sunbird VC</t>
  </si>
  <si>
    <t>Update configuration for sunbird credential code qr_code_type in mimoto issuer type to embeded VC
 1. Lauch inji-web portal
 2. Select sunbird issuer
 3. Select credentail under sunbird Credential</t>
  </si>
  <si>
    <t>INJIWEB-920_TC_05</t>
  </si>
  <si>
    <t>Verify share visibility page for embeded VC for mosip VC</t>
  </si>
  <si>
    <t>Update configuration for Mosip credential code qr_code_type in mimoto issuer type to embeded VC
 1. Lauch inji-web portal
 2. Select Mosip issuer
 3. Select credentail under Mosip credential</t>
  </si>
  <si>
    <t>INJIWEB-920_TC_06</t>
  </si>
  <si>
    <t>Verify share visibility page for embeded VC Mock VC</t>
  </si>
  <si>
    <t>Update configuration for Mock credential code qr_code_type in mimoto issuer type to embeded VC
 1. Lauch inji-web portal
 2. Select Mock issuer
 3. Select credentail under Mock credential</t>
  </si>
  <si>
    <t>INJIWEB-920_TC_07</t>
  </si>
  <si>
    <t>Verify toast message when proper non zero and less than 50 value entered</t>
  </si>
  <si>
    <t>1. Lauch inji-web portal
 2. Select sunbird issuer
 3. Select credentail under sunbird Credential
 4. Download VC</t>
  </si>
  <si>
    <t>VC should be downloaded propelry and there should not appear any error toast message</t>
  </si>
  <si>
    <t>INJIWEB-920_TC_09</t>
  </si>
  <si>
    <t>Verify when more than alloweed value entered</t>
  </si>
  <si>
    <t>1. Lauch inji-web portal
 2. Select sunbird issuer
 3. Select credentail under sunbird Credential
 4. Enter more than 50 value while downloading credential</t>
  </si>
  <si>
    <t>Toast message should be appeared with
 "Please enter a valid expiry number, greater than zero, to limit how many times your credentials can be verified."</t>
  </si>
  <si>
    <t>INJIWEB-920_TC_11</t>
  </si>
  <si>
    <t>Verify the toast message in all the supported languages</t>
  </si>
  <si>
    <t>1. Lauch inji-web portal
 2. Select sunbird issuer
 3. Select credentail under sunbird Credential
 4. Enter invalid value while downloading credential</t>
  </si>
  <si>
    <t>Toast message should be appeared with
 in all the supported languages</t>
  </si>
  <si>
    <t>INJIWEB-920_TC_12</t>
  </si>
  <si>
    <t>Verify toast message in tablet view</t>
  </si>
  <si>
    <t>1. Lauch inji-web portal in tablet
 2. Select sunbird issuer
 3. Select credentail under sunbird Credential
 4. Enter invalid value while downloading credential</t>
  </si>
  <si>
    <t>Toast message should be appeared with proper alignments</t>
  </si>
  <si>
    <t>Updated appln, NA now
 Mobile</t>
  </si>
  <si>
    <t>INJIWEB-920_TC_13</t>
  </si>
  <si>
    <t>Verify toast message in mobile view</t>
  </si>
  <si>
    <t>1. Lauch inji-web portal mobile phone
 2. Select sunbird issuer
 3. Select credentail under sunbird Credential
 4. Enter invalid value while downloading credential</t>
  </si>
  <si>
    <t>INJIWEB-1036</t>
  </si>
  <si>
    <t>Collab Changes - Logo Update + FAQ Update</t>
  </si>
  <si>
    <t>INJIWEB-1036_TC_01</t>
  </si>
  <si>
    <t>Verify inji web logo update to inji wallet logo on the home page</t>
  </si>
  <si>
    <t>1. Launch inji web portal</t>
  </si>
  <si>
    <t>Inji wallet logo should be appered on the home page</t>
  </si>
  <si>
    <t>INJIWEB-1036_TC_02</t>
  </si>
  <si>
    <t>Verify inji web logo update to inji wallet logo on the title page</t>
  </si>
  <si>
    <t>Inji wallet logo should be appered on the title page</t>
  </si>
  <si>
    <t>INJIWEB-1036_TC_03</t>
  </si>
  <si>
    <t>Verify the logo colors,size and placement</t>
  </si>
  <si>
    <t>Inji wallet colors should be updated as per the new design changes</t>
  </si>
  <si>
    <t>INJIWEB-1036_TC_04</t>
  </si>
  <si>
    <t>Verify inji web logo update to inji wallet logo on the issuers page</t>
  </si>
  <si>
    <t>1. Launch inji web portal
 2. Select any issuer</t>
  </si>
  <si>
    <t>Inji wallet logo should be appered on the issuers page</t>
  </si>
  <si>
    <t>INJIWEB-1036_TC_05</t>
  </si>
  <si>
    <t>Verify inji web logo update to inji wallet logo on the credentials page</t>
  </si>
  <si>
    <t>1. Launch inji web portal
 2. Select any issuer
 3. Select any credential</t>
  </si>
  <si>
    <t>Inji wallet logo should be appered on the credentials page</t>
  </si>
  <si>
    <t>INJIWEB-1036_TC_06</t>
  </si>
  <si>
    <t>Verify inji web logo update to inji wallet logo on the downloading page</t>
  </si>
  <si>
    <t>1. Launch inji web portal
 2. Select any issuer
 3. Select any credential
 4. Download credential</t>
  </si>
  <si>
    <t>Inji wallet logo should be appered on the download progress page</t>
  </si>
  <si>
    <t>INJIWEB-1036_TC_07</t>
  </si>
  <si>
    <t>Verify inji web logo update to inji wallet logo on the download success page</t>
  </si>
  <si>
    <t>Inji wallet logo should be appered on the download success page</t>
  </si>
  <si>
    <t>INJIWEB-1036_TC_08</t>
  </si>
  <si>
    <t>Verify inji web logo update to inji wallet logo on the download failed page</t>
  </si>
  <si>
    <t>Inji wallet logo should be appered on the failure page</t>
  </si>
  <si>
    <t>INJIWEB-1036_TC_09</t>
  </si>
  <si>
    <t>Verify the logo alignement and colors in tablet</t>
  </si>
  <si>
    <t>1. Launch inji web portal in tablet
 2. Select any issuer
 3. Select any credential
 4. Download credential</t>
  </si>
  <si>
    <t>Logo colors, placement should be properly aligned in tablet view</t>
  </si>
  <si>
    <t>INJIWEB-1036_TC_10</t>
  </si>
  <si>
    <t>Verify the logo alignement and colors in mobile view</t>
  </si>
  <si>
    <t>1. Launch inji web portal in moile device
 2. Select any issuer
 3. Select any credential
 4. Download credential</t>
  </si>
  <si>
    <t>Logo colors, placement should be properly aligned in mobile view</t>
  </si>
  <si>
    <t>INJIWEB-1036_TC_11</t>
  </si>
  <si>
    <t>Verify inji web changed to inji wallet in FAQ section</t>
  </si>
  <si>
    <t>1. Launch inji web portal in moile device
 2. Select help button</t>
  </si>
  <si>
    <t>In all the places inji web should be replaced with inji wallet</t>
  </si>
  <si>
    <t>INJIWEB-1036_TC_12</t>
  </si>
  <si>
    <t>Verify inji web changed to inji wallet in all the supported languages</t>
  </si>
  <si>
    <t>1. Launch inji web portal
 2. Select lang selection option button
 3. Select different languages
 4. Select any issuer
 5. Select any credential
 6. Download credential</t>
  </si>
  <si>
    <t>inji web should be updated to inji wallet in all the supported languages</t>
  </si>
  <si>
    <t>INJIWEB-1196</t>
  </si>
  <si>
    <t>Verify new themes in all the pages in Safari browser</t>
  </si>
  <si>
    <t>1. open the injiweb in the MacBook Safari browser
 2. Download the VC and check the PDF “ Please note” background color</t>
  </si>
  <si>
    <t>The background color of 'Please note' should be the same on both MacBook and Windows.</t>
  </si>
  <si>
    <t>Alignment / Background issue</t>
  </si>
  <si>
    <r>
      <rPr>
        <rFont val="Calibri"/>
        <color rgb="FF1155CC"/>
        <sz val="11.0"/>
        <u/>
      </rPr>
      <t>https://mosip.atlassian.net/browse/INJIWEB-1196</t>
    </r>
  </si>
  <si>
    <t>INJIWEB-1192</t>
  </si>
  <si>
    <t>Verify FAQs are translated to all the languages</t>
  </si>
  <si>
    <t>1. Open the injiweb in the browser
 2. Click on the FAQ option and check for all the language</t>
  </si>
  <si>
    <t>All words should be translated into the languages the user selects.</t>
  </si>
  <si>
    <r>
      <rPr>
        <rFont val="Calibri"/>
        <color rgb="FF1155CC"/>
        <sz val="11.0"/>
        <u/>
      </rPr>
      <t>https://mosip.atlassian.net/browse/INJIWEB-1192</t>
    </r>
  </si>
  <si>
    <t>INJIWEB-1191</t>
  </si>
  <si>
    <t>Verify all the stings on features supported by injiwallet</t>
  </si>
  <si>
    <t>1. Launch injiweb portal</t>
  </si>
  <si>
    <t>There is a typo here: Download with Confidence Save you *rimportant* documents instantly</t>
  </si>
  <si>
    <r>
      <rPr>
        <rFont val="Calibri"/>
        <color rgb="FF1155CC"/>
        <sz val="11.0"/>
        <u/>
      </rPr>
      <t>https://mosip.atlassian.net/browse/INJIWEB-1191</t>
    </r>
  </si>
  <si>
    <t>INJIWEB-1189</t>
  </si>
  <si>
    <t>Verify toast message coming soon by clicking on click here button</t>
  </si>
  <si>
    <t>1. Launch inji-web portal
 2. click on click here button multiple times</t>
  </si>
  <si>
    <t>Toast message should be displayed once</t>
  </si>
  <si>
    <r>
      <rPr>
        <rFont val="Calibri"/>
        <color rgb="FF1155CC"/>
        <sz val="11.0"/>
        <u/>
      </rPr>
      <t>https://mosip.atlassian.net/browse/INJIWEB-1189</t>
    </r>
  </si>
  <si>
    <t>INJIWEB-1188</t>
  </si>
  <si>
    <t>Verify toast message coming soon design in verify and injiweb</t>
  </si>
  <si>
    <t>1. Launch inji-web portal
 2. click on click here button
 3. Observe the toast message style
 4. Launch injiverify portal
 5. clisk on BLE button
 6. Observe the toast message style</t>
  </si>
  <si>
    <t>Toast messages should be in the same style across all the inji modules</t>
  </si>
  <si>
    <r>
      <rPr>
        <rFont val="Calibri"/>
        <color rgb="FF1155CC"/>
        <sz val="11.0"/>
        <u/>
      </rPr>
      <t>https://mosip.atlassian.net/browse/INJIWEB-1188</t>
    </r>
  </si>
  <si>
    <t>INJIWEB-1187</t>
  </si>
  <si>
    <t>Verify please note message when there is no QR code</t>
  </si>
  <si>
    <t>1. Configure for embeded vc
 2. Download mosip credentials which is not having QR code</t>
  </si>
  <si>
    <t>Please note: This credential can be used for verification by authorized verifiers without any limit on the number of
 verifications. It provides continuous, secure access for credential validation." is valid only when there is a QR code in downloaded PF</t>
  </si>
  <si>
    <r>
      <rPr>
        <rFont val="Calibri"/>
        <color rgb="FF1155CC"/>
        <sz val="11.0"/>
        <u/>
      </rPr>
      <t>https://mosip.atlassian.net/browse/INJIWEB-1187</t>
    </r>
  </si>
  <si>
    <t>INJIWEB-1150</t>
  </si>
  <si>
    <t>Verify landing page footer in ara lang in tablet</t>
  </si>
  <si>
    <t>1. Launch inji web portal in tablet potrait mode
 2. Select Help
 3. Select FAQ</t>
  </si>
  <si>
    <t>There should not be any alignment issue</t>
  </si>
  <si>
    <r>
      <rPr>
        <rFont val="Calibri"/>
        <color rgb="FF1155CC"/>
        <sz val="11.0"/>
        <u/>
      </rPr>
      <t>https://mosip.atlassian.net/browse/INJIWEB-1150</t>
    </r>
  </si>
  <si>
    <t>INJIWEB-1147</t>
  </si>
  <si>
    <t>Verify landing page in ara lang in tablet</t>
  </si>
  <si>
    <t>1. Launch inji web portal in tablet potrait mode
 2. Select lang as Arabic</t>
  </si>
  <si>
    <r>
      <rPr>
        <rFont val="Calibri"/>
        <color rgb="FF1155CC"/>
        <sz val="11.0"/>
        <u/>
      </rPr>
      <t>https://mosip.atlassian.net/browse/INJIWEB-1147</t>
    </r>
  </si>
  <si>
    <t>INJIWEB-1146</t>
  </si>
  <si>
    <t>Verify alignments in Arabic lang for lan selection</t>
  </si>
  <si>
    <t>1. Launch inji web portal in tablet
 2. Select any issuer
 3. Select lang selection option</t>
  </si>
  <si>
    <r>
      <rPr>
        <rFont val="Calibri"/>
        <color rgb="FF1155CC"/>
        <sz val="11.0"/>
        <u/>
      </rPr>
      <t>https://mosip.atlassian.net/browse/INJIWEB-1146</t>
    </r>
  </si>
  <si>
    <t>INJIWEB-1145</t>
  </si>
  <si>
    <t>Verify "Selected credential" string on share visibility page</t>
  </si>
  <si>
    <t>1. Launch inji web portal in tablet
 2. Select any issuer
 3. Select a credential
 4. Verify share visibility page</t>
  </si>
  <si>
    <t>On share visibility better to change from "Selected document" to "Selected credential"</t>
  </si>
  <si>
    <t>Enahncement issue and not implement yet</t>
  </si>
  <si>
    <r>
      <rPr>
        <rFont val="Calibri"/>
        <color rgb="FF1155CC"/>
        <sz val="11.0"/>
        <u/>
      </rPr>
      <t>https://mosip.atlassian.net/browse/INJIWEB-1145</t>
    </r>
  </si>
  <si>
    <t>INJIWEB-1141</t>
  </si>
  <si>
    <t>verify copyright informtation in tamil in tablet view</t>
  </si>
  <si>
    <t>1. Launch inji web portal in tablet
 2. Change lang to tamil</t>
  </si>
  <si>
    <t>Copyright info should be aligned properly for all the langs</t>
  </si>
  <si>
    <r>
      <rPr>
        <rFont val="Calibri"/>
        <color rgb="FF1155CC"/>
        <sz val="11.0"/>
        <u/>
      </rPr>
      <t>https://mosip.atlassian.net/browse/INJIWEB-1141</t>
    </r>
  </si>
  <si>
    <t>INJIWEB-1140</t>
  </si>
  <si>
    <t>Verify landing page features in tablet view</t>
  </si>
  <si>
    <t>1. Launch inji web portal in tablet
 2. Verify the image on the home page</t>
  </si>
  <si>
    <t>Image should be completely disaplyed</t>
  </si>
  <si>
    <r>
      <rPr>
        <rFont val="Calibri"/>
        <color rgb="FF1155CC"/>
        <sz val="11.0"/>
        <u/>
      </rPr>
      <t>https://mosip.atlassian.net/browse/INJIWEB-1140</t>
    </r>
  </si>
  <si>
    <t>INJIWEB-1139</t>
  </si>
  <si>
    <t>Verify share visibility page in tablet view</t>
  </si>
  <si>
    <t>1. Launch inji web portal
 2. Select veridonia credentials
 3. Select any credential type
 4. Verify heading on the share visiblity page</t>
  </si>
  <si>
    <t>Heading should be appeared and also scoll functionaluty should work to check all the options</t>
  </si>
  <si>
    <r>
      <rPr>
        <rFont val="Calibri"/>
        <color rgb="FF1155CC"/>
        <sz val="11.0"/>
        <u/>
      </rPr>
      <t>https://mosip.atlassian.net/browse/INJIWEB-1139</t>
    </r>
  </si>
  <si>
    <t>INJIWEB-1203</t>
  </si>
  <si>
    <t>Inji Wallet(Web)- Authorization endpoint discovery through auth server wellknown</t>
  </si>
  <si>
    <t>INJIWEB-1203_TC_01</t>
  </si>
  <si>
    <t>Verify if issuer wellknown &amp; esignet well known are called when /credentials/download api is called for mosip VC download</t>
  </si>
  <si>
    <t>1. Launch inji wallet web portal
 2. Select mosip issuer
 3. Select credential
 4. Download credentials
 5. Verify logs in mimoto</t>
  </si>
  <si>
    <t>calls to both issuers wellknown and esignet end point should happened</t>
  </si>
  <si>
    <t>Inspect mode</t>
  </si>
  <si>
    <t>INJIWEB-1203_TC_02</t>
  </si>
  <si>
    <t>Verify if issuer wellknown &amp; esignet well known are called when /credentials/download api is called for mock VC download</t>
  </si>
  <si>
    <t>1. Launch inji wallet web portal
 2. Select mock issuer
 3. Select credential
 4. Download credentials
 5. Verify logs in mimoto</t>
  </si>
  <si>
    <t>Log verification</t>
  </si>
  <si>
    <t>INJIWEB-1203_TC_03</t>
  </si>
  <si>
    <t>Verify if issuer wellknown &amp; esignet well known are called when /credentials/download api is called for sunbird VC download</t>
  </si>
  <si>
    <t>1. Launch inji wallet web portal
 2. Select sunbird issuer
 3. Select credential
 4. Download credentials
 5. Verify logs in mimoto</t>
  </si>
  <si>
    <t>INJIWEB-1203_TC_04</t>
  </si>
  <si>
    <t>Verify if issuer wellknown &amp; esignet well known are called when /get-token/{issuer} api is called for mosip VC download</t>
  </si>
  <si>
    <t>INJIWEB-1203_TC_05</t>
  </si>
  <si>
    <t>Verify if issuer wellknown &amp; esignet well known are called when /get-token/{issuer} api is called for mock VC download</t>
  </si>
  <si>
    <t>INJIWEB-1203_TC_06</t>
  </si>
  <si>
    <t>INJIWEB-1203_TC_07</t>
  </si>
  <si>
    <t>Verify if issuer wellknown &amp; esignet well known are called when /issuers/{issuer-id}/well-known-proxy api is called for mosip VC download</t>
  </si>
  <si>
    <t>INJIWEB-1203_TC_08</t>
  </si>
  <si>
    <t>Verify if issuer wellknown &amp; esignet well known are called when /issuers/{issuer-id}/well-known-proxy api is called for mock VC download</t>
  </si>
  <si>
    <t>INJIWEB-1203_TC_09</t>
  </si>
  <si>
    <t>Verify if issuer wellknown &amp; esignet well known are called when /issuers/{issuer-id}/well-known-proxy api is called for sunbird VC download</t>
  </si>
  <si>
    <t>INJIWEB-1203_TC_10</t>
  </si>
  <si>
    <t>Verify authorization_audience in response when /issuers api is called for all the issuers</t>
  </si>
  <si>
    <t>1. Launch inji wallet web portal
 2. select any issuer
 3. Verify authorization_audience for all the issuers</t>
  </si>
  <si>
    <t>authorization_audience should be present in response</t>
  </si>
  <si>
    <t>INJIWEB-1203_TC_11</t>
  </si>
  <si>
    <t>Verify if there are any calls happening to issuers well known</t>
  </si>
  <si>
    <t>1. Launch inji wallet web portal
 2. select any issuer
 3. Verify calls to mimto</t>
  </si>
  <si>
    <t>no calls to mimoto should be happened again</t>
  </si>
  <si>
    <t>INJIWEB-1203_TC_12</t>
  </si>
  <si>
    <t>Verify calls are happening to issuers/{issuer-id}/configuration</t>
  </si>
  <si>
    <t>1. Launch inji wallet web portal
 2. select any issuer
 3. Verify calls to configuration end point</t>
  </si>
  <si>
    <t>call to configuration should be happened and not to issuer well-known-proxy</t>
  </si>
  <si>
    <t>INJIWEB-1167</t>
  </si>
  <si>
    <t>Multi-lingual Support from &lt;CAR Use-Case&gt; feature branch to develop</t>
  </si>
  <si>
    <t>INJIWEB-1167_TC_01</t>
  </si>
  <si>
    <t>Verify the swagger document update for the new locale field</t>
  </si>
  <si>
    <t>1. Open the swagget link/api-documentation-openapi document from the release branch</t>
  </si>
  <si>
    <t>stoplight should be updated for the api with the locale parameter</t>
  </si>
  <si>
    <t>INJIWEB-1167_TC_02</t>
  </si>
  <si>
    <t>Verify the input and response fields for the locale in swagger</t>
  </si>
  <si>
    <t>stoplight document should be updated for the api with the locale parameter</t>
  </si>
  <si>
    <t>INJIWEB-1167_TC_03</t>
  </si>
  <si>
    <t>Verify Credential generation API with valid locale parameter value.</t>
  </si>
  <si>
    <t>1. Pass the valid locale value for the Credential generation API</t>
  </si>
  <si>
    <t>API call should be passed and should get the proper output in the selected locale lang</t>
  </si>
  <si>
    <t>Config chages required</t>
  </si>
  <si>
    <t>INJIWEB-1167_TC_04</t>
  </si>
  <si>
    <t>Verify Credential generation API with unconfigured locale value.</t>
  </si>
  <si>
    <t>1. Pass the un configured valid locale value for the Credential generation API</t>
  </si>
  <si>
    <t>API call should be passed and should get the proper output in the default/First lang appears on wellknown api</t>
  </si>
  <si>
    <t>INJIWEB-1167_TC_05</t>
  </si>
  <si>
    <t>Verify Credential generation API with invalid random locale value.</t>
  </si>
  <si>
    <t>1. Pass the invalid random locale value for the Credential generation API</t>
  </si>
  <si>
    <t>INJIWEB-1167_TC_06</t>
  </si>
  <si>
    <t>Verify Credential generation API with empty locale value.</t>
  </si>
  <si>
    <t>1. Pass the empty value for locale for the Credential generation API</t>
  </si>
  <si>
    <t>INJIWEB-1167_TC_07</t>
  </si>
  <si>
    <t>Verify Credential generation API with NULL locale value.</t>
  </si>
  <si>
    <t>1. Pass the NULL value for locale for the Credential generation API</t>
  </si>
  <si>
    <t>INJIWEB-1167_TC_11</t>
  </si>
  <si>
    <t>Verify download for mosip with large data in the credentials fields</t>
  </si>
  <si>
    <t>1. Create a UIN by providing a large amount of data for the name
 2. Select language from the landing page
 3. Select Get started
 4. Select MOSIP Issuer
 5. Select credential type
 6. Choose an option from share visibility page
 7. Download the credential</t>
  </si>
  <si>
    <t>PDF should contain the data in the selected language and should not have alignment issues</t>
  </si>
  <si>
    <t>INJIWEB-1167_TC_17</t>
  </si>
  <si>
    <t>Verify the downloaded VC QR code in verify application</t>
  </si>
  <si>
    <t>1. Select language from the landing page
 2. Select Get started
 3. Select MOCK Issuer
 4. Select credential type
 5. Choose an option from share visibility page
 6. Download the credential</t>
  </si>
  <si>
    <r>
      <rPr>
        <rFont val="Calibri"/>
        <color rgb="FF1155CC"/>
        <sz val="11.0"/>
        <u/>
      </rPr>
      <t>https://mosip.atlassian.net/browse/INJIWEB-1496</t>
    </r>
  </si>
  <si>
    <t>INJIWEB-1167_TC_18</t>
  </si>
  <si>
    <t>Verify by changing language at e-signet window and download the PDF</t>
  </si>
  <si>
    <t>1. Select language from the landing page
 2. Select Get started
 3. Select MOCK Issuer
 4. Select credential type
 5. Choose an option from share visibility page
 6. Change the lang at e-signet page
 6. Download the credential</t>
  </si>
  <si>
    <t>PDF should be downloaded in the lang selected during lang selection at issuer page only, not at the e-signet page</t>
  </si>
  <si>
    <r>
      <rPr>
        <rFont val="Calibri"/>
        <color rgb="FF1155CC"/>
        <sz val="11.0"/>
        <u/>
      </rPr>
      <t>https://mosip.atlassian.net/browse/INJIWEB-1496</t>
    </r>
  </si>
  <si>
    <t>INJIWEB-1246</t>
  </si>
  <si>
    <t>New PDF Template Implementation to existing Use-Cases</t>
  </si>
  <si>
    <t>INJIWEB-1246_TC_01</t>
  </si>
  <si>
    <t>Verify the template selected based on issuername_credentialtype for mock</t>
  </si>
  <si>
    <t>1. Create a template for mock with name issuername_credentialtype_template.html
 2. Upload the template to template folder of inji-config
 3. Restart the service
 4. Download the mock credential</t>
  </si>
  <si>
    <t>QR code should be present in the first page and template/PDF format should be selected based on the issuer and credential name</t>
  </si>
  <si>
    <t>INJIWEB-1246_TC_02</t>
  </si>
  <si>
    <t>Verify the template selected based on issuername_credentialtype for mosip</t>
  </si>
  <si>
    <t>1. Create a template for mosip with name issuername_credentialtype_template.html
 2. Upload the template to template folder of inji-config
 3. Restart the service
 4. Download the mock credential</t>
  </si>
  <si>
    <t>INJIWEB-1246_TC_03</t>
  </si>
  <si>
    <t>Verify the template selected based on issuername_credentialtype for Sunbird</t>
  </si>
  <si>
    <t>1. Create a template for sunbird with name issuername_credentialtype_template.html
 2. Upload the template to template folder of inji-config
 3. Restart the service
 4. Download the mock credential</t>
  </si>
  <si>
    <t>INJIWEB-1246_TC_04</t>
  </si>
  <si>
    <t>Verify template fallback if all the templates are removed from the template folder</t>
  </si>
  <si>
    <t>1. Create a template for mock with name issuername_credentialtype_template.html
 2. Remove all the templates except default template
 3. Restart the service
 4. Download the credentials</t>
  </si>
  <si>
    <t>Template/PDF format should be selected based from default/fallback</t>
  </si>
  <si>
    <t>INJIWEB-1246_TC_05</t>
  </si>
  <si>
    <t>Verify by adding a new issuer and new credential and not new creating template for the configuration</t>
  </si>
  <si>
    <t>1. Add a new issuer and new credential type to the issuer
 2. Restart the services</t>
  </si>
  <si>
    <t>INJIWEB-1246_TC_06</t>
  </si>
  <si>
    <t>Verify by adding a new issuer and new credential and create template for the configuration</t>
  </si>
  <si>
    <t>1. Add a new issuer and new credential type to the issuer
 2. Create a nw template matching issuername_credentialtype
 2. Restart the services
 3. Download the VC</t>
  </si>
  <si>
    <t>INJIWEB-1246_TC_07</t>
  </si>
  <si>
    <t>Verify by creating a template matching partially with issuername and credential type</t>
  </si>
  <si>
    <t>1. Add a new issuer and new credential type to the issuer
 2. Create a nw template matching partally issuername_credentialtype
 2. Restart the services
 3. Download the VC</t>
  </si>
  <si>
    <t>INJIWEB-1246_TC_08</t>
  </si>
  <si>
    <t>Verify QR code present on the first page for mosip VC</t>
  </si>
  <si>
    <t>1. Launch inji web portal
 2. Click on Get started button
 3. Select National Identify Department
 4. Select any available credential
 5. Select any option from Validity times
 6. Authentcate with OTP option for the UIN
 7. Open the VC PDF</t>
  </si>
  <si>
    <t>QR code should be present on the front page of the PDF
 All the alignments, fonts, spacing should be properly displayed</t>
  </si>
  <si>
    <t>INJIWEB-1246_TC_09</t>
  </si>
  <si>
    <t>Verify QR code present on the first page for mock VC</t>
  </si>
  <si>
    <t>1. Launch inji web portal
 2. Click on Get started button
 3. Select Mock issuer
 4. Select any available credential
 5. Select any option from Validity times
 6. Authentcate with OTP option for the UIN
 7. Open the VC PDF</t>
  </si>
  <si>
    <t>INJIWEB-1246_TC_10</t>
  </si>
  <si>
    <t>Verify QR code present on the first page for sunbird VC</t>
  </si>
  <si>
    <t>1. Launch inji web portal
 2. Click on Get started button
 3. Select Stayprotected issuer
 4. Select any available credential
 5. Select any option from Validity times
 6. Authentcate with KPI option for the credential
 7. Open the VC PDF</t>
  </si>
  <si>
    <t>INJIWEB-1246_TC_11</t>
  </si>
  <si>
    <t>Verify when the strings are configured for large(256 charectars) data</t>
  </si>
  <si>
    <t>1. Create VC with huge data in fields(Ex: for name)
 2. Launch inji web portal
 3. Click on Get started button
 4. Select Mosip/Stayprotected/Mock issuer
 5. Select any available credential
 6. Select any option from Validity times
 7. Authentcate with valid option
 8. Open the VC PDF</t>
  </si>
  <si>
    <t>INJIWEB-1246_TC_12</t>
  </si>
  <si>
    <t>Verify when the string are configured with very less(4 to 5 charectars) data</t>
  </si>
  <si>
    <t>INJIWEB-1246_TC_13</t>
  </si>
  <si>
    <t>Verify for embeded vc</t>
  </si>
  <si>
    <t>1. Configure qr_code_type to EmbeddedVC in
 mimoto-issuers-config.json
 ex: "qr_code_type": "EmbeddedVC",
 2. Launch inji web portal
 3. Click on Get started button
 4. Select Mosip/Stayprotected/Mock issuer
 5. Select any available credential
 6. Select any option from Validity times
 7. Authentcate with valid option
 8. Open the VC PDF</t>
  </si>
  <si>
    <t>INJIWEB-1246_TC_14</t>
  </si>
  <si>
    <t>Verify when the VC downloaded for English</t>
  </si>
  <si>
    <t>1. Launch inji web portal
 2. Click on Get started button
 3. Select an issuer
 4. Select language for english
 5. Select any available credential
 6. Select any option from Validity times
 7. Authentcate with KPI option for the credential
 8. Open the VC PDF</t>
  </si>
  <si>
    <t>INJIWEB-1246_TC_15</t>
  </si>
  <si>
    <t>Verify when the VC downloaded for all the langs</t>
  </si>
  <si>
    <t>1. Launch inji web portal
 2. Click on Get started button
 3. Select an issuer
 4. Select language all the supported languages
 5. Select any available credential
 6. Select any option from Validity times
 7. Authentcate with KPI option for the credential
 8. Open the VC PDF</t>
  </si>
  <si>
    <t>INJIWEB-1246_TC_16</t>
  </si>
  <si>
    <t>Verify when the VC downloaded in Tablet device of diff dimension</t>
  </si>
  <si>
    <t>1. Launch inji web portal in tablet
 2. Click on Get started button
 3. Select an issuer
 4. Select language all the supported languages
 5. Select any available credential
 6. Select any option from Validity times
 7. Authentcate with KPI option for the credential
 8. Open the VC PDF</t>
  </si>
  <si>
    <t>INJIWEB-1246_TC_17</t>
  </si>
  <si>
    <t>Verify when the VC downloaded in mobile device</t>
  </si>
  <si>
    <t>1. Launch inji web portal in mobile phone
 2. Click on Get started button
 3. Select an issuer
 4. Select language all the supported languages
 5. Select any available credential
 6. Select any option from Validity times
 7. Authentcate with KPI option for the credential
 8. Open the VC PDF</t>
  </si>
  <si>
    <t>INJIWEB-1246_TC_18</t>
  </si>
  <si>
    <t>Verify the QR codes from inji-verify application for online sharing by uploading it</t>
  </si>
  <si>
    <t>1. Launch inji web portal
 2. Click on Get started button
 3. Select an issuer
 4. Select any available credential
 5. Select any option from Validity times
 6. Authentcate with KPI option for the credential
 7. Open injiverify portal
 8. Upload the VC</t>
  </si>
  <si>
    <t>QR code on the PDF should be validated and the data should be properly displayed without any font, alignment. data missing on the page</t>
  </si>
  <si>
    <t>INJIWEB-1246_TC_19</t>
  </si>
  <si>
    <t>Verify the QR codes from inji-verify application for online sharing by scanning it</t>
  </si>
  <si>
    <t>1. Launch inji web portal
 2. Click on Get started button
 3. Select an issuer
 4. Select any available credential
 5. Select any option from Validity times
 6. Authentcate with KPI option for the credential
 7. Open injiverify portal
 8. Select scanning option
 9. Scan the QR code on the PDF</t>
  </si>
  <si>
    <t>INJIWEB-1246_TC_20</t>
  </si>
  <si>
    <t>Verify the QR codes from inji-verify application for embeded VC by uploading it</t>
  </si>
  <si>
    <t>1. Configure qr_code_type to EmbeddedVC in
 mimoto-issuers-config.json
 ex: "qr_code_type": "EmbeddedVC",
 2. Launch inji web portal
 3. Click on Get started button
 4. Select Stayprotected
 5. Select any available credential
 6. Select any option from Validity times
 7. Authentcate with valid option
 8. Open injiverify portal
 9. Select upload option</t>
  </si>
  <si>
    <t>INJIWEB-1246_TC_21</t>
  </si>
  <si>
    <t>Verify the QR codes from inji-verify application for embeded VC by scanning</t>
  </si>
  <si>
    <t>1. Configure qr_code_type to EmbeddedVC in
 mimoto-issuers-config.json
 ex: "qr_code_type": "EmbeddedVC",
 2. Launch inji web portal
 3. Click on Get started button
 4. Select Mosip/Stayprotected/Mock issuer
 5. Select any available credential
 6. Select any option from Validity times
 7. Authentcate with valid option
 8. Select scanning option
 9. Scan the QR code on the PDF</t>
  </si>
  <si>
    <t>INJIWEB-1117</t>
  </si>
  <si>
    <t>UI Story- First time Login to Inji Web Account and Passcode Creation</t>
  </si>
  <si>
    <t>INJIWEB-1117_TC-01</t>
  </si>
  <si>
    <t>Verify Login window on the home page</t>
  </si>
  <si>
    <t>1.Launch inji web portal</t>
  </si>
  <si>
    <t>Login button should be displayed on banner.</t>
  </si>
  <si>
    <t>INJIWEB-1117_TC-02</t>
  </si>
  <si>
    <t>Verify the login button functionality</t>
  </si>
  <si>
    <t>1.Launch inji web portal.
 2.Click on the login button</t>
  </si>
  <si>
    <t>User navigated to the login screen</t>
  </si>
  <si>
    <t>INJIWEB-1117_TC-03</t>
  </si>
  <si>
    <t>Verify google login button</t>
  </si>
  <si>
    <t>1.Launch inji web portal.
 2.Click on the login via Gmail</t>
  </si>
  <si>
    <t>Google ouath popup should be appears</t>
  </si>
  <si>
    <t>INJIWEB-1117_TC-04</t>
  </si>
  <si>
    <t>Verify Google login with vaild
 email and password.</t>
  </si>
  <si>
    <t>1.Launch inji web portal
 2.Click on google login button and enter
 email id and password.</t>
  </si>
  <si>
    <t>User should be login
 successfully</t>
  </si>
  <si>
    <t>With the google credentials, automation can not be performed</t>
  </si>
  <si>
    <t>INJIWEB-1117_TC-05</t>
  </si>
  <si>
    <t>Verify Guest login option</t>
  </si>
  <si>
    <t>1. Launch inji web portal
 2. Select guest user option on login windows</t>
  </si>
  <si>
    <t>User should be to login with out google credentials,
 homepage should be dispalyed.</t>
  </si>
  <si>
    <t>INJIWEB-1117_TC-06</t>
  </si>
  <si>
    <t>Verify passcode setup screen after successful login for the firsttime</t>
  </si>
  <si>
    <t>1.Open login page.
 2.Enter vaild email and password.
 3.Click on login.</t>
  </si>
  <si>
    <t>Passcode and confirm passcode option should be displayed.</t>
  </si>
  <si>
    <t>INJIWEB-1117_TC-08</t>
  </si>
  <si>
    <t>Verify Error message if passcode and confim passcodes are not matching</t>
  </si>
  <si>
    <t>1.Login with valid gmail credentials
 2. Enter 6 digit passcode and confirm
 passcode.
 3.Click on submitt button</t>
  </si>
  <si>
    <t>Passcodes do not match. Please ensure both
 passcode fields match exactly. Re-enter and
 try again.</t>
  </si>
  <si>
    <t>INJIWEB-1117_TC-09</t>
  </si>
  <si>
    <t>Verify passcode length requirement</t>
  </si>
  <si>
    <t>1.Login with valid gmail credentials
 2. Enters fewer or more than 6 digit numbers
 3. Click on submitt button.</t>
  </si>
  <si>
    <t>Submit button should not be enabled.</t>
  </si>
  <si>
    <t>INJIWEB-1117_TC-10</t>
  </si>
  <si>
    <t>Verify click on eye icon functionality</t>
  </si>
  <si>
    <t>1.Enter a some digits passcode field
 2.Click on eye icon</t>
  </si>
  <si>
    <t>Passcode should be visible in readable format</t>
  </si>
  <si>
    <t>INJIWEB-1117_TC-11</t>
  </si>
  <si>
    <t>Verify the hide passcode after showing in
 Enter passcode field</t>
  </si>
  <si>
    <t>1.Enter a 6 digit passcode
 2.Click on eye icon
 3.Click on again</t>
  </si>
  <si>
    <t>Passcode should not be visible in readable format</t>
  </si>
  <si>
    <t>INJIWEB-1117_TC-12</t>
  </si>
  <si>
    <t>Verify the user toggles visibility using keyboard</t>
  </si>
  <si>
    <t>1.Click on Tab key to fous on eye icon.
 2.Press Enter or Space to activate the toggle</t>
  </si>
  <si>
    <t>Toggle is accessible</t>
  </si>
  <si>
    <t>INJIWEB-1117_TC-13</t>
  </si>
  <si>
    <t>Verify password setup</t>
  </si>
  <si>
    <t>Passcode setup should be successful</t>
  </si>
  <si>
    <t>INJIWEB-1117_TC-14</t>
  </si>
  <si>
    <t>Verify the passcode setup feature in Tablet for responsiveness</t>
  </si>
  <si>
    <t>1.Open the application in Tablet screen
 2..Login with valid gmail credentials
 3. Enter 6 digit passcode and confirm
 passcode.
 4.Click on submitt button</t>
  </si>
  <si>
    <t>The UI should be correctly adjusted for tablet view</t>
  </si>
  <si>
    <t>INJIWEB-1117_TC-15</t>
  </si>
  <si>
    <t>Verify the passcode setup feature in Mobile for responsiveness</t>
  </si>
  <si>
    <t>1.Open the application in Mobile screen</t>
  </si>
  <si>
    <t>INJIWEB-1117_TC-16</t>
  </si>
  <si>
    <t>verify the passcode encrypted and not visible in
 palin text format.</t>
  </si>
  <si>
    <t>1.Login with valid gmail credentials
 2. Enter 6 digit passcodes in both the fields.
 3. Click on submitt button.
 4.Click on Inspect mode Observe the passcode
 encrypted .</t>
  </si>
  <si>
    <t>Passcode encryption should be encrypted and should
 not be visible in plain text format.</t>
  </si>
  <si>
    <t>INJIWEB-1117_TC-17</t>
  </si>
  <si>
    <t>Verify the keyboard navigation</t>
  </si>
  <si>
    <t>1.Click on the Tab key repeatedly to move forward
 2.Press enter or space to activate buttons</t>
  </si>
  <si>
    <t>All interactive elements are acceessible</t>
  </si>
  <si>
    <t>INJIWEB-1117_TC-18</t>
  </si>
  <si>
    <t>Verify login with invaild email id and
 passcode</t>
  </si>
  <si>
    <t>1.Launch inji web portal
 2.Click on google login button and enter
 invaild email id and passcode.</t>
  </si>
  <si>
    <t>It should show an error messege "Login failed"</t>
  </si>
  <si>
    <t>INJIWEB-1117_TC-20</t>
  </si>
  <si>
    <t>Verify the passcode with letters and symbols</t>
  </si>
  <si>
    <t>1.Login with valid gmail credentials
 2. Enter passcode with non numeric characters..
 3.Click on submitt button</t>
  </si>
  <si>
    <t>other than digits passcode should not accept any other values.</t>
  </si>
  <si>
    <t>INJIWEB-1117_TC-21</t>
  </si>
  <si>
    <t>Verify the submit without filling both fields</t>
  </si>
  <si>
    <t>1.Login with valid gmail credentials
 2. Do not enter any values in the passcode and
 confirm passcode.
 3.Click on submitt button</t>
  </si>
  <si>
    <t>INJIWEB-1117_TC-22</t>
  </si>
  <si>
    <t>Verify the screen reader functionality</t>
  </si>
  <si>
    <t>1.Navigate the passcode setup screen
 2.Activate the screen reader and navigate the eye
 icon.</t>
  </si>
  <si>
    <t>Eye icon and passcode fields should be annouced
 correctly "ARIA lables must be reviewed and corrected"</t>
  </si>
  <si>
    <t>Screen reader application is required</t>
  </si>
  <si>
    <t>INJIWEB-1117_TC-23</t>
  </si>
  <si>
    <t>Verify the passcode store when redis cache is down</t>
  </si>
  <si>
    <t>1.Navigate the passcode setup screen.
 2.Enter vaild passcode and confirm passcode.
 3.stimulate the redis cache/db down.
 4.Click on submit button</t>
  </si>
  <si>
    <t>It shows an error messege "Something went wrong
 please try agin later"</t>
  </si>
  <si>
    <t>Service restart required</t>
  </si>
  <si>
    <r>
      <rPr>
        <rFont val="Calibri"/>
        <color rgb="FF1155CC"/>
        <sz val="11.0"/>
        <u/>
      </rPr>
      <t>https://mosip.atlassian.net/browse/INJIWEB-1574</t>
    </r>
  </si>
  <si>
    <t>INJIWEB-1117_TC-24</t>
  </si>
  <si>
    <t>Verify the passcode store when backend db is down</t>
  </si>
  <si>
    <t>It shows an error messege "Somethimng went wrong
 please try agin later"</t>
  </si>
  <si>
    <r>
      <rPr>
        <rFont val="Calibri"/>
        <color rgb="FF1155CC"/>
        <sz val="11.0"/>
        <u/>
      </rPr>
      <t>https://mosip.atlassian.net/browse/INJIWEB-1574</t>
    </r>
  </si>
  <si>
    <t>INJIWEB-1117_TC-25</t>
  </si>
  <si>
    <t>Verify if passcode setup is asking for the
 second time login for the same gmail account</t>
  </si>
  <si>
    <t>1.Login with valid gmail credentials
 2. Set the passcode for the account
 3.Click on submitt button
 4. Login with the gmail account again</t>
  </si>
  <si>
    <t>Passcode setup windows should not displayed for the
 second time for the same gmail account</t>
  </si>
  <si>
    <t>INJIWEB-1117_TC-26</t>
  </si>
  <si>
    <t>Verify if passcode is asking when the session
 is valid after login</t>
  </si>
  <si>
    <t>User should not be asked for the passcode when
 the login session is active for the same gamil account</t>
  </si>
  <si>
    <t>INJIWEB-1117_TC-27</t>
  </si>
  <si>
    <t>Verify passcode is asking after the current session
 is expired</t>
  </si>
  <si>
    <t>1.Login with valid gmail credentials
 2. Set the passcode for the account
 3.Click on submitt button
 4. Login with the passcode
 5. Wait till the session gets expired</t>
  </si>
  <si>
    <t>User should be prompted for relogin.</t>
  </si>
  <si>
    <t>INJIWEB-1117_TC-28</t>
  </si>
  <si>
    <t>Verify in different browser tabs</t>
  </si>
  <si>
    <t>1.Login with valid gmail credentials
 2. Set the passcode for the account
 3.Click on submitt button
 4. Login with the gmail account again
 5. Again open another browser tab</t>
  </si>
  <si>
    <t>User should not be asked for the passcode when the login session is active for the same gamil account</t>
  </si>
  <si>
    <t>INJIWEB-1117_TC-29</t>
  </si>
  <si>
    <t>Verify in diff browser windows</t>
  </si>
  <si>
    <t>1.Login with valid gmail credentials
 2. Set the passcode for the account
 3.Click on submitt button
 4. Login with the gmail account again
 5. Login in diff browser window</t>
  </si>
  <si>
    <t>User should not be asked for the passcode to complete the login</t>
  </si>
  <si>
    <t>INJIWEB-1117_TC-30</t>
  </si>
  <si>
    <t>Update the passcode configuration to more than
 6 digits and verify</t>
  </si>
  <si>
    <t>1.Update mosip.inji.user.wallet.
 pin.validation.regex=^\\d{10}$ in mimoto-default
 properties file
 2.Restart mimoto service</t>
  </si>
  <si>
    <t>Now the passcode should be updated to 6 digits.</t>
  </si>
  <si>
    <r>
      <rPr>
        <rFont val="Calibri"/>
        <color rgb="FF1155CC"/>
        <sz val="11.0"/>
        <u/>
      </rPr>
      <t>https://mosip.atlassian.net/browse/INJIWEB-1576</t>
    </r>
  </si>
  <si>
    <t>INJIWEB-1117_TC-31</t>
  </si>
  <si>
    <t>Verify the relogin is not asking with gmail if we cancel at the passcode setup</t>
  </si>
  <si>
    <t>1.Open login page.
 2.Enter vaild email and password of gmail
 3.Click on login.
 4. Enter the passcode
 5. Close the browser and Relaunch it</t>
  </si>
  <si>
    <t>User should not be asked for relogin with google, it should only ask the user to setup the passcode</t>
  </si>
  <si>
    <t>INJIWEB-1513</t>
  </si>
  <si>
    <t>UI Story - Post Login : Home Page Creation + Blank Credentials Page+ Top Header(Right Hand-Side) + Logout</t>
  </si>
  <si>
    <t>INJIWEB-1513_TC-01</t>
  </si>
  <si>
    <t>Verify the home page after succcessful
 login</t>
  </si>
  <si>
    <t>User should be redirected to homepage.</t>
  </si>
  <si>
    <t>INJIWEB-1513_TC-02</t>
  </si>
  <si>
    <t>Verify user profile image homepage</t>
  </si>
  <si>
    <t>1.Open login page.
 2.Enter vaild email and password.
 3.Click on login.
 4.Observe the home page structure.</t>
  </si>
  <si>
    <t>At the Top right corner profile image should be displayed for the user</t>
  </si>
  <si>
    <t>INJIWEB-1513_TC-03</t>
  </si>
  <si>
    <t>Verify user profile name on homepage</t>
  </si>
  <si>
    <t>At the Top right corner profile name should be displayed for the user</t>
  </si>
  <si>
    <t>INJIWEB-1513_TC-04</t>
  </si>
  <si>
    <t>Verify the Top header elements.</t>
  </si>
  <si>
    <t>1.Open login page.
 2 Login with valid credentials.
 3.Observe the top right corner.</t>
  </si>
  <si>
    <t>The username should be visible,with a dropdown
 that should contain profile details and FAQ,Logout
 options.</t>
  </si>
  <si>
    <t>INJIWEB-1513_TC-05</t>
  </si>
  <si>
    <t>Verify profile detail from the dropdown
 menu</t>
  </si>
  <si>
    <t>1.Open login page.
 2 Login with valid credentials.
 3.Observe the top right corner
 4. Select profile option</t>
  </si>
  <si>
    <t>User details should be displayed when the profile option slected.
 Full Name, profile picture and email Id. and no other details should be displayed</t>
  </si>
  <si>
    <t>INJIWEB-1513_TC-06</t>
  </si>
  <si>
    <t>Verify the logout option functionality.</t>
  </si>
  <si>
    <t>1.Navigate to the Inji web portal.
 2.Enter vaild credential then login.
 3.Click on user name at the top of right
 corner
 4.Click on Logout in the drop down menu.
 5.Click on logout.</t>
  </si>
  <si>
    <t>User should be redirected to the login
 screen and Session cookie should be removed from the browser</t>
  </si>
  <si>
    <t>INJIWEB-1513_TC-07</t>
  </si>
  <si>
    <t>Verify the profile details after logging out
 and logging in again</t>
  </si>
  <si>
    <t>1.Navigate to the Inji web portal.
 2.Enter vaild credential then login.
 3.Click on user name at the top of right
 corner
 4.Click on Logout in the drop down menu.
 5.Login with the same credentials.</t>
  </si>
  <si>
    <t>The user profile should be displayed on the
 screen should not be deleted for logout
 operation.</t>
  </si>
  <si>
    <t>INJIWEB-1513_TC-08</t>
  </si>
  <si>
    <t>Verify the blank document placeholder on
 homepage.</t>
  </si>
  <si>
    <t>1.Login with valid credentials.
 2.Navigate the home page.
 3.Observe the mail content area on home
 page
 4. Click on stored cards option</t>
  </si>
  <si>
    <t>No Cards stored You haven't downloaded any cards yet.
 Tap "Add Cards" to get started.</t>
  </si>
  <si>
    <t>INJIWEB-1513_TC-10</t>
  </si>
  <si>
    <t>Verify user guided message, if no cards are downloaded</t>
  </si>
  <si>
    <t>You haven't downloaded any cards yet. Tap "Add Cards" to get started.</t>
  </si>
  <si>
    <t>s</t>
  </si>
  <si>
    <t>Verify the hamburger menu options on
 mobile creen</t>
  </si>
  <si>
    <t>1.Login with valid credentials.
 2.Navigate the home page.
 3.Click on hamburger menu.
 4.select and verify profile,faq,logout options.</t>
  </si>
  <si>
    <t>The options should be navigated to the respective pages.</t>
  </si>
  <si>
    <r>
      <rPr>
        <rFont val="Calibri"/>
        <color rgb="FF1155CC"/>
        <sz val="11.0"/>
        <u/>
      </rPr>
      <t>https://mosip.atlassian.net/browse/INJIWEB-1568</t>
    </r>
  </si>
  <si>
    <t>INJIWEB-1513_TC-11</t>
  </si>
  <si>
    <t>Verify the UI responsive on tablet view.</t>
  </si>
  <si>
    <t>1.Navigate the login page.
 2.Enter vaild email and password.
 3.Click on login.
 4.Observe the homepage on tablet.</t>
  </si>
  <si>
    <t>All elements should be properly dispalyed on
 tablet screen</t>
  </si>
  <si>
    <t>INJIWEB-1513_TC-12</t>
  </si>
  <si>
    <t>Verify the UI responsive on mobile view.</t>
  </si>
  <si>
    <t>1.Navigate the login page.
 2.Enter vaild email and password.
 3.Click on login.
 4.Observe the homepage on mobile.</t>
  </si>
  <si>
    <t>Hamburgur menu should be dispalyed at the top left corner.</t>
  </si>
  <si>
    <t>INJIWEB-1513_TC-13</t>
  </si>
  <si>
    <t>Verify all the strings in multiple languages</t>
  </si>
  <si>
    <t>1.Navigate the login page.
 2.Enter vaild email and password.
 3.Click on login.</t>
  </si>
  <si>
    <t>All the strings should be displayed in the selected lang and no alignement issues issues should be displayed</t>
  </si>
  <si>
    <t>INJIWEB-1522</t>
  </si>
  <si>
    <t>UI Story - Listing of Cards in Stored Cards Page(Mobile &amp; Desktop Views)</t>
  </si>
  <si>
    <t>INJIWEB-1522-TC-01</t>
  </si>
  <si>
    <t>Verify the navigation icons, home and stored credential.</t>
  </si>
  <si>
    <t>1.Launch the inji web portal.
 2.Login with vaild email and
 password.</t>
  </si>
  <si>
    <t>Home and stored credentials options should be
 displayed on the login screen.</t>
  </si>
  <si>
    <t>INJIWEB-1522-TC-02</t>
  </si>
  <si>
    <t>Verify only the Home option is highlighted on login screen.</t>
  </si>
  <si>
    <t>1.Launch the inji web portal.
 2.Verify the login with vaild email and
 password.
 3.Check the sidebar navigation.
 4.Observe the "Home" option.</t>
  </si>
  <si>
    <t>"Home" option should be highlighted and stored
 credential option should be grayed.</t>
  </si>
  <si>
    <t>INJIWEB-1522-TC-03</t>
  </si>
  <si>
    <t>Verify the Stored credential option highlighted upon selection.</t>
  </si>
  <si>
    <t>1.Launch the inji web portal.
 2.Verify the login with vaild email and
 password.
 3.Check the sidebar navigation.
 4.Observe the "Stored credential" option.</t>
  </si>
  <si>
    <t>"Stored credential" option should be highlighted
 and home option should be grayed.</t>
  </si>
  <si>
    <t>INJIWEB-1522-TC-04</t>
  </si>
  <si>
    <t>Verify credentials list for the first time login.</t>
  </si>
  <si>
    <t>1.Launch the inji web portal.
 2.Verify the login with vaild email and
 password.
 3.Click on stroed credential</t>
  </si>
  <si>
    <t>"NO Credential stored" messege should be
 appeared</t>
  </si>
  <si>
    <t>TC_592</t>
  </si>
  <si>
    <t>Verify the small visula indicator moving on selection</t>
  </si>
  <si>
    <t>1.Launch the inji web portal.
 2.Verify the login with vaild email and
 password.
 3.check small visula indicator
 4. Select stored cards option</t>
  </si>
  <si>
    <t>Visula indicator should be apperared beside the Home option should move from Home to store cards</t>
  </si>
  <si>
    <t>INJIWEB-1522-TC-05</t>
  </si>
  <si>
    <t>Verify the Add crendential option on the top of right corner of
 selected credential page and is enabled.</t>
  </si>
  <si>
    <t>1.Launch the inji web portal.
 2.Verify the login with vaild email and
 password.
 3.Click on stored credential option.</t>
  </si>
  <si>
    <t>The add credential option should be appeared
 on the stored credential page.</t>
  </si>
  <si>
    <t>INJIWEB-1522-TC-06</t>
  </si>
  <si>
    <t>Download credential from add credential option</t>
  </si>
  <si>
    <t>1.Launch the inji web portal.
 2.Verify the login with vaild email and
 password.
 3.Click on add credential option.
 4.Download the credential.</t>
  </si>
  <si>
    <t>The credential should be downloadad</t>
  </si>
  <si>
    <t>INJIWEB-1522-TC-07</t>
  </si>
  <si>
    <t>Download multiple/different credentials from add credential
 option</t>
  </si>
  <si>
    <t>1.Launch the inji web portal.
 2.Verify the login with vaild email and
 password.
 3.click on add credential option
 4.Download the credential.</t>
  </si>
  <si>
    <t>Multiple credentials should be downloadad</t>
  </si>
  <si>
    <t>INJIWEB-1522-TC-08</t>
  </si>
  <si>
    <t>Verify the downloaded cards appear in reverse chronological order</t>
  </si>
  <si>
    <t>1.Launch the inji web portal.
 2.Verify the login with vaild email and
 password.
 3.click on add credential option
 4.select specific credential then download
 5. Repeat the same to download multiple credentials</t>
  </si>
  <si>
    <t>Cards shuold be aligned in reverse chronological order</t>
  </si>
  <si>
    <r>
      <rPr>
        <rFont val="Calibri"/>
        <color rgb="FF1155CC"/>
        <sz val="11.0"/>
        <u/>
      </rPr>
      <t>https://mosip.atlassian.net/browse/INJIWEB-1581</t>
    </r>
  </si>
  <si>
    <t>INJIWEB-1522-TC-09</t>
  </si>
  <si>
    <t>Verify Download the selected credential only</t>
  </si>
  <si>
    <t>1.Launch the inji web portal.
 2.Verify the login with vaild email and
 password.
 3.click on add credential option
 4.select specific credential then download.</t>
  </si>
  <si>
    <t>Selected credential should be downloaded.</t>
  </si>
  <si>
    <t>INJIWEB-1522-TC-10</t>
  </si>
  <si>
    <t>Verify the credential after logging out and logging in again</t>
  </si>
  <si>
    <t>1.Launch the inji web portal.
 2.Verify the login with vaild email and
 password.
 3.Click on ADD credential option then logout.
 4.Login again with same credentials."</t>
  </si>
  <si>
    <t>The added credential should be displayed on the
 stored credential option on the credentials
 should not be deleted for logout operation.</t>
  </si>
  <si>
    <t>INJIWEB-1522-TC-11</t>
  </si>
  <si>
    <t>Verify the credentials are alligned in horizontal scrolllable list.</t>
  </si>
  <si>
    <t>The credential are dispalyed horizontally.</t>
  </si>
  <si>
    <t>INJIWEB-1522-TC-12</t>
  </si>
  <si>
    <t>Veify the search bar functionality on stored credentials screen</t>
  </si>
  <si>
    <t>1.Navigate the stored credentials page
 2.Search documents by name and first letter
 of the name.</t>
  </si>
  <si>
    <t>All the matching credential name should be dispayed</t>
  </si>
  <si>
    <t>INJIWEB-1522-TC-13</t>
  </si>
  <si>
    <t>Verify Search functionality with invaild names and characters</t>
  </si>
  <si>
    <t>1.Navigate the stored credentials page
 2.Search documents invaild name and
 characters</t>
  </si>
  <si>
    <t>"No cards match your search "message should be dispalyed</t>
  </si>
  <si>
    <t>INJIWEB-1522-TC-14</t>
  </si>
  <si>
    <t>Verify all the words are using Cards instead of Credentials in stored credentials page</t>
  </si>
  <si>
    <t>1.Navigate the stored credentials page</t>
  </si>
  <si>
    <t>On stored credentials page, all the credentials should be updated to Cards</t>
  </si>
  <si>
    <t>INJIWEB-1522-TC-15</t>
  </si>
  <si>
    <t>Verify all the stored credntial and Home options in mobile view</t>
  </si>
  <si>
    <t>1.Launch the inji web portal.
 2.Verify the login with vaild email and
 password.
 3.Check the sidebar navigation.</t>
  </si>
  <si>
    <t>Both home and stored credntial pages should be
 displayed properlyin Mobile view</t>
  </si>
  <si>
    <t>INJIWEB-1522-TC-16</t>
  </si>
  <si>
    <t>Verify all the options tablet view</t>
  </si>
  <si>
    <t>Both home and stored credntial pages shoud be
 displayed properly in tablet screen.</t>
  </si>
  <si>
    <t>INJIWEB-1522-TC-17</t>
  </si>
  <si>
    <t>Verify Add credntial option in mobile view</t>
  </si>
  <si>
    <t>1.Launch the inji web portal.
 2.Verify the login with vaild email and
 password.
 3.Check the Add credential option</t>
  </si>
  <si>
    <t>Add credential option should be appered at the end of the page</t>
  </si>
  <si>
    <t>INJIWEB-1522-TC-18</t>
  </si>
  <si>
    <t>Verify Add credntial option in tablet view</t>
  </si>
  <si>
    <t>INJIWEB-1522-TC-19</t>
  </si>
  <si>
    <t>Verify Error message after token expiry</t>
  </si>
  <si>
    <t>1.Launch the inji web portal.
 2.Verify the login with vaild email and
 password.
 3.Wait for timeout</t>
  </si>
  <si>
    <t>User should get error message: We couldn’t verify your wallet information. Please try again later.</t>
  </si>
  <si>
    <t>INJIWEB-1522-TC-20</t>
  </si>
  <si>
    <t>Verify Error message by removing the wallet key from the session</t>
  </si>
  <si>
    <t>1.Lunch the inji web portal.
 2.Verify the login with vaild email and
 password.
 3.remove the wallet key from the redis session</t>
  </si>
  <si>
    <t>INJIWEB-1522-TC-22</t>
  </si>
  <si>
    <t>Verify Error messsage when there is no internet connection at stored cards page</t>
  </si>
  <si>
    <t>1.Launch the inji web portal.
 2.Verify the login with vaild email and
 password.
 3.At the stored credentials page stop the internet and verify the error message</t>
  </si>
  <si>
    <t>User should get error message: Please check your internet connection and try again.</t>
  </si>
  <si>
    <t>INJIWEB-1522-TC-24</t>
  </si>
  <si>
    <t>Service unavailable</t>
  </si>
  <si>
    <t>1.Launch the inji web portal.
 2.Verify the login with vaild email and
 password.
 3.At the stored credentials page stop the DB service and verify the error message</t>
  </si>
  <si>
    <t>User should get error message: We're currently experiencing some issues processing your request. Please try again later.</t>
  </si>
  <si>
    <t>INJIWEB-1533</t>
  </si>
  <si>
    <t>INJIWEB-1533_TC-03</t>
  </si>
  <si>
    <t>Verify the reset passcode option</t>
  </si>
  <si>
    <t>1. Login with gmail account
 2.Verify Forgot Passcode option on the passcode window</t>
  </si>
  <si>
    <t>Forgot Passcode option should be available on passcode window</t>
  </si>
  <si>
    <t>INJIWEB-1533_TC-04</t>
  </si>
  <si>
    <t>Verify error message for passcode mismatch while updating passcode</t>
  </si>
  <si>
    <t>1. Login with gmail account
 2.Verify Forgot Passcode option on the passcode window
 3. enter diff values for passcode and confirm passcode values</t>
  </si>
  <si>
    <t>Error message Passcodes do not match. Please ensure both passcode fields match exactly. Re-enter and try again. should be displayed</t>
  </si>
  <si>
    <t>INJIWEB-1533_TC-05</t>
  </si>
  <si>
    <t>1. Login with gmail account
 2.Click on Forgot Passcode option
 3.Verify the user message on the page</t>
  </si>
  <si>
    <t>Application should provide information to the user.
 If you can’t remember your passcode, you can reset it by clicking the button below.
 Please note: This will remove all your saved cards from the account — such as your National ID card, Tax ID card, Insurance certificate, and any other documents you’ve added.
 After resetting, you’ll need to set a new passcode and re-download your cards into your Wallet.</t>
  </si>
  <si>
    <t>INJIWEB-1533_TC-06</t>
  </si>
  <si>
    <t>Verify back button functionality on the forget passcode window</t>
  </si>
  <si>
    <t>1. Login with gmail account
 2.Click on Forgot Passcode option
 3. click on back button on forget password window</t>
  </si>
  <si>
    <t>User should be redirected to passcode window</t>
  </si>
  <si>
    <t>INJIWEB-1533_TC-08</t>
  </si>
  <si>
    <t>Verify that credentials deleted after passcode
 reset</t>
  </si>
  <si>
    <t>1.After the five wrong attempts it shows
 message reset passcode.
 2.Click on reset passcode.
 3.Set up a new passcode and confirm it.
 4.Try to verify the saved wallet credentials.</t>
  </si>
  <si>
    <t>The previous credentials should be delated.</t>
  </si>
  <si>
    <t>INJIWEB-1533_TC-09</t>
  </si>
  <si>
    <t>Responsive design</t>
  </si>
  <si>
    <t>Verify the home screen on desktop</t>
  </si>
  <si>
    <t>1.Navigate the login page on desktop.
 2.Login with the vaild credentials.
 3.Observe the passcode setup screen.</t>
  </si>
  <si>
    <t>All the UI elements properly alligned.</t>
  </si>
  <si>
    <t>INJIWEB-1533_TC-10</t>
  </si>
  <si>
    <t>Verify the home screen on tablet</t>
  </si>
  <si>
    <t>1.Navigate the login page on Tablet
 2.Login with the vaild credentials.
 3.Observe the passcode setup screen.</t>
  </si>
  <si>
    <t>INJIWEB-1533_TC-11</t>
  </si>
  <si>
    <t>Verify the home screen on mobile</t>
  </si>
  <si>
    <t>1.Navigate the login page on mobile.
 2.Login with the vaild credentials.
 3.Observe the passcode setup screen.</t>
  </si>
  <si>
    <t>Hamburger menu should be present at the
 top the left side and all the credentials should be
 alligned vertically.</t>
  </si>
  <si>
    <t>INJIWEB-1533_TC-12</t>
  </si>
  <si>
    <t>Verify the language selection option</t>
  </si>
  <si>
    <t>1.Login with the vaild credentials.
 2.Click on language selection dropdown.
 3.Observe the page.</t>
  </si>
  <si>
    <t>All screen test should be updated to user selected
 language</t>
  </si>
  <si>
    <t>INJIWEB-1533_TC-13</t>
  </si>
  <si>
    <t>Verify the browser back button functionality while
 resetting passcode.</t>
  </si>
  <si>
    <t>1.Navigate the passcode screen
 2.Select forgot passcode option.
 3.Click the browser back button.</t>
  </si>
  <si>
    <t>It should redirect to previous screen or passcode
 screen</t>
  </si>
  <si>
    <r>
      <rPr>
        <rFont val="Calibri"/>
        <color rgb="FF1155CC"/>
        <sz val="11.0"/>
        <u/>
      </rPr>
      <t>https://mosip.atlassian.net/browse/INJIWEB-1582</t>
    </r>
  </si>
  <si>
    <t>INJIWEB-1533_TC-14</t>
  </si>
  <si>
    <t>Verify error message when Reset wallet failed</t>
  </si>
  <si>
    <t>1.Navigate the passcode screen
 2.click the browser back button</t>
  </si>
  <si>
    <t>User should get error message, when the reset wallet failed</t>
  </si>
  <si>
    <t>INJIWEB-1533_TC-15</t>
  </si>
  <si>
    <t>Verify login with reset passcode</t>
  </si>
  <si>
    <t>1.Lauch the injiweb portal
 2. Login with valid credentials
 3. Click on forget passcode
 4. Update the passcode
 5. Logout from the portal
 6. Login with updated passcode</t>
  </si>
  <si>
    <t>User should be logged in with updated passcode</t>
  </si>
  <si>
    <t>INJIWEB-1533_TC-16</t>
  </si>
  <si>
    <t>Verify the label of the forgot passcode screen.</t>
  </si>
  <si>
    <t>1.launch the inji web portal.
 2.Navigate to the passcode entry screen.
 3.Click on forgot passcode option.</t>
  </si>
  <si>
    <t>Reset passcode string should be displayed when the
 user selects forgot passcode option.</t>
  </si>
  <si>
    <r>
      <rPr>
        <rFont val="Calibri"/>
        <color rgb="FF1155CC"/>
        <sz val="11.0"/>
        <u/>
      </rPr>
      <t>https://mosip.atlassian.net/browse/INJIWEB-1584</t>
    </r>
  </si>
  <si>
    <t>INJIWEB-1533_TC-17</t>
  </si>
  <si>
    <t>Verify the user approval dialog box after clicking
 forgot passcode.</t>
  </si>
  <si>
    <t>The user approval dialog box should be appeard when
 clicking forgot passcode.</t>
  </si>
  <si>
    <r>
      <rPr>
        <rFont val="Calibri"/>
        <color rgb="FF1155CC"/>
        <sz val="11.0"/>
        <u/>
      </rPr>
      <t>https://mosip.atlassian.net/browse/INJIWEB-1585</t>
    </r>
  </si>
  <si>
    <t>INJIWEB-1520</t>
  </si>
  <si>
    <t>UI Story - Post Login into Inji Web Account - Accessing User Profile</t>
  </si>
  <si>
    <t>INJIWEB-1520_TC-01</t>
  </si>
  <si>
    <t>Verify the user profie after login</t>
  </si>
  <si>
    <t>1.Navigate to the Inji web portal.
 2.Enter vaild email and password.
 3.Click on login button.</t>
  </si>
  <si>
    <t>User should be redirected to the
 profile screen</t>
  </si>
  <si>
    <t>INJIWEB-1520_TC-02</t>
  </si>
  <si>
    <t>verify dropdown menu contains reqired
 options</t>
  </si>
  <si>
    <t>1.Navigate to the Inji web portal.
 2.Enter vaild credential then login.
 3.Click on user name at the top of right
 corner
 4.Click on profile in the drop down menu.</t>
  </si>
  <si>
    <t>Dropdown should contain options are
 profie,FAQ,logout</t>
  </si>
  <si>
    <t>INJIWEB-1520_TC-03</t>
  </si>
  <si>
    <t>Verify navigate the profile page from
 dropdown menu</t>
  </si>
  <si>
    <t>User should be navigate to the
 my profie page.</t>
  </si>
  <si>
    <t>INJIWEB-1520_TC-04</t>
  </si>
  <si>
    <t>Validate the Profile page details on the
 profile screen</t>
  </si>
  <si>
    <t>1.Navigate to the profile page from dropdown
 menu.
 2.Verify the profie picture and intials.
 2.Verify the details of name,role,email.</t>
  </si>
  <si>
    <t>All the data should be displayed
 correctly</t>
  </si>
  <si>
    <t>INJIWEB-1520_TC-05</t>
  </si>
  <si>
    <t>Verify the FAQ field on the profile screen</t>
  </si>
  <si>
    <t>1,Navigate to the profile page from dropdown
 menu.
 2.Verify the FAQ fields option.
 3.Click on FAQ option.</t>
  </si>
  <si>
    <t>FAQ icon should dislay FAQ details</t>
  </si>
  <si>
    <t>INJIWEB-1520_TC-06</t>
  </si>
  <si>
    <t>Verify navigation the FAQ's from dropdown
 menu</t>
  </si>
  <si>
    <t>1.Navigate to the Inji web portal.
 2.Enter vaild credential then login.
 3.Click on user name at the top of right
 corner
 4.Click on FAQ's in the drop down menu.</t>
  </si>
  <si>
    <t>User should be redirected to the
 FAQ's page.</t>
  </si>
  <si>
    <t>INJIWEB-1520_TC-07</t>
  </si>
  <si>
    <t>Verify Logout from dropdown
 menu</t>
  </si>
  <si>
    <t>1.Navigate to the Inji web portal.
 2.Enter vaild credential then login.
 3.Click on user name at the top of right
 corner
 4.Click on Logout in the drop down menu.</t>
  </si>
  <si>
    <t>User should be redirected to the login
 screen</t>
  </si>
  <si>
    <t>INJIWEB-1520_TC-08</t>
  </si>
  <si>
    <t>Verify the profile details after logging out and
 logging in again</t>
  </si>
  <si>
    <t>INJIWEB-1520_TC-09</t>
  </si>
  <si>
    <t>Verify the profile dropdown behavior on
 desktop</t>
  </si>
  <si>
    <t>1.Navigate the injiweb portal on desktop.
 2.Login withh vaild credentials.
 3.Obseve the profile dropdown menu behaviour
 on the desktop.</t>
  </si>
  <si>
    <t>All the elements should be properly
 alligned on desktop view.</t>
  </si>
  <si>
    <t>INJIWEB-1520_TC-10</t>
  </si>
  <si>
    <t>Verify the profile dropdown behavior on
 mobile</t>
  </si>
  <si>
    <t>All the elements should be properly
 alligned on mobile view.</t>
  </si>
  <si>
    <r>
      <rPr>
        <rFont val="Calibri"/>
        <color rgb="FF1155CC"/>
        <sz val="11.0"/>
        <u/>
      </rPr>
      <t>https://mosip.atlassian.net/browse/INJIWEB-1569</t>
    </r>
  </si>
  <si>
    <t>INJIWEB-1520_TC-11</t>
  </si>
  <si>
    <t>Verify profile photo for the user, when it is available at google account</t>
  </si>
  <si>
    <t>1.Navigate the injiweb portal on desktop.
 2.Login withh vaild credentials.
 3.Obseve the profile profile photo</t>
  </si>
  <si>
    <t>Profile photo should be displayed properly</t>
  </si>
  <si>
    <t>INJIWEB-1520_TC-12</t>
  </si>
  <si>
    <t>Verify the initials are displayed when the profie
 picture is not available</t>
  </si>
  <si>
    <t>1.Navigate to the Inji web portal.
 2.Enter vaild credential and login
 3. Verify profile image for the user</t>
  </si>
  <si>
    <t>Firt letter of the user profile name should be displayed, if the profile picture is not availale</t>
  </si>
  <si>
    <t>INJIWEB-1520_TC-13</t>
  </si>
  <si>
    <t>Verify the back button functionality on profile page</t>
  </si>
  <si>
    <t>1.Navigate to the Inji web portal.
 2.Enter vaild credential and login
 3. Select dropdown menu
 4. Select profile
 5. Click on profile</t>
  </si>
  <si>
    <t>User should be redirected to home page</t>
  </si>
  <si>
    <t>INJIWEB-1563</t>
  </si>
  <si>
    <t>URL Route Refactoring and Folder Structure Alignment for User Module</t>
  </si>
  <si>
    <t>INJIWEB-1563_TC-01</t>
  </si>
  <si>
    <t>Verify the home page URL
 route.</t>
  </si>
  <si>
    <t>1.Launch the injiweb application.
 2.Login with valid credentials.
 3. User should be redirected to /user/passcode link</t>
  </si>
  <si>
    <t>User should be navigated to user/passcode link</t>
  </si>
  <si>
    <t>INJIWEB-1563_TC-02</t>
  </si>
  <si>
    <t>Verify the home page URL
 after validating the passcode</t>
  </si>
  <si>
    <t>1.Launch the injiweb application.
 2.Login with valid credentials.
 3. Enter the passcode
 3. User should be redirected to /user/home</t>
  </si>
  <si>
    <t>User should be navigated to user/home link</t>
  </si>
  <si>
    <t>INJIWEB-1563_TC-03</t>
  </si>
  <si>
    <t>Verify the issuers details page.</t>
  </si>
  <si>
    <t>1.Launch the injiweb application.
 2.Login with valid credentials.
 3. Enter the passcode
 4. Select an issuer</t>
  </si>
  <si>
    <t>User should be redirected /user/issuers/{issuer-id}
 Ex: /user/issuers/Mosip(QA_devInt)</t>
  </si>
  <si>
    <t>INJIWEB-1563_TC-04</t>
  </si>
  <si>
    <t>Verify the credentials page.</t>
  </si>
  <si>
    <t>1.Launch the injiweb application.
 2.Login with valid credentials.
 3.Navigate the /dashboard/
 credentials.
 4. Select stored cards option
 5. Download the credentials
 6. Move to Stored cards page</t>
  </si>
  <si>
    <t>User should be redirected /user/credentials link</t>
  </si>
  <si>
    <t>INJIWEB-1563_TC-05</t>
  </si>
  <si>
    <t>Verify the FAQ page route.</t>
  </si>
  <si>
    <t>1.Launch the injiweb application.
 2.Login with valid credentials.
 3. Select user profile
 4. Select FAQ option</t>
  </si>
  <si>
    <t>User should be redirected to user/faq link</t>
  </si>
  <si>
    <t>INJIWEB-1563_TC-06</t>
  </si>
  <si>
    <t>Verify the Profile page route.</t>
  </si>
  <si>
    <t>1.Launch the injiweb application.
 2.Login with valid credentials.
 3. Select user profile
 4. Select profile option</t>
  </si>
  <si>
    <t>User should be redirected to user/profile link</t>
  </si>
  <si>
    <t>INJIWEB-1563_TC-07</t>
  </si>
  <si>
    <t>Verify the passcode screen route.</t>
  </si>
  <si>
    <t>1.Lunch the inji web application.
 2.login with valid credentials.
 3.Navigate the /users/passcode.</t>
  </si>
  <si>
    <t>User should be navigate to the
 passcode screen.</t>
  </si>
  <si>
    <t>INJIWEB-1563_TC-08</t>
  </si>
  <si>
    <t>Verify the reset passcode screen
 route.</t>
  </si>
  <si>
    <t>1.Launch the inji web application.
 2.login with valid credentials.
 3.Navigate the /users/passcode.</t>
  </si>
  <si>
    <t>User should be redirect to the reset
 passcode screen.</t>
  </si>
  <si>
    <t>INJIWEB-1557</t>
  </si>
  <si>
    <t>UI - Download of Credentials/Cards with eSignet Auth - To be listed in Stored Cards Page</t>
  </si>
  <si>
    <t>INJIWEB-1557_TC-01</t>
  </si>
  <si>
    <t>verify the homepage login</t>
  </si>
  <si>
    <t>1.Launch inji web portal
 2.Login with valid credentials.</t>
  </si>
  <si>
    <t>User should be redirected to the homescreen. It displays
 "Welcome Abigail Thompson!".</t>
  </si>
  <si>
    <t>INJIWEB-1557_TC-02</t>
  </si>
  <si>
    <t>Verify the issuers list on the
 homepage.</t>
  </si>
  <si>
    <t>1.Launch inji web portal
 2.Login with valid credentials.
 3.Observe the home page.</t>
  </si>
  <si>
    <t>List of issueres should be visible on thr homepage</t>
  </si>
  <si>
    <t>INJIWEB-1557_TC-03</t>
  </si>
  <si>
    <t>Verify the searchbar functionality
 in list of issuers.</t>
  </si>
  <si>
    <t>1.Navigate to the list of issuers page.
 2.Enter a credential name in search bar</t>
  </si>
  <si>
    <t>Matching credentials should be shown.</t>
  </si>
  <si>
    <t>INJIWEB-1557_TC-04</t>
  </si>
  <si>
    <t>Verify the selected credential
 appeared on the page.</t>
  </si>
  <si>
    <t>1.Navigate to the list of issuers page.
 2.Enter a credential name in search bar.
 3.Observe the page</t>
  </si>
  <si>
    <t>The selected credentials should be dispalyed with
 logo.</t>
  </si>
  <si>
    <t>INJIWEB-1557_TC-05</t>
  </si>
  <si>
    <t>Verify the selected credential
 navigate to the esignet page</t>
  </si>
  <si>
    <t>1.Navigate to the list of issuers page.
 2.Select the credentials from the list.
 3.Observe the page.</t>
  </si>
  <si>
    <t>The user should be redirected to the esignet
 authenticate page</t>
  </si>
  <si>
    <t>INJIWEB-1557_TC-06</t>
  </si>
  <si>
    <t>Verify the esignet page on mobile screen</t>
  </si>
  <si>
    <t>The esignet page alligned properly on mobile screen.</t>
  </si>
  <si>
    <r>
      <rPr>
        <rFont val="Calibri"/>
        <color rgb="FF1155CC"/>
        <sz val="11.0"/>
        <u/>
      </rPr>
      <t>https://mosip.atlassian.net/browse/INJIWEB-1570</t>
    </r>
  </si>
  <si>
    <t>INJIWEB-1557_TC-07</t>
  </si>
  <si>
    <t>Verify the esignet auth succcess</t>
  </si>
  <si>
    <t>1.Navigate the esignet page.
 2.Enter valid UIN/VID number.
 3.Click on get OTP.
 4.Enter the correct OTP via received sms.
 5.Click on submit.</t>
  </si>
  <si>
    <t>The user should be authenticated and it shoen
 download in progress.</t>
  </si>
  <si>
    <t>INJIWEB-1557_TC-08</t>
  </si>
  <si>
    <t>Verify the esignet auth failure</t>
  </si>
  <si>
    <t>1.Navigate the esignet page.
 2.Enter invalid UIN/VID number.
 3.Observe the response.</t>
  </si>
  <si>
    <t>Enter a valid UIN/VID message should be shown.</t>
  </si>
  <si>
    <t>INJIWEB-1557_TC-09</t>
  </si>
  <si>
    <t>Verify the successful credential
 storage.</t>
  </si>
  <si>
    <t>1.Navigate the esignet page.
 2.Enter valid UIN/VID number
 3.Enter the correct OTP via received sms.
 4.Click on submit.
 5.Observe the stored credential page.</t>
  </si>
  <si>
    <t>Downloaded credential should be stored on
 stored credentials.</t>
  </si>
  <si>
    <t>INJIWEB-1557_TC-10</t>
  </si>
  <si>
    <t>Verify the success message when
 user navigates away during
 download.</t>
  </si>
  <si>
    <t>1.Navigate to the list of issuers page.
 2.Select credential to download.
 3.Navigate to home before download
 completes.</t>
  </si>
  <si>
    <t>It shows a message should be " Download successful"
 on home screen</t>
  </si>
  <si>
    <t>INJIWEB-1557_TC-11</t>
  </si>
  <si>
    <t>Verify the user profile details while
 downloading cards.</t>
  </si>
  <si>
    <t>1.Navigate to the list of issuers page.
 2.Click on Add credential button.
 3.select isssuer.
 4.Click on download.</t>
  </si>
  <si>
    <t>Profile details should be displayed in the background.</t>
  </si>
  <si>
    <t>Enhancement</t>
  </si>
  <si>
    <r>
      <rPr>
        <rFont val="Calibri"/>
        <color rgb="FF1155CC"/>
        <sz val="11.0"/>
        <u/>
      </rPr>
      <t>https://mosip.atlassian.net/browse/INJIWEB-1583</t>
    </r>
  </si>
  <si>
    <t>INJIWEB-1557_TC-12</t>
  </si>
  <si>
    <t>Verify the error message when
 user navigates away during
 download.</t>
  </si>
  <si>
    <t>1.Navigate to the list of issuers page.
 2.Select credential.
 3.Navigate the stored credential.
 4.Stimulate download error</t>
  </si>
  <si>
    <t>It shows a message should be " Download failed"
 on Stored credential screen</t>
  </si>
  <si>
    <t>Config change</t>
  </si>
  <si>
    <r>
      <rPr>
        <rFont val="Calibri"/>
        <color rgb="FF1155CC"/>
        <sz val="11.0"/>
        <u/>
      </rPr>
      <t>https://mosip.atlassian.net/browse/INJIWEB-1667</t>
    </r>
  </si>
  <si>
    <t>INJIWEB-1557_TC-13</t>
  </si>
  <si>
    <t>Verify the toaster message when the
 time of downloading</t>
  </si>
  <si>
    <t>1.start download from the credentials page.
 2.Navigate the profile page while download
 is still loading</t>
  </si>
  <si>
    <t>No toaster messsage should be displayed.</t>
  </si>
  <si>
    <t>INJIWEB-1557_TC-14</t>
  </si>
  <si>
    <t>Verify the success message when user
 in different page returning to the
 credential page.</t>
  </si>
  <si>
    <t>1.Start the download from credential page.
 2.Navigate the another page.
 3.wait for downloading.
 4.Navigate back to the same credential page.</t>
  </si>
  <si>
    <t>the Success Toaster in the top of the screen
 saying the download is successful for the &lt;card type&gt;</t>
  </si>
  <si>
    <r>
      <rPr>
        <rFont val="Calibri"/>
        <color rgb="FF1155CC"/>
        <sz val="11.0"/>
        <u/>
      </rPr>
      <t>https://mosip.atlassian.net/browse/INJIWEB-1667</t>
    </r>
  </si>
  <si>
    <t>INJIWEB-1557_TC-15</t>
  </si>
  <si>
    <t>"Verify the Failed message when user
 in different page returning to the
 credential page."</t>
  </si>
  <si>
    <t>1.Start the download from credential page.
 2.Navigate the another page.
 3.Simulate the error.
 4.Navigate back to the same credential page.</t>
  </si>
  <si>
    <t>the failure Toaster in the top of the screen
 saying the download failed for the &lt;card type&gt;</t>
  </si>
  <si>
    <r>
      <rPr>
        <rFont val="Calibri"/>
        <color rgb="FF1155CC"/>
        <sz val="11.0"/>
        <u/>
      </rPr>
      <t>https://mosip.atlassian.net/browse/INJIWEB-1667</t>
    </r>
  </si>
  <si>
    <t>INJIWEB-1519</t>
  </si>
  <si>
    <t>UI - View, Download, and Delete Cards from Stored Cards Page</t>
  </si>
  <si>
    <t>INJIWEB-1519_TC-01</t>
  </si>
  <si>
    <t>Verify the stored card page</t>
  </si>
  <si>
    <t>1.Launch the inji web portal.
 2.Navigate the stored cards page.
 3.Select the card.</t>
  </si>
  <si>
    <t>The selected card should be displayed.</t>
  </si>
  <si>
    <t>INJIWEB-1519_TC-02</t>
  </si>
  <si>
    <t>Verify the Layout of the cards on stored
 card page(Google chrome browser).</t>
  </si>
  <si>
    <t>1.Launch the inji web portal.
 2.Navigate the stored cards page.</t>
  </si>
  <si>
    <t>The stored cards should be displayed
 properly.</t>
  </si>
  <si>
    <r>
      <rPr>
        <rFont val="Calibri"/>
        <color rgb="FF1155CC"/>
        <sz val="11.0"/>
        <u/>
      </rPr>
      <t>https://mosip.atlassian.net/browse/INJIWEB-1592</t>
    </r>
  </si>
  <si>
    <t>INJIWEB-1519_TC-03</t>
  </si>
  <si>
    <t>Verify the view card option from
 3 dot menu.</t>
  </si>
  <si>
    <t>1.Launch the inji web portal.
 2.Navigate the stored cards page.
 3.Select the card.
 4.click on 3 dot menu.</t>
  </si>
  <si>
    <t>The view card option should be present
 in the 3 dot menu.</t>
  </si>
  <si>
    <t>INJIWEB-1519_TC-04</t>
  </si>
  <si>
    <t>Verify the user view card details</t>
  </si>
  <si>
    <t>1.Launch the inji web portal.
 2.Navigate the stored cards page.
 3.Select the card.
 4.click on 3 dot menu.
 5.Select view option.</t>
  </si>
  <si>
    <t>The selected card details should be
 displayed with logo.</t>
  </si>
  <si>
    <t>INJIWEB-1519_TC-05</t>
  </si>
  <si>
    <t>Verify the user view card display</t>
  </si>
  <si>
    <t>The card should be displayed with logo and
 alligned properly.</t>
  </si>
  <si>
    <r>
      <rPr>
        <rFont val="Calibri"/>
        <color rgb="FF1155CC"/>
        <sz val="11.0"/>
        <u/>
      </rPr>
      <t>https://mosip.atlassian.net/browse/INJIWEB-1593</t>
    </r>
  </si>
  <si>
    <t>INJIWEB-1519_TC-06</t>
  </si>
  <si>
    <t>Verify the user downloads card
 using 3 dot menu.</t>
  </si>
  <si>
    <t>1.Launch the inji web portal.
 2.Navigate the stored cards page.
 3.Select the card.
 4.click on 3 dot menu.
 5. Select download option.</t>
  </si>
  <si>
    <t>The user pdf should be downloadad</t>
  </si>
  <si>
    <t>INJIWEB-1519_TC-07</t>
  </si>
  <si>
    <t>Verify the user downloads card
 using download option</t>
  </si>
  <si>
    <t>1.Launch the inji web portal.
 2.Navigate the stored cards page.
 3.Select the card.
 4.Click on the download( down arrow)
 button
 5.Observe the page.</t>
  </si>
  <si>
    <t>INJIWEB-1519_TC-08</t>
  </si>
  <si>
    <t>Verify the download option on view card.</t>
  </si>
  <si>
    <t>1.Launch the inji web portal.
 2.Navigate the stored cards page.
 3.Select the card.
 4.Click on the View option.</t>
  </si>
  <si>
    <t>The download option should be displayed
 on the view card screen.</t>
  </si>
  <si>
    <t>INJIWEB-1519_TC-09</t>
  </si>
  <si>
    <t>Verify the user delete the card details
 from the 3 dot menu.</t>
  </si>
  <si>
    <t>1.Launch the inji web portal.
 2.Navigate the stored cards page.
 3.Select the card.
 4.click on 3 dot menu.
 5.Select delete option.</t>
  </si>
  <si>
    <t>A confirmation message should be
 appears.</t>
  </si>
  <si>
    <t>INJIWEB-1519_TC-10</t>
  </si>
  <si>
    <t>Verify the confirmation message
 while deleting</t>
  </si>
  <si>
    <t>1.Launch the inji web portal.
 2.Navigate the stored cards page.
 3.Select the card.
 4.click on 3 dot menu.
 5.Select delete option.
 6.Click on confirm.</t>
  </si>
  <si>
    <t>The selected card should be deleted.</t>
  </si>
  <si>
    <t>INJIWEB-1519_TC-11</t>
  </si>
  <si>
    <t>Verify the cancel option.</t>
  </si>
  <si>
    <t>1.Launch the inji web portal.
 2.Navigate the stored cards page.
 3.Select the card.
 4.click on 3 dot menu.
 5.Select delete option.
 6.Click on cancel.</t>
  </si>
  <si>
    <t>The deletion should be cancelled.</t>
  </si>
  <si>
    <t>INJIWEB-1519_TC-12</t>
  </si>
  <si>
    <t>Verify the error toast if download fails</t>
  </si>
  <si>
    <t>1.Navigate the stored cards page.
 2.Stimulate the backend.
 3.click on downloadoption using
 3 dot menu.</t>
  </si>
  <si>
    <t>It Shows message : "Failed to download
 Try again."</t>
  </si>
  <si>
    <r>
      <rPr>
        <rFont val="Calibri"/>
        <color rgb="FF1155CC"/>
        <sz val="11.0"/>
        <u/>
      </rPr>
      <t>https://mosip.atlassian.net/browse/INJIWEB-1667</t>
    </r>
  </si>
  <si>
    <t>INJIWEB-1519_TC-13</t>
  </si>
  <si>
    <t>Verify the error toast if delete fails</t>
  </si>
  <si>
    <t>It Shows message : "Failed to delete.
 Try again."</t>
  </si>
  <si>
    <r>
      <rPr>
        <rFont val="Calibri"/>
        <color rgb="FF1155CC"/>
        <sz val="11.0"/>
        <u/>
      </rPr>
      <t>https://mosip.atlassian.net/browse/INJIWEB-1667</t>
    </r>
  </si>
  <si>
    <t>INJIWEB-1564</t>
  </si>
  <si>
    <t>INJIWEB-1564-TC-01</t>
  </si>
  <si>
    <t>Verify the header on set passcode screen.</t>
  </si>
  <si>
    <t>1.Launch the inji web portal.
 2.Login with gmail account.
 3.Navigate to the set passcode screen.</t>
  </si>
  <si>
    <t>The header should be displayed
 "Set your passcode to get started"</t>
  </si>
  <si>
    <t>INJIWEB-1564-TC-02</t>
  </si>
  <si>
    <t>Verify the sub header of the set passcode
 screen</t>
  </si>
  <si>
    <t>The Sub header should be displayed
 "Please remember are securely store
 your passcode you'll need it each time
 you access the wallet "</t>
  </si>
  <si>
    <t>INJIWEB-1564-TC-03</t>
  </si>
  <si>
    <t>verify the enter passcode and confirm passcode
 same</t>
  </si>
  <si>
    <t>1.Launch the inji web portal.
 2.Login with gmail account.
 3.Navigate to the set passcode screen.
 4.Enter passcode and confirm passcode
 is same.</t>
  </si>
  <si>
    <t>No message shown, passcode should
 be accepected screen</t>
  </si>
  <si>
    <t>INJIWEB-1564-TC-04</t>
  </si>
  <si>
    <t>Verify the passcode and confirm passcode is
 different</t>
  </si>
  <si>
    <t>1.Launch the inji web portal.
 2.Login with gmail account.
 3.Navigate to the set passcode screen.
 4.Enter passcode and confirm passcode
 is different.</t>
  </si>
  <si>
    <t>It shows an error message should be
 "Passcodes do not match. Please ensure
 both passcode fields match exactly.
 Re-enter and try again."</t>
  </si>
  <si>
    <t>INJIWEB-1564-TC-05</t>
  </si>
  <si>
    <t>Validate the spacing between header and
 sub header.</t>
  </si>
  <si>
    <t>1.Navigate to the set passcode screen.
 2.Check the spacing between header and sub
 header.</t>
  </si>
  <si>
    <t>The spacing should be matches the fogma screen</t>
  </si>
  <si>
    <t>INJIWEB-1564-TC-06</t>
  </si>
  <si>
    <t>Validate the alignment between text and icons.</t>
  </si>
  <si>
    <t>1.Navigate to the set passcode screen.
 2.Check the heading and sub heading on
 set passcode screen.
 3.Check the eye icon alignment on passcode
 screen.</t>
  </si>
  <si>
    <t>All the test and icons should be alligned properly.</t>
  </si>
  <si>
    <t>INJIWEB-1564-TC-07</t>
  </si>
  <si>
    <t>Verify the eye icon behaviour defult state on
 set passcode screen.</t>
  </si>
  <si>
    <t>1.Navigate to the set passcode screen.
 2.Enter a passcode and observe the eye
 icon.</t>
  </si>
  <si>
    <t>Passcode should be hidden when eye
 icon state (defult)</t>
  </si>
  <si>
    <t>INJIWEB-1564-TC-08</t>
  </si>
  <si>
    <t>Verify the eye icon behaviour toggle visiability
 on set passcode screen.</t>
  </si>
  <si>
    <t>1.Navigate to the set passcode screen.
 2.Click on eye icon.</t>
  </si>
  <si>
    <t>Passcode should be visiable.</t>
  </si>
  <si>
    <t>INJIWEB-1564-TC-09</t>
  </si>
  <si>
    <t>Verify the header on reset passcode screen.</t>
  </si>
  <si>
    <t>1.Launch the inji web portal.
 2.Login with gmail account.
 3.Navigate to the set passcode screen.
 4.Click on forgor passcode.</t>
  </si>
  <si>
    <t>The header should be displayed
 "Forgot your passcode"</t>
  </si>
  <si>
    <t>INJIWEB-1564-TC-10</t>
  </si>
  <si>
    <t>Verify the subheader on reset passcode screen</t>
  </si>
  <si>
    <t>1.Launch the inji web portal.
 2.Login with gmail account.
 3.Navigate to the set passcode screen.
 4.Click on forgot passcode.</t>
  </si>
  <si>
    <t>The subheader should be displayed as
 " Reset your wallet to regain access and
 re-download your cards"</t>
  </si>
  <si>
    <t>INJIWEB-1564-TC-11</t>
  </si>
  <si>
    <t>Validate spacing between the heading and
 subheading on Reset passcode screen.</t>
  </si>
  <si>
    <t>1.Navigate to the set passcode screen.
 2.</t>
  </si>
  <si>
    <t>INJIWEB-1564-TC-14</t>
  </si>
  <si>
    <t>Verify the forgot passcode option on reset
 passcode screen.</t>
  </si>
  <si>
    <t>1.Navigate to the enter passcode screen.
 2.Click on the forgot passcode option.</t>
  </si>
  <si>
    <t>The user should be redirected to the
 forgot passcode screen</t>
  </si>
  <si>
    <t>INJIWEB-1564-TC-15</t>
  </si>
  <si>
    <t>Verify the reset wallet screen content.</t>
  </si>
  <si>
    <t>1.Your wallet will be securely reset.
 2.All previously stored cards will be deleted
 from your wallet.
 3.You'll be guided to set a new passcode.
 4.You can then re-download cards. from the
 original source/issuers.
 5.This keeps your information safe, even if
 your device/wallet is lost or shared.</t>
  </si>
  <si>
    <t>INJIWEB-1564-TC-16</t>
  </si>
  <si>
    <t>Verify the Set new passcode option on reset
 wallet screen.</t>
  </si>
  <si>
    <t>Set new passcode option should be visible on
 forgot passcode screen</t>
  </si>
  <si>
    <t>INJIWEB-1564-TC-17</t>
  </si>
  <si>
    <t>Verify the header on passcode screen</t>
  </si>
  <si>
    <t>1.Launch the inji web portal.
 2.Login with gmail account.
 3.Navigate to the Enter passcode screen.</t>
  </si>
  <si>
    <t>The header should be "Enter your passcode "
 to continue.</t>
  </si>
  <si>
    <t>INJIWEB-1564-TC-18</t>
  </si>
  <si>
    <t>Verify the sub header on the passcode screen</t>
  </si>
  <si>
    <t>The subheader should be"Use the same
 passcode you set earlier to access your account
 or wallet".</t>
  </si>
  <si>
    <t>INJIWEB-1564-TC-19</t>
  </si>
  <si>
    <t>Verify the enter passcode is given correct.</t>
  </si>
  <si>
    <t>1.Launch the inji web portal.
 2.Login with gmail account.
 3.Enter the correct passscode.
 4.Click on submit.</t>
  </si>
  <si>
    <t>The user should be redirected to the next
 screen.</t>
  </si>
  <si>
    <t>INJIWEB-1564-TC-20</t>
  </si>
  <si>
    <t>Verify the enter passcode is given incorrect.</t>
  </si>
  <si>
    <t>1.Launch the inji web portal.
 2.Login with gmail account.
 3.Enter the incorrect passcode.
 4.Click on submit.</t>
  </si>
  <si>
    <t>It shows message should be Invalid
 Passcode. The passcode you
 entered is incorrect. Please check and
 try again, or click 'Forgot Passcode' to
 reset it.</t>
  </si>
  <si>
    <t>INJIWEB-1564-TC-21</t>
  </si>
  <si>
    <t>Verify the Eye icon behaviour defult state on
 enter passcode screen.</t>
  </si>
  <si>
    <t>1.Navigate to the enter passcode screen.
 2.Enter a passcode and observe the eye
 icon.</t>
  </si>
  <si>
    <t>INJIWEB-1564-TC-22</t>
  </si>
  <si>
    <t>Verify the Eye icon behaviour togglle visiability
 on enter passcode screen.</t>
  </si>
  <si>
    <t>1.Navigate to the enter passcode screen.
 2.Enter a passcode and observe the eye
 icon.
 3.Click on eye icon.</t>
  </si>
  <si>
    <t>INJIWEB_1418</t>
  </si>
  <si>
    <t>INJIWEB-1418_TC_07</t>
  </si>
  <si>
    <t>Try to Download and store a Verifiable Credential under a specific Wallet with empty wallet value</t>
  </si>
  <si>
    <t>1. Login to the inji we application with IDP
 2. Create a wallet
 3. unlock the wallet
 4. Download the credential with empty wallet value
 Ex: http://localhost:8099/v1/mimoto/wallets//credentials
 Request body:
 {
 "issuer": "Mosip",
 "credentialConfigurationId": "MosipVerifiableCredential",
 "code": "abc123",
 "grant_type": "authorization_code",
 "redirectUri": "https://example.com/redirect",
 "codeVerifier": "xyz-secret-verifier"
 }</t>
  </si>
  <si>
    <t>Shoudl fail with 400 Error
 {
 "errorCode": "invalid_request",
 "errorMessage": "Wallet ID cannot be blank"
 }</t>
  </si>
  <si>
    <r>
      <rPr>
        <rFont val="Calibri"/>
        <color rgb="FF1155CC"/>
        <sz val="11.0"/>
        <u/>
      </rPr>
      <t>https://mosip.atlassian.net/browse/INJIWEB-1619</t>
    </r>
  </si>
  <si>
    <t>INJIWEB-1418_TC_10</t>
  </si>
  <si>
    <t>Try to Download and store a Verifiable Credential under a specific Wallet with null wallet value</t>
  </si>
  <si>
    <t>1. Login to the inji we application with IDP
 2. Create a wallet
 3. unlock the wallet
 4. Download the credential with null wallet value
 Ex: http://localhost:8099/v1/mimoto/wallets/null/credentials
 Request body:
 {
 "issuer": "Mosip",
 "credentialConfigurationId": "MosipVerifiableCredential",
 "code": "abc123",
 "grant_type": "authorization_code",
 "redirectUri": "https://example.com/redirect",
 "codeVerifier": "xyz-secret-verifier"
 }</t>
  </si>
  <si>
    <r>
      <rPr>
        <rFont val="Calibri"/>
        <color rgb="FF1155CC"/>
        <sz val="11.0"/>
        <u/>
      </rPr>
      <t>https://mosip.atlassian.net/browse/INJIWEB-1619</t>
    </r>
  </si>
  <si>
    <t>INJIWEB-1418_TC_14</t>
  </si>
  <si>
    <t>Try to Download and store a Verifiable Credential under a specific Wallet with valid wallet value and empty grant type</t>
  </si>
  <si>
    <t>1. Login to the inji we application with IDP
 2. Create a wallet
 3. unlock the wallet
 4. Download the credential with invalid grant type
 Ex: for request body:
 Request body:
 {
 "issuer": "Mosip",
 "credentialConfigurationId": "MosipVerifiableCredential",
 "code": "abc123",
 "grant_type": "",
 "redirectUri": "https://example.com/redirect",
 "codeVerifier": "xyz-secret-verifier"
 }</t>
  </si>
  <si>
    <t>Shoudl fail with 400 Error
  "errorCode": "invalid_request",
  "errorMessage": "Invalid request
  "error code".: empty grant type cannotbe blank
 }</t>
  </si>
  <si>
    <t>INJIWEB-1418_TC_20</t>
  </si>
  <si>
    <t>Try to Download and store a Verifiable Credential under a specific Wallet with valid wallet value and empty code type</t>
  </si>
  <si>
    <t>1. Login to the inji we application with IDP
 2. Create a wallet
 3. unlock the wallet
 4. Download the credential with invalid empty code
 Request body Ex:
 {
 "issuer": "Mosip",
 "credentialConfigurationId": "MosipVerifiableCredential",
 "code": "",
 "grant_type": "authorization_code",
 "redirectUri": "https://example.com/redirect",
 "codeVerifier": "xyz-secret-verifier"
 }</t>
  </si>
  <si>
    <t>Shoudl fail with 400 Error
  "errorCode": "invalid_request",
  "errorMessage": "Invalid request
  "error code":.code cannot be blank.
 }</t>
  </si>
  <si>
    <t>INJIWEB-1418_TC_27</t>
  </si>
  <si>
    <t>Try to Download and store a Verifiable Credential under a specific Wallet with valid wallet value and space redirect_uri</t>
  </si>
  <si>
    <t>1. Login to the inji we application with IDP
 2. Create a wallet
 3. unlock the wallet
 4. Download the credential with space in redirect_uri
 Request body Ex:
 {
 "issuer": "Mosip",
 "credentialConfigurationId": "MosipVerifiableCredential",
 "code": "abc123",
 "grant_type": "authorization_code",
 "redirectUri": " ",
 "codeVerifier": "xyz-secret-verifier"
 }</t>
  </si>
  <si>
    <t>Shoudl fail with 400 Error
  "errorCode": "invalid_request",
  "errorMessage": "Invalid request
  "error code":.redirect_uri cannot be blank.
 }</t>
  </si>
  <si>
    <t>INJIWEB-1418_TC_31</t>
  </si>
  <si>
    <t>Try to Download and store a Verifiable Credential under a specific Wallet with valid wallet value and invalid code_verifier</t>
  </si>
  <si>
    <t>1. Login to the inji we application with IDP
 2. Create a wallet
 3. unlock the wallet
 4. Download the credential with invalid code verifier
 Request body Ex:
 {
 "issuer": "Mosip",
 "credentialConfigurationId": "MosipVerifiableCredential",
 "code": "abc123",
 "grant_type": "authorization_code",
 "redirectUri": "https://example.com/redirect",
 "codeVerifier": "invalid"
 }</t>
  </si>
  <si>
    <r>
      <rPr>
        <rFont val="Calibri"/>
        <color rgb="FF1155CC"/>
        <sz val="11.0"/>
        <u/>
      </rPr>
      <t>https://mosip.atlassian.net/browse/INJIWEB-1629</t>
    </r>
  </si>
  <si>
    <t>INJIWEB-1418_TC_43</t>
  </si>
  <si>
    <t>Try to Download and store a Verifiable Credential under a specific Wallet with valid wallet value and invalid credentialConfigurationId</t>
  </si>
  <si>
    <t>1. Login to the inji we application with IDP
 2. Create a wallet
 3. unlock the wallet
 4. Download the credential with invalid credential
 Request body Ex:
 {
 "issuer": "Mosip",
 "credentialConfigurationId": "invalidl",
 "code": "abc123",
 "grant_type": "authorization_code",
 "redirectUri": "https://example.com/redirect",
 "codeVerifier": "xyz-secret-verifier"
 }</t>
  </si>
  <si>
    <t>Should get 400 Error with below error message
 {
 "errorCode": "invalid_request",
 "errorMessage": "credentialConfigurationId cannot be blank"
 }</t>
  </si>
  <si>
    <r>
      <rPr>
        <rFont val="Calibri"/>
        <color rgb="FF1155CC"/>
        <sz val="11.0"/>
        <u/>
      </rPr>
      <t>https://mosip.atlassian.net/browse/INJIWEB-1626</t>
    </r>
  </si>
  <si>
    <t>INJIWEB-1418_TC_64</t>
  </si>
  <si>
    <t>Try to Download and store a Verifiable Credential under a specific Wallet when redis server is down</t>
  </si>
  <si>
    <t>1. Login to the inji we application with IDP
 2. Create a wallet
 3. unlock the wallet
 4 Stop the Redis service
 5. Download the wallet
 Request body Ex:
 {
 "issuer": "Mosip",
 "credentialConfigurationId": "MosipVerifiableCredential",
 "code": "abc123",
 "grant_type": "authorization_code",
 "redirectUri": "https://example.com/redirect",
 "codeVerifier": "xyz-secret-verifier"
 }</t>
  </si>
  <si>
    <t>Should fail with 503 Internal Server Error
 {
 "errorCode": "database_unavailable",
 "errorMessage": "Failed to connect to the database"
 }</t>
  </si>
  <si>
    <r>
      <rPr>
        <rFont val="Calibri"/>
        <color rgb="FF1155CC"/>
        <sz val="11.0"/>
        <u/>
      </rPr>
      <t>https://mosip.atlassian.net/browse/INJIWEB-1595</t>
    </r>
  </si>
  <si>
    <t>INJIWEB-1392</t>
  </si>
  <si>
    <t>INJIWEB-1392_TC_09</t>
  </si>
  <si>
    <t>Create a new wallet with space in walletName</t>
  </si>
  <si>
    <t>1. Login with valid details
 2. Create a new wallet by passing post request on {{HOST}}/wallets
 with invalid wallet name space " "and wallet pin
 {"walletName" : " "
 "walletPin":123456}</t>
  </si>
  <si>
    <t>Wallet creation should fail with 400 error code and below error message
 {
 "errorCode": "invalid_request",
 "errorMessage": "Wallet name must be alphanumeric with allowed special characters"
 }</t>
  </si>
  <si>
    <t>INJIWEB-1511</t>
  </si>
  <si>
    <t>INJIWEB-1511_TC_05</t>
  </si>
  <si>
    <t>Fetch all credentials for the given wallet with empty wallet value</t>
  </si>
  <si>
    <t>Should fail with 400 error with below error message:
 1. Login with IDP credentials
 2. Create a waller
 3. Download credentials
 4. Unlock the wallet
 5. Fetch the downloaded credential details with invalid wallet value
 Ex: http://localhost:8099/v1/mimoto/wallets/credentials?locale=en": "invalid_request",
 "errorMessage": "Wallet ID cannot be blank"
 }</t>
  </si>
  <si>
    <t>Should fail with 400 error with below error message:
 {
 "errorCode": "invalid_request",
 "errorMessage": "Wallet ID cannot be blank"
 }</t>
  </si>
  <si>
    <r>
      <rPr>
        <rFont val="Calibri"/>
        <color rgb="FF1155CC"/>
        <sz val="11.0"/>
        <u/>
      </rPr>
      <t>https://mosip.atlassian.net/browse/INJIWEB-1624</t>
    </r>
  </si>
  <si>
    <t>INJIWEB-1370</t>
  </si>
  <si>
    <t>INJIWEB-1370_03</t>
  </si>
  <si>
    <t>Try to login with invalid ID token</t>
  </si>
  <si>
    <t>1. Generate IDToken with google IDP provider
 2. Modify ID Token
 3. Try to login</t>
  </si>
  <si>
    <t>API should return with 401 code with invalid id token.
 {
  "errorCode": "invalid_token",
  "errorMessage": "Invalid token format"
 }</t>
  </si>
  <si>
    <t>INJIWEB-1370_11</t>
  </si>
  <si>
    <t>Verify after ID Token expired</t>
  </si>
  <si>
    <t>1. Login after token expired</t>
  </si>
  <si>
    <t>Should failed wirh 401 error
 {
 "errorCode": "invalid_token",
 "errorMessage": "Invalid token format"
 }</t>
  </si>
  <si>
    <t>INJIWEB-1370_24</t>
  </si>
  <si>
    <t>Verify session information in Redis after logout</t>
  </si>
  <si>
    <t>1. Generate access token from {{HOST}}/auth/google/token-login
 2. Provide username and password for google account
 3. Accept consnet
 4. Verify user details in redis cache
 5. clear the cache
 6. Try to fetch the details
 api: : {{HOST}}/users/me</t>
  </si>
  <si>
    <t>If the details are not avialble in cache, details should be fetched from the DB</t>
  </si>
  <si>
    <r>
      <rPr>
        <rFont val="Calibri"/>
        <color rgb="FF1155CC"/>
        <sz val="11.0"/>
        <u/>
      </rPr>
      <t>https://mosip.atlassian.net/browse/INJIWEB-1595</t>
    </r>
  </si>
  <si>
    <t>INJIWEB-1521</t>
  </si>
  <si>
    <t>INJIWEB-1521_TC_10</t>
  </si>
  <si>
    <t>Verify the logs for the deleted credentials for auditing</t>
  </si>
  <si>
    <t>1. Login with valid credentials
 2. create a wallet
 3. Download a credential
 4. Delete the credentilals
 5. Verify tthe mimoto logs for audit info</t>
  </si>
  <si>
    <t>Logs should contain all details about the credentials deletion operation</t>
  </si>
  <si>
    <r>
      <rPr>
        <rFont val="Calibri"/>
        <color rgb="FF1155CC"/>
        <sz val="11.0"/>
        <u/>
      </rPr>
      <t>https://mosip.atlassian.net/browse/INJIWEB-1595</t>
    </r>
  </si>
  <si>
    <t>Verify the same VC redownload multiple times</t>
  </si>
  <si>
    <t>1.Launch the inji webportal.
 2.Login with valid gmail account.
 3.Download the vc.
 4.Try to re-download the vc again.</t>
  </si>
  <si>
    <t>User should be able to download the same VC again.</t>
  </si>
  <si>
    <r>
      <rPr>
        <rFont val="Calibri"/>
        <color rgb="FF1155CC"/>
        <sz val="11.0"/>
        <u/>
      </rPr>
      <t>https://mosip.atlassian.net/browse/INJIWEB-1661</t>
    </r>
  </si>
  <si>
    <t>INJIWEB-1660</t>
  </si>
  <si>
    <t>Verify the download vc after logging 
 with email.</t>
  </si>
  <si>
    <t>1.Launch INJI Web portal.
 2.Login with gmail.
 3.Navigate to the credential page.
 4.download the mosip vc.</t>
  </si>
  <si>
    <t>User should be able to download the VC.</t>
  </si>
  <si>
    <r>
      <rPr>
        <rFont val="Calibri"/>
        <color rgb="FF1155CC"/>
        <sz val="11.0"/>
        <u/>
      </rPr>
      <t>https://mosip.atlassian.net/browse/INJIWEB-1660</t>
    </r>
  </si>
  <si>
    <t>INJIWEB-1658</t>
  </si>
  <si>
    <t>Verify the credential name heading when changing the language</t>
  </si>
  <si>
    <t>1.Launch the inji webportal.
 2.Login with valid gmail account.
 3.Select a credential.
 4.change the language using language option.</t>
  </si>
  <si>
    <t>The complete page should be updated with the new selected language.</t>
  </si>
  <si>
    <r>
      <rPr>
        <rFont val="Calibri"/>
        <color rgb="FF1155CC"/>
        <sz val="11.0"/>
        <u/>
      </rPr>
      <t>https://mosip.atlassian.net/browse/INJIWEB-1658</t>
    </r>
  </si>
  <si>
    <t>INJIWEB-1657</t>
  </si>
  <si>
    <t>Verify the injiwallet link in gmail login page.</t>
  </si>
  <si>
    <t>1.Launch the injiweb.
  2.Login with another account.
  3.observe the continue to inji wallet.
  4.Click on the inji wallet.</t>
  </si>
  <si>
    <t>Inji wallet link should be redirected to the inji home page.</t>
  </si>
  <si>
    <t>Gamil login not possible from automation, only inserting the cookie is possible as google blcoks gmail account from login</t>
  </si>
  <si>
    <r>
      <rPr>
        <rFont val="Calibri"/>
        <color rgb="FF1155CC"/>
        <sz val="11.0"/>
        <u/>
      </rPr>
      <t>https://mosip.atlassian.net/browse/INJIWEB-1657</t>
    </r>
  </si>
  <si>
    <t>INJIWEB-1655</t>
  </si>
  <si>
    <t>Verify the passcode filed clear after entering the wrong passcode</t>
  </si>
  <si>
    <t>1.Login into INJI Web portal
 2.Login with google login.
 3.Enter invalid passcode and click on submit</t>
  </si>
  <si>
    <t>After clicking on submit the passcode should be cleared</t>
  </si>
  <si>
    <r>
      <rPr>
        <rFont val="Calibri"/>
        <color rgb="FF1155CC"/>
        <sz val="11.0"/>
        <u/>
      </rPr>
      <t>https://mosip.atlassian.net/browse/INJIWEB-1655</t>
    </r>
  </si>
  <si>
    <t>INJIWEB-1652</t>
  </si>
  <si>
    <t>Verify QR code is missing for MOSIP VC, when downloading with gmail login.</t>
  </si>
  <si>
    <t>1.Launch INJI Web
 2.Login with gmail.
 3.Download mosip VC and observe the VC.</t>
  </si>
  <si>
    <t>QR code should be generated in the VC.</t>
  </si>
  <si>
    <r>
      <rPr>
        <rFont val="Calibri"/>
        <color rgb="FF1155CC"/>
        <sz val="11.0"/>
        <u/>
      </rPr>
      <t>https://mosip.atlassian.net/browse/INJIWEB-1652</t>
    </r>
  </si>
  <si>
    <t>INJIWEB-1646</t>
  </si>
  <si>
    <t>Verify Unable to download MOSIP VC after loggin in with email address</t>
  </si>
  <si>
    <t>1.Launch INJI Web
 2.Login with gmail
 3.Try to download MOSIP VC : 5738164521</t>
  </si>
  <si>
    <r>
      <rPr>
        <rFont val="Calibri"/>
        <color rgb="FF1155CC"/>
        <sz val="11.0"/>
        <u/>
      </rPr>
      <t>https://mosip.atlassian.net/browse/INJIWEB-1646</t>
    </r>
  </si>
  <si>
    <t>INJIWEB-1640</t>
  </si>
  <si>
    <t>Verify Default screen appears after injiweb login on mobile.</t>
  </si>
  <si>
    <t>1.Launch the injiweb portal in mobile view.
 2.Login with valid gmail credentials.
 3.Enter correct passcode on passcode screen.</t>
  </si>
  <si>
    <t>After login the user should be navigated to the home screen.</t>
  </si>
  <si>
    <r>
      <rPr>
        <rFont val="Calibri"/>
        <color rgb="FF1155CC"/>
        <sz val="11.0"/>
        <u/>
      </rPr>
      <t>https://mosip.atlassian.net/browse/INJIWEB-1640</t>
    </r>
  </si>
  <si>
    <t>INJIWEB-1635</t>
  </si>
  <si>
    <t>verify After taking backup in INJI Mobile, I should see the same VC's in INJI Web when I login with same email address.</t>
  </si>
  <si>
    <t>1.Download few VC’s in INJI Mobile
 2.After dowbloadin VC, the VC’s will be stored in back and restore feature
 3.Login into INJI Web with the same email address</t>
  </si>
  <si>
    <t>As I am using the same email address that I used in INJI Mobile I should be able to see the same VC’s (User should not download and save them again in INJI Web).</t>
  </si>
  <si>
    <t>Enhancement issue</t>
  </si>
  <si>
    <r>
      <rPr>
        <rFont val="Calibri"/>
        <color rgb="FF1155CC"/>
        <sz val="11.0"/>
        <u/>
      </rPr>
      <t>https://mosip.atlassian.net/browse/INJIWEB-1635</t>
    </r>
  </si>
  <si>
    <t>INJIWEB-1634</t>
  </si>
  <si>
    <t>Docker</t>
  </si>
  <si>
    <t>Verify UIN validation is not working/Returning empty value on docker env.</t>
  </si>
  <si>
    <t>1.Deploy the dockerized injiweb ui test rig container as a crom job on Env.
 2.Trigger the job.</t>
  </si>
  <si>
    <t>it should work even on the docker continaers.</t>
  </si>
  <si>
    <t>Docker issue</t>
  </si>
  <si>
    <r>
      <rPr>
        <rFont val="Calibri"/>
        <color rgb="FF1155CC"/>
        <sz val="11.0"/>
        <u/>
      </rPr>
      <t>https://mosip.atlassian.net/browse/INJIWEB-1634</t>
    </r>
  </si>
  <si>
    <t>INJIWEB-1618</t>
  </si>
  <si>
    <t>Verify Sometimes forgot passcode link is not redirected to passcode reset page.</t>
  </si>
  <si>
    <t>1.Launch the injiweb portal.
  2.Login with valid credentials.
  3.Click on forgot passcode.
  4.Observe the screen if redirection happens or not.</t>
  </si>
  <si>
    <t>User should be redirected to the passcode setup screen.</t>
  </si>
  <si>
    <t>Manual testing intermittent bug</t>
  </si>
  <si>
    <r>
      <rPr>
        <rFont val="Calibri"/>
        <color rgb="FF1155CC"/>
        <sz val="11.0"/>
        <u/>
      </rPr>
      <t>https://mosip.atlassian.net/browse/INJIWEB-1618</t>
    </r>
  </si>
  <si>
    <t>INJIWEB-1617</t>
  </si>
  <si>
    <t>Verify success message appears After matching passcodes.</t>
  </si>
  <si>
    <t>1.Lanuch the Inji web portal.
 2.Navigate the passcode setup screen.
 3.Enter valid passcode and confirm passcode same.
 4.Click on submit button.
 5.Observe the screen.</t>
  </si>
  <si>
    <t>A success message should be displayed when both the passcodes are matching.</t>
  </si>
  <si>
    <r>
      <rPr>
        <rFont val="Calibri"/>
        <color rgb="FF1155CC"/>
        <sz val="11.0"/>
        <u/>
      </rPr>
      <t>https://mosip.atlassian.net/browse/INJIWEB-1617</t>
    </r>
  </si>
  <si>
    <t>INJIWEB-1616</t>
  </si>
  <si>
    <t>Verify confirmation message appears on successful login.</t>
  </si>
  <si>
    <t>1.Lanuch the Inji web portal.
 2.Login with valid email credentials.
 3.Enter 6-digit passcode.
 4.Click on submit button.
 5.Observe the screen.</t>
  </si>
  <si>
    <r>
      <rPr>
        <rFont val="Calibri"/>
        <color rgb="FF1155CC"/>
        <sz val="11.0"/>
        <u/>
      </rPr>
      <t>https://mosip.atlassian.net/browse/INJIWEB-1616</t>
    </r>
  </si>
  <si>
    <t>INJIWEB-1594</t>
  </si>
  <si>
    <t>Verify Download icon not aligned properly on view card screen.</t>
  </si>
  <si>
    <t>1.Launch the injiweb portal
 2.Login with valid credentials.
 3.Navigate the stored cards page.
 4.Click on 3 dot menu on selected card.
 5.Obeserve the download icon on view card screen.
 Expected: Download icon should be aligned properly.</t>
  </si>
  <si>
    <t>Download icon should be aligned properly on view card screen.</t>
  </si>
  <si>
    <r>
      <rPr>
        <rFont val="Calibri"/>
        <color rgb="FF1155CC"/>
        <sz val="11.0"/>
        <u/>
      </rPr>
      <t>https://mosip.atlassian.net/browse/INJIWEB-1594</t>
    </r>
  </si>
  <si>
    <t>INJIWEB-1589</t>
  </si>
  <si>
    <t>Verify Updated_at" value is generated in the DB for an initial user account creation.</t>
  </si>
  <si>
    <t>1.Launch the inji web.
 2.Register a new user with valid details.
 3.Open the data base and navigate the user table.
 4.Check the created_at and updated_at fields.</t>
  </si>
  <si>
    <t>Updated_at value should be empty/null until user update his/her profile details</t>
  </si>
  <si>
    <t>DB operation</t>
  </si>
  <si>
    <r>
      <rPr>
        <rFont val="Calibri"/>
        <color rgb="FF1155CC"/>
        <sz val="11.0"/>
        <u/>
      </rPr>
      <t>https://mosip.atlassian.net/browse/INJIWEB-1589</t>
    </r>
  </si>
  <si>
    <t>INJIWEB-1586</t>
  </si>
  <si>
    <t>Verify Downloaded VCs are not getting verified from the inji verify.</t>
  </si>
  <si>
    <t>1.Launch inji web portal
 2.click on guest user account
 3.select stayptotected insurance
 4.select a credential type
 5.Donwload a VCs
 6.Open the inji verify portal
 7.Select download option
 8.Upload the card</t>
  </si>
  <si>
    <t>Card should be validated and the all details should be displayed properly</t>
  </si>
  <si>
    <t>Covered in inji verify application</t>
  </si>
  <si>
    <r>
      <rPr>
        <rFont val="Calibri"/>
        <color rgb="FF1155CC"/>
        <sz val="11.0"/>
        <u/>
      </rPr>
      <t>https://mosip.atlassian.net/browse/INJIWEB-1586</t>
    </r>
  </si>
  <si>
    <t>INJIWEB-1244</t>
  </si>
  <si>
    <t>Verify Mock and Mosip QR code verification are not working</t>
  </si>
  <si>
    <t>1.Open inji web portal
 2.Select mock/mosip issuer
 3.Select any credential
 4.Authenticate with UIN and OTP
  5.Download the VC
 6.open inji verify portal
 7.Upload the downloaded VC</t>
  </si>
  <si>
    <t>Verification should not failed for mosip and mock vc from inji verify app</t>
  </si>
  <si>
    <r>
      <rPr>
        <rFont val="Calibri"/>
        <color rgb="FF1155CC"/>
        <sz val="11.0"/>
        <u/>
      </rPr>
      <t>https://mosip.atlassian.net/browse/INJIWEB-1244</t>
    </r>
  </si>
  <si>
    <t>INJIWEB-1348</t>
  </si>
  <si>
    <t>verify Description for issuers are not displayed</t>
  </si>
  <si>
    <t>1.Launch INJI Wallet portal
 2.Select any issuers</t>
  </si>
  <si>
    <t>Description should be displayed for the issues</t>
  </si>
  <si>
    <r>
      <rPr>
        <rFont val="Calibri"/>
        <color rgb="FF1155CC"/>
        <sz val="11.0"/>
        <u/>
      </rPr>
      <t>https://mosip.atlassian.net/browse/INJIWEB-1348</t>
    </r>
  </si>
  <si>
    <t>INJIWEB-1417</t>
  </si>
  <si>
    <t>Verify Unable to Download VC with RsaSignature2018 &amp; Ed25519Signature2018</t>
  </si>
  <si>
    <t>1.RsaSignature2018: VC download will fail 
 2.Ed25519Signature2018: VC download will fail</t>
  </si>
  <si>
    <t>we should Download VC with RsaSignature2018 &amp; Ed25519Signature2018</t>
  </si>
  <si>
    <r>
      <rPr>
        <rFont val="Calibri"/>
        <color rgb="FF1155CC"/>
        <sz val="11.0"/>
        <u/>
      </rPr>
      <t>https://mosip.atlassian.net/browse/INJIWEB-1417</t>
    </r>
  </si>
  <si>
    <t>INJIWEB-1435</t>
  </si>
  <si>
    <t>Verify authorization_servers parameter is mandatory but should be optional</t>
  </si>
  <si>
    <t>authorization_servers parameter is mandatory but should be optional</t>
  </si>
  <si>
    <t>But In wallet, we handled it as mandatory.</t>
  </si>
  <si>
    <t>Should be handled from functional side</t>
  </si>
  <si>
    <r>
      <rPr>
        <rFont val="Calibri"/>
        <color rgb="FF1155CC"/>
        <sz val="11.0"/>
        <u/>
      </rPr>
      <t>https://mosip.atlassian.net/browse/INJIWEB-1435</t>
    </r>
  </si>
  <si>
    <t>INJIWEB-1495</t>
  </si>
  <si>
    <t>Verify inji logo should be updated at esignet page</t>
  </si>
  <si>
    <t>1.Launch inji web portal
 2.Select an issuer
 3.Slect a credential
 4.Provide an option in share visibility page
 5.Verify logo on the esignet window</t>
  </si>
  <si>
    <t>Logo should be updated on the esignet page</t>
  </si>
  <si>
    <r>
      <rPr>
        <rFont val="Calibri"/>
        <color rgb="FF1155CC"/>
        <sz val="11.0"/>
        <u/>
      </rPr>
      <t>https://mosip.atlassian.net/browse/INJIWEB-1495</t>
    </r>
  </si>
  <si>
    <t>INJIWEB-1498</t>
  </si>
  <si>
    <t>Verify The QR code size on the VC PDF is too small to scan</t>
  </si>
  <si>
    <t>1.Launch injiweb portal
 2.click on Get started button
 3.Select Veridonia Income Tax 4.Department issuer
 5.Select credential type
 6.Enter valid UIN/VID(4539827807)
 7.Enter OTP
 8.Download card and verify the card</t>
  </si>
  <si>
    <t>QR code should be in enough size to scan</t>
  </si>
  <si>
    <r>
      <rPr>
        <rFont val="Calibri"/>
        <color rgb="FF1155CC"/>
        <sz val="11.0"/>
        <u/>
      </rPr>
      <t>https://mosip.atlassian.net/browse/INJIWEB-1498</t>
    </r>
  </si>
  <si>
    <t>INJIWEB-1508</t>
  </si>
  <si>
    <t>Verify Restricted Use Area" displayed in QR code page,better to adjust it in first page</t>
  </si>
  <si>
    <t>1.Open injiweb portal
 2.Select Land Registry issuer
 3.Select Registration Receipt of Land credential
 4.Enter valid UIN and verify with OTP
 5.Verify downloaded VC PDF</t>
  </si>
  <si>
    <t>Better to adjust it in the first page itself</t>
  </si>
  <si>
    <r>
      <rPr>
        <rFont val="Calibri"/>
        <color rgb="FF1155CC"/>
        <sz val="11.0"/>
        <u/>
      </rPr>
      <t>https://mosip.atlassian.net/browse/INJIWEB-1508</t>
    </r>
  </si>
  <si>
    <t>INJIWEB-1503</t>
  </si>
  <si>
    <t>Verify "cut here" appered inside the "terms and conditions" section</t>
  </si>
  <si>
    <t>1.Launch injiweb portal
 2.click on Get started button
 3.Select Veridonia Income Tax Department issuer
 4.Select credential type
 5.Enter valid UIN/VID(4539827807)
 6.Enter OTP
 7.Download card
 8.Verify the card from injiverify application</t>
  </si>
  <si>
    <t>"cut here" should be appered inside the "terms and conditions" section</t>
  </si>
  <si>
    <r>
      <rPr>
        <rFont val="Calibri"/>
        <color rgb="FF1155CC"/>
        <sz val="11.0"/>
        <u/>
      </rPr>
      <t>https://mosip.atlassian.net/browse/INJIWEB-1503</t>
    </r>
  </si>
  <si>
    <t>INJIWEB-1560</t>
  </si>
  <si>
    <t>Verify While login with gmail, "Submit" button should be enabled when "Enter passcode" and "Confirm passcode" are not validated.</t>
  </si>
  <si>
    <t>1.Launch INJI Web portal
 2.Click on login with gmail
 3.Enter email address and Password
 4.At passcode screen please enter different passcodes and confirm passcode</t>
  </si>
  <si>
    <t>The "Submit" button should be enabled when "Enter passcode" and "Confirm passcode" are the same.
 Observed that the "Submit" button is enabled when we enter different values for "Enter passcode" and "Confirm passcode"</t>
  </si>
  <si>
    <r>
      <rPr>
        <rFont val="Calibri"/>
        <color rgb="FF1155CC"/>
        <sz val="11.0"/>
        <u/>
      </rPr>
      <t>https://mosip.atlassian.net/browse/INJIWEB-1560</t>
    </r>
  </si>
  <si>
    <t>INJIWEB-1561</t>
  </si>
  <si>
    <t>Verify No display of attempts while "verifying retry passcode 2 times"</t>
  </si>
  <si>
    <t>1.Launch inji web portal.
 2.Login with valid gmail credentials
 3.Enter wrong passcode 2 times
 4.Click on submit button.</t>
  </si>
  <si>
    <t>It shows an error message should be "Incorrect passcode" 3 attempts remaining.</t>
  </si>
  <si>
    <r>
      <rPr>
        <rFont val="Calibri"/>
        <color rgb="FF1155CC"/>
        <sz val="11.0"/>
        <u/>
      </rPr>
      <t>https://mosip.atlassian.net/browse/INJIWEB-1561</t>
    </r>
  </si>
  <si>
    <t>INJIWEB-1566</t>
  </si>
  <si>
    <t>Verify injiweb update automation scripts for Guest user login</t>
  </si>
  <si>
    <t>injiweb update automation scripts for Guest user login</t>
  </si>
  <si>
    <t>Update automation scripts to use continue as guest option</t>
  </si>
  <si>
    <r>
      <rPr>
        <rFont val="Calibri"/>
        <color rgb="FF1155CC"/>
        <sz val="11.0"/>
        <u/>
      </rPr>
      <t>https://mosip.atlassian.net/browse/INJIWEB-1566</t>
    </r>
  </si>
  <si>
    <t>INJIWEB-1606</t>
  </si>
  <si>
    <t>Security testing: inji-web: anchor home page</t>
  </si>
  <si>
    <t>inji-web: anchor home page</t>
  </si>
  <si>
    <t>anchor home page.</t>
  </si>
  <si>
    <t>Security issue</t>
  </si>
  <si>
    <r>
      <rPr>
        <rFont val="Calibri"/>
        <color rgb="FF1155CC"/>
        <sz val="11.0"/>
        <u/>
      </rPr>
      <t>https://mosip.atlassian.net/browse/INJIWEB-1606</t>
    </r>
  </si>
  <si>
    <t>INJIWEB-1604</t>
  </si>
  <si>
    <t>Security testing: inji-web: passcode brute-forcible</t>
  </si>
  <si>
    <t>inji-web: passcode brute-forcible</t>
  </si>
  <si>
    <t>passcode brute-forcible</t>
  </si>
  <si>
    <r>
      <rPr>
        <rFont val="Calibri"/>
        <color rgb="FF1155CC"/>
        <sz val="11.0"/>
        <u/>
      </rPr>
      <t>https://mosip.atlassian.net/browse/INJIWEB-1604</t>
    </r>
  </si>
  <si>
    <t>INJIWEB-1607</t>
  </si>
  <si>
    <t>Security testing: inji-web: backward and forward navigation issue</t>
  </si>
  <si>
    <t>inji-web: backward and forward navigation issue</t>
  </si>
  <si>
    <t>backward and forward navigation issue</t>
  </si>
  <si>
    <r>
      <rPr>
        <rFont val="Calibri"/>
        <color rgb="FF1155CC"/>
        <sz val="11.0"/>
        <u/>
      </rPr>
      <t>https://mosip.atlassian.net/browse/INJIWEB-1607</t>
    </r>
  </si>
  <si>
    <t>INJIWEB-1671</t>
  </si>
  <si>
    <t>VerifyThe credentialSubject field should be optional for the issuer, but an error occurs when attempting to download a VC without it.</t>
  </si>
  <si>
    <t>1.Remove the credentialSubject from 2.certify properties
 restart certify
 3.Download VC from the inji mobile application
 4.Verify the behaviour</t>
  </si>
  <si>
    <t>User should be able to download the VC successfully</t>
  </si>
  <si>
    <r>
      <rPr>
        <rFont val="Calibri"/>
        <color rgb="FF1155CC"/>
        <sz val="11.0"/>
        <u/>
      </rPr>
      <t>https://mosip.atlassian.net/browse/INJIWEB-1671</t>
    </r>
  </si>
  <si>
    <t>INJIWEB-1647</t>
  </si>
  <si>
    <t>INJIWEB-1647_TC-01</t>
  </si>
  <si>
    <t>Validate the metadata proof type is using
 single algorithm RS256</t>
  </si>
  <si>
    <t>1.change the "proof type supported"[RS256"] in
 certify well know.
 2..Open the wellknown URL
 ex:https://injicertify-{issuer}.dev-int-inji.mosip.net/v1
 /certify/issuance/.well-known/openid-credential-issuer"
 3.Download VC without login
 4. Verify the Downloaded VC</t>
  </si>
  <si>
    <t>Verify RS256 should be used for VC generation .
 Vc should be downloaded and verified from the
 verify portal.</t>
  </si>
  <si>
    <t>INJIWEB-1647_TC-02</t>
  </si>
  <si>
    <t>Validate the metadata proof type is using
 single algorithm ES256</t>
  </si>
  <si>
    <t>1.change the "proof type supported"[ES256"] in
 certify well know.
 3.Open the wellknown.
 ex:https://injicertify-{issuer}.dev-int-inji.mosip.net/v1/
 certify/issuance/.well-known/openid-credential-issuer"
 3.Download VC without login
 4. Verify the Downloaded VC</t>
  </si>
  <si>
    <t>Verify ES256 used for VC generation.
 VC should be downloaded and Verified
 from the Verify portal</t>
  </si>
  <si>
    <t>Configuration change</t>
  </si>
  <si>
    <t>INJIWEB-1647_TC-03</t>
  </si>
  <si>
    <t>Validate the metadata proof type is using
 single algorithm EdDSA</t>
  </si>
  <si>
    <t>1.change the "proof type supported"[EdDSA"] in
 well know.
 2.Open the wellknown.
 https://injicertify-mock.dev-int-inji.mosip.net/v1/
 certify/issuance/.well-known/openid-credential-issuer"
 3.Download VC without login.
 4.Verify the Downloaded VC</t>
  </si>
  <si>
    <t>Verify EdDSA used for VC generation.
 Vc should be downloaded and Verified
 from the Verify portal</t>
  </si>
  <si>
    <t>INJIWEB-1647_TC-04</t>
  </si>
  <si>
    <t>Validate the metadata proof type is using
 single algorithm Ed25519</t>
  </si>
  <si>
    <t>1.change the "proof type supported"[Ed25519"] in
 well know.
 2.Open the injiwallet.
 https://injicertify-{issuer}-int-inji.mosip.net/v1/certify/
 issuance/.well-known/openid-credential-issuer"
 3.Download VC without login.
 4.Verify the Downloaded VC</t>
  </si>
  <si>
    <t>Verify Ed25519 used for VC generation.
 VC should be downloaded and Verified
 from the Verify portal</t>
  </si>
  <si>
    <t>INJIWEB-1647_TC-05</t>
  </si>
  <si>
    <t>Verify the metdata using multiple proof
 types.</t>
  </si>
  <si>
    <t>1.Setup proof type supported "[RS256","ES256"
 EdDSA"]
 2.Open the injiwallet.
 https://injicertify-{issuer}-int-inji.mosip.net/v1/certify/
 issuance/.well-known/openid-credential-issuer"
 3.Download VC without login flow.</t>
  </si>
  <si>
    <t>System should be dynamically pick algorithm from
 metdata (based an order) VC should not generated.</t>
  </si>
  <si>
    <t>INJIWEB-1647_TC-06</t>
  </si>
  <si>
    <t>Verify the metadata using missing proof
 type.</t>
  </si>
  <si>
    <t>1.Set metadata without proof type
 supported "[ ]"
 2.Save the configuration .
 3.Download VC without login.</t>
  </si>
  <si>
    <t>The VC should not be downloaded mimoto
 will show an error is" Proof type supported
 must not be empty".</t>
  </si>
  <si>
    <t>INJIWEB-1647_TC-07</t>
  </si>
  <si>
    <t>Verify the proof type field is empty.</t>
  </si>
  <si>
    <t>1.Set proof type supported is [ ] empty.
 2.Download the VC</t>
  </si>
  <si>
    <t>VC should not be generated It throws an error.</t>
  </si>
  <si>
    <t>INJIWEB-1647_TC-08</t>
  </si>
  <si>
    <t>Verify the metdata fetch failure.</t>
  </si>
  <si>
    <t>1.Stimulate the well-know end point for some time.</t>
  </si>
  <si>
    <t>API should throws an error message
 controller returns RESEDENT-APP-026</t>
  </si>
  <si>
    <t>INJIWEB-1647_TC-09</t>
  </si>
  <si>
    <t>Verify the JWT signing failure.</t>
  </si>
  <si>
    <t>1.Set metdata with valid proof type.
 2.Trigger without login flow.</t>
  </si>
  <si>
    <t>VC should not be generated It throws an error.
 error code RESEDENT-APP-028</t>
  </si>
  <si>
    <t>INJIWEB-1647_TC-10</t>
  </si>
  <si>
    <t>Verify the proof type field is missing and
 key mismatch.</t>
  </si>
  <si>
    <t>1.Return metdata without proof type supported
 2.Trigger API.
 3.Download vc</t>
  </si>
  <si>
    <t>INJIWEB-1647_TC-11</t>
  </si>
  <si>
    <t>Verify the metdata using unsupported
 alogrithm.</t>
  </si>
  <si>
    <t>1.Set proof type supported is different ["XY123"]
 2.Trigger API request.</t>
  </si>
  <si>
    <t>ED25519 should be choosen fall back.</t>
  </si>
  <si>
    <t>INJIWEB-1647_TC-12</t>
  </si>
  <si>
    <t>Verify the hardcode login RS256 should
 be removed</t>
  </si>
  <si>
    <t>1.Set proof type RS256.
 2.Trigger the VC download.</t>
  </si>
  <si>
    <t>ED25519 should be choosen dynamically
 from metadata,VCshould be generated and verified.</t>
  </si>
  <si>
    <t>INJIWEB-1684</t>
  </si>
  <si>
    <t>Display proper fields for
 key Vc attributes</t>
  </si>
  <si>
    <t>INJIWEB-1684_TC-1</t>
  </si>
  <si>
    <t>Verify the field labels mapping in UI</t>
  </si>
  <si>
    <t>1.Open the credential in UI.
 2.Go to sharable section.</t>
  </si>
  <si>
    <t>Field label mapping should be applied and displayed</t>
  </si>
  <si>
    <t>INJIWEB-1684_TC-2</t>
  </si>
  <si>
    <t>Verify mapping for fullName</t>
  </si>
  <si>
    <t>1.Open the credential in UI.
 2.Check the sharable field section.</t>
  </si>
  <si>
    <t>Lable should be displayed as Full Name</t>
  </si>
  <si>
    <t>Alignment</t>
  </si>
  <si>
    <t>INJIWEB-1684_TC-3</t>
  </si>
  <si>
    <t>Verify mapping for tanNumber.</t>
  </si>
  <si>
    <t>Lable should be displayed as Tan Number.</t>
  </si>
  <si>
    <t>INJIWEB-1684_TC-4</t>
  </si>
  <si>
    <t>Verify mapping for dateofBirth</t>
  </si>
  <si>
    <t>Lable should be displayed as Date Of Birth.</t>
  </si>
  <si>
    <t>INJIWEB-1684_TC-5</t>
  </si>
  <si>
    <t>Verify the fileds lables on PDF.</t>
  </si>
  <si>
    <t>1.Download the credentail as PDF.
 2..Open the downloaded PDF.</t>
  </si>
  <si>
    <t>PDF layout should be shows updated
 field labels.</t>
  </si>
  <si>
    <t>INJIWEB-1684_TC-6</t>
  </si>
  <si>
    <t>Verify lables in shareable fields in UI
 section.</t>
  </si>
  <si>
    <t>1.Open the credential.
 2.Navigate to the shareable section.
 3.Check the shareable fields.</t>
  </si>
  <si>
    <t>Shareable fileds should be shows updated lables.</t>
  </si>
  <si>
    <t>INJIWEB-1684_TC-7</t>
  </si>
  <si>
    <t>Verify labels in credential presentation
 preview.</t>
  </si>
  <si>
    <t>1.Open the credential
 2.Navigate to the credential presentation
 preview.
 3.Check the labels.</t>
  </si>
  <si>
    <t>Credential presentation preview shows updated labels.</t>
  </si>
  <si>
    <t>INJIWEB-1684_TC-8</t>
  </si>
  <si>
    <t>Verify the mapping file fall back logic when
 well known is not present.</t>
  </si>
  <si>
    <t>1.Open the credential in UI.
 2.Navigate the shareable section.
 3.Check the shareable fields.</t>
  </si>
  <si>
    <t>System should be convert automatically.</t>
  </si>
  <si>
    <t>INJIWEB-1684_TC-9</t>
  </si>
  <si>
    <t>Verify the backward compatibility with
 exisiting credential.</t>
  </si>
  <si>
    <t>1.Navigate to the cedential page
 2.Open the past credential in UI.
 3.Download the PDF.
 4.Check the shareable fields.</t>
  </si>
  <si>
    <t>Labels should be appears correctly and the past
 credential function as same.</t>
  </si>
  <si>
    <t>INJIWEB-1684_TC-10</t>
  </si>
  <si>
    <t>Verify the SD-JWT credential includes
 selective disclosable claims</t>
  </si>
  <si>
    <t>1.Import the credential from the wallet.
 2.check the credential view.</t>
  </si>
  <si>
    <t>Credential should be contain selective disclosure
 claims.</t>
  </si>
  <si>
    <t>INJIWEB-1684_TC-12</t>
  </si>
  <si>
    <t>Verify the schema keys mapped to
 readable fields</t>
  </si>
  <si>
    <t>1.Navigate the credential.</t>
  </si>
  <si>
    <t>Keys should be converted to more readable fileds.</t>
  </si>
  <si>
    <t>INJIWEB-1684_TC-13</t>
  </si>
  <si>
    <t>Verify the user see simplified lables in UI</t>
  </si>
  <si>
    <t>1.Open the credential.
 2.Navigate to the shareable credential
 section.
 3.Check the displayed labels</t>
  </si>
  <si>
    <t>Lables should be shown are simple and user friendly.</t>
  </si>
  <si>
    <t>INJIWEB-1684_TC-14</t>
  </si>
  <si>
    <t>Verify the labels when multiple credentials</t>
  </si>
  <si>
    <t>1.Open the credential list.
 2.Select the first credential.
 2.select the second credential.</t>
  </si>
  <si>
    <t>INJIWEB-1699</t>
  </si>
  <si>
    <t>INJIWEB-1699_TC-01</t>
  </si>
  <si>
    <t>Verify the holder Downloaded SD-JWT Vc
 as PDF.</t>
  </si>
  <si>
    <t>1.Navigate to the Injiweb application.
 2.Login with valid crdentials.
 3.Navigate to the credentials section.
 4.Select SD-JWT verifiable credential.
 5.Enter OTP for verification.
 6.Click on download as PDF.</t>
  </si>
  <si>
    <t>The VC should be downloaded as a PDF.</t>
  </si>
  <si>
    <t>sd-jwt</t>
  </si>
  <si>
    <t>INJIWEB-1699_TC-02</t>
  </si>
  <si>
    <t>Verify the holder views SD-JWT Vc
 as PDF.</t>
  </si>
  <si>
    <t>The VC should be visiable as a PDF.</t>
  </si>
  <si>
    <t>INJIWEB-1699_TC-03</t>
  </si>
  <si>
    <t>Verify the updated PDF template.</t>
  </si>
  <si>
    <t>The updated PDF template should be matches
 the provided design.</t>
  </si>
  <si>
    <t>INJIWEB-1699_TC-04</t>
  </si>
  <si>
    <t>Verify the 1st page of a PDF.</t>
  </si>
  <si>
    <t>1st page of a PDF should be contain photo,name
 gender DOB,UIN,postal code etc.</t>
  </si>
  <si>
    <t>INJIWEB-1699_TC-05</t>
  </si>
  <si>
    <t>Verify the 2nd page details.</t>
  </si>
  <si>
    <t>QR code should be generated and displayed in the
 2nd page of the PDF.</t>
  </si>
  <si>
    <t>INJIWEB-1699_TC-06</t>
  </si>
  <si>
    <t>Verify the Any selectively disclosure fields marked
 with mask.</t>
  </si>
  <si>
    <t>Selectively fields should be marked as xxxxx</t>
  </si>
  <si>
    <t>INJIWEB-1699_TC-07</t>
  </si>
  <si>
    <t>Verify the disclaimer test note when masking
 is applied</t>
  </si>
  <si>
    <t>The Selectively disclosure fields should be marked
 as xxxx.
 The note should be displayed as “Your credential includes certain
 details that the issuer has marked as selectively shareable
 Fields marked (X) can be shared individually when presenting
 the credential. Other details can only be disclosed .if you choose to
 share the full credential with the verifier.”</t>
  </si>
  <si>
    <t>INJIWEB-1699_TC-08</t>
  </si>
  <si>
    <t>Verify the disclaimer test note when masking
 is not applied</t>
  </si>
  <si>
    <t>The Selectively disclosure fields should be displayed as plain text.
 The disclaimer note should be displayed as
 “Your credential includes fields that can be shared selectively.
 These fields are not marked separately for you to identify visuallly.
 but you will see and choose them when presenting this credential to
 a verifier.”</t>
  </si>
  <si>
    <t>INJIWEB-1699_TC-09</t>
  </si>
  <si>
    <t>Verify the credential with no SD fields.</t>
  </si>
  <si>
    <t>All fields should be visiable properly.</t>
  </si>
  <si>
    <t>INJIWEB-1699_TC-10</t>
  </si>
  <si>
    <t>Verify the QR code visiable on the PDF.</t>
  </si>
  <si>
    <t>The QR code should be visiable properly.</t>
  </si>
  <si>
    <t>INJIWEB-1699_TC-12</t>
  </si>
  <si>
    <t>Verify the allignement of SD-JWT.</t>
  </si>
  <si>
    <t>The SD-JWT vc Should be alligned properly.</t>
  </si>
  <si>
    <t>INJIWEB-1699_TC-13</t>
  </si>
  <si>
    <t>Verify the SD-JWT PDF across different screens.</t>
  </si>
  <si>
    <t>The pdf should be properly alligned digffernt screens.</t>
  </si>
  <si>
    <t>INJIWEB-1654</t>
  </si>
  <si>
    <t>SD-JWT VC</t>
  </si>
  <si>
    <t>INJIWEB-1654_TC-01</t>
  </si>
  <si>
    <t>Verify the downlaod Mock SD-JWT as a PDF
 option.</t>
  </si>
  <si>
    <t>1.Launch the injiweb portal.
 2.Navigate thee credentials page.
 3.Select the sd-jwt vc.
 4.Observe the PDF option.</t>
  </si>
  <si>
    <t>Download PDF option should be visiable.</t>
  </si>
  <si>
    <t>INJIWEB-1654_TC-02</t>
  </si>
  <si>
    <t>Verify the download SD-JWT as PDF.</t>
  </si>
  <si>
    <t>1.Launch the injiweb portal.
 2.Select the VC from the wallet.
 3.Click on Download PDF option.
 4.Wait for the download to complete.
 5.Observe the downloaded PDF.</t>
  </si>
  <si>
    <t>INJIWEB-1654_TC-03</t>
  </si>
  <si>
    <t>Verify the PDF file properties</t>
  </si>
  <si>
    <t>1.Navigate to the PDF file.
 2.Right click on PDF and select properties.
 3.Observe the properties.</t>
  </si>
  <si>
    <t>The Credential name and date and time
 should be visiable.</t>
  </si>
  <si>
    <t>INJIWEB-1654_TC-04</t>
  </si>
  <si>
    <t>Verify the credential type in PDF</t>
  </si>
  <si>
    <t>1.Open the downloaded PDF.
 2.Observe the credential name on the
 downloaded PDF.</t>
  </si>
  <si>
    <t>The credential name should be displayed
 correctely on the PDF.</t>
  </si>
  <si>
    <t>INJIWEB-1654_TC-05</t>
  </si>
  <si>
    <t>Verify the issuance and expiry date on the
 PDF.</t>
  </si>
  <si>
    <t>1.Open the PDF.
 2.Check the issued and expired dates.</t>
  </si>
  <si>
    <t>The issued and expired dates should be
 displayed on the PDF.</t>
  </si>
  <si>
    <t>INJIWEB-1654_TC-06</t>
  </si>
  <si>
    <t>Verify the issuer name in PDF.</t>
  </si>
  <si>
    <t>1.Open the downloaded PDF.
 2.Locate the issuer field.</t>
  </si>
  <si>
    <t>The credential issuer name should be same
 as the issuer claim from the SD-JWT .</t>
  </si>
  <si>
    <t>INJIWEB-1654_TC-07</t>
  </si>
  <si>
    <t>Verify the QR code is visiable in PDF.</t>
  </si>
  <si>
    <t>1.Open the downloaded PDF.
 2.Obeserve the QR code on the PDF.</t>
  </si>
  <si>
    <t>INJIWEB-1654_TC-08</t>
  </si>
  <si>
    <t>Using Verify Library</t>
  </si>
  <si>
    <t>Verify the QR code is valid</t>
  </si>
  <si>
    <t>1.Open the downloaded PDF.
 2.Scan the QR code using online QR code
 reader.
 3.Pass the extracted URL in to Verify library.</t>
  </si>
  <si>
    <t>The QR code should be contains valid OVP.</t>
  </si>
  <si>
    <t>INJIWEB-1654_TC-09</t>
  </si>
  <si>
    <t>Verify the QR code payload structure.</t>
  </si>
  <si>
    <t>1.Open the downloaded PDF.
 2.Scan the QR code using scanner.
 3.Decode the payload using verify library.</t>
  </si>
  <si>
    <t>QR payload should be contains JSON
 structure with SD-JWT+OVP fields.</t>
  </si>
  <si>
    <t>INJIWEB-1654_TC-10</t>
  </si>
  <si>
    <t>Verify the QR code contains SD-JWT
 and ovp metadata.</t>
  </si>
  <si>
    <t>1.Open the downloaded PDF.
 2.Scan the QR code using scanner.
 3.Check the decoded QR payload.</t>
  </si>
  <si>
    <t>QR code should be conatains SD-JWT and
 OVP metadata.</t>
  </si>
  <si>
    <t>INJIWEB-1654_TC-11</t>
  </si>
  <si>
    <t>Verify the SD-jwt compatibility response</t>
  </si>
  <si>
    <t>1.Open the downloaded PDF.
 2.Scan the QR code by scanner.
 3.Decode the payload using Injiverify.
 4.Open in browser
 3.Check Json response .</t>
  </si>
  <si>
    <t>The JSON file should be contains SD-JWT
 format.</t>
  </si>
  <si>
    <t>INJIWEB-1654_TC-12</t>
  </si>
  <si>
    <t>Verify the printed QR code .</t>
  </si>
  <si>
    <t>1.Open the downloaded PDF.
 2.Print the downloaded PDF on paper.</t>
  </si>
  <si>
    <t>The QR code should be clearly printed.</t>
  </si>
  <si>
    <t>INJIWEB-1654_TC-13</t>
  </si>
  <si>
    <t>Verify the printed QR code is scannable.</t>
  </si>
  <si>
    <t>1.Open the downloade PDF.
 2.Print the QR code on paper.
 3.Scan the printed QR code using scanner.</t>
  </si>
  <si>
    <t>QR code scans successfully and opens a
 same link as a digital PDF.</t>
  </si>
  <si>
    <t>INJIWEB-1654_TC-14</t>
  </si>
  <si>
    <t>Verify the OVP data share manually.</t>
  </si>
  <si>
    <t>1.Open the downlaod PDF.
 2.Scan the QR code.
 3.Extract URL from payload.
 4.Validate with the Verify library.</t>
  </si>
  <si>
    <t>QR code should be contain
 presentation_request_uri
 or embedded OVP request in SD-JWT.</t>
  </si>
  <si>
    <t>INJIWEB-1654_TC-15</t>
  </si>
  <si>
    <t>Verify the OVP URL generated correctly.</t>
  </si>
  <si>
    <t>1.Download the VC
 2.Scan the QR code.
 3.Extract OVP URL.</t>
  </si>
  <si>
    <t>The OVP URL should be generated properly.</t>
  </si>
  <si>
    <t>INJIWEB-1654_TC-16</t>
  </si>
  <si>
    <t>Verify the OVP URL is accessible</t>
  </si>
  <si>
    <t>1.Download the VC
 2.Scan the QR code.
 3.Extract OVP URL.
 4.Open theURL in browser.</t>
  </si>
  <si>
    <t>The OVP URL should be reachable correctely.</t>
  </si>
  <si>
    <t>INJIWEB-1654_TC-17</t>
  </si>
  <si>
    <t>Verify the OVP URL returns a VC data.</t>
  </si>
  <si>
    <t>1.Download the VC
 2.Scan the QR code.
 3.Extract OVP URL.
 4.Open the URL in browser.
 5.Check in the inspect mode.</t>
  </si>
  <si>
    <t>The URL should be contains SD-JWT formatted
 VC.</t>
  </si>
  <si>
    <t>INJIWEB-1654_TC-18</t>
  </si>
  <si>
    <t>Verify the expired vc download.</t>
  </si>
  <si>
    <t>1.Try to download expired VC.
 2.Observe the PDF.</t>
  </si>
  <si>
    <t>PDF should be generated but it shows vc expired.</t>
  </si>
  <si>
    <t>INJIWEB-1642</t>
  </si>
  <si>
    <t>Support to parse SD-JWT response and storing in DB from VCI Client once added in mimoto.</t>
  </si>
  <si>
    <t>INJIWEB-1642_TC-1</t>
  </si>
  <si>
    <t>Verify the accpect credential SD-JWT from certify
 land registry</t>
  </si>
  <si>
    <t>1. SD-JWT crdentials from certify land registry.
 (Using VCI client)
 2.Forward the credentials to mimoto endpoint.</t>
  </si>
  <si>
    <t>Crdential should be accpected and
 stored successfuly,</t>
  </si>
  <si>
    <t>INJIWEB-1642_TC-2</t>
  </si>
  <si>
    <t>Verify the accpect credential SD-JWT from certify
 Mock identity.</t>
  </si>
  <si>
    <t>1.Issue SD-JWT crdentials from certify Mock Identity..
 (Using VCI client)
 2.Forward the credentials to mimoto endpoint.</t>
  </si>
  <si>
    <t>INJIWEB-1642_TC-3</t>
  </si>
  <si>
    <t>Verify the split JWT and disclosures correctely</t>
  </si>
  <si>
    <t>1.Send SD-JWT credential to mimoto.
 using https://www.sdjwt.co/
 2.Check parseing logs.</t>
  </si>
  <si>
    <t>JWT portion and diclosures should be splits
 correctely.</t>
  </si>
  <si>
    <t>INJIWEB-1642_TC-5</t>
  </si>
  <si>
    <t>Verfiy the JWT decodes condition.</t>
  </si>
  <si>
    <t>1.Send SD-JWT credential to mimoto end point.
 2.Mimoto splits JWT and disclosures.
 3.Check the db logs.</t>
  </si>
  <si>
    <t>JWT should be decoded in to header,payload
 signature.</t>
  </si>
  <si>
    <t>INJIWEB-1642_TC-6</t>
  </si>
  <si>
    <t>Validate the SD-JWT crdedential claims.</t>
  </si>
  <si>
    <t>1.Get the SD-jwt credential using VCI client.
 2.Check the JWT crdential claims.
 3.Send the SD-JWT crdential to mimoto.
 4.Observe the database logs.</t>
  </si>
  <si>
    <t>All credentials claims should be present.</t>
  </si>
  <si>
    <t>INJIWEB-1642_TC-7</t>
  </si>
  <si>
    <t>Validate the base64URL format diclosures.</t>
  </si>
  <si>
    <t>1.Issue the SD-jwt credential using VCI client.
 2.Check the JWT crdential claims.
 3.Send the SD-JWT crdential to mimoto.
 4.Observe the database logs.</t>
  </si>
  <si>
    <t>All disclosures should be base64URL format.</t>
  </si>
  <si>
    <t>INJIWEB-1642_TC-8</t>
  </si>
  <si>
    <t>Verify the disclosure hash match.</t>
  </si>
  <si>
    <t>1.Issue the SD-jwt credential using VCI client.
 2.Chage the one diclosure value.
 3.Send the SD-jwt to mimoto.
 4.Observe the mimoto logs.</t>
  </si>
  <si>
    <t>It should be returned an eror is disclosure decoded
 hash match.</t>
  </si>
  <si>
    <t>INJIWEB-1642_TC-9</t>
  </si>
  <si>
    <t>Verify the issuer metadata stored condition</t>
  </si>
  <si>
    <t>1.Issue SD-JWT crdential from the Certify land registry.
 2.Forward to mimoto end point
 /v1/credentials/sd-jwt</t>
  </si>
  <si>
    <t>Issuer metdata should be stored in
 database.</t>
  </si>
  <si>
    <t>INJIWEB-1642_TC-10</t>
  </si>
  <si>
    <t>Verify the signature validation</t>
  </si>
  <si>
    <t>1.Send SD-JWT credential to mimoto.
 2.Mimoto extracts x5c and alg from the JWT header.
 3.Check the validation process.</t>
  </si>
  <si>
    <t>Signature should be validated
 successfully.</t>
  </si>
  <si>
    <t>INJIWEB-1642_TC-11</t>
  </si>
  <si>
    <t>Verify the invalid signature.</t>
  </si>
  <si>
    <t>1.Issue the SD-jwt credential using VCI client.
 2.Chage the JWT payload value.
 3.Send the SD-jwt to mimoto.
 4.Observe the mimoto logs.</t>
  </si>
  <si>
    <t>It should be returned an error is signature is invalid.</t>
  </si>
  <si>
    <t>INJIWEB-1642_TC-13</t>
  </si>
  <si>
    <t>Verify the missing or invalid certificate.</t>
  </si>
  <si>
    <t>1.Get the SD-jwt credential using VCI client.
 2.Send the SD-jwt to mimoto endpoint.
 3.remove the public key from header.</t>
  </si>
  <si>
    <t>It should be shows an error is "Invalid certificate.</t>
  </si>
  <si>
    <t>INJIWEB-1642_TC-14</t>
  </si>
  <si>
    <t>Verify the DB connection.</t>
  </si>
  <si>
    <t>1.Issue the SD-jwt credential using VCI client.
 2.send the SD-jwt to mimoto end point.
 3.Stimulate the DB.
 4.Observe the error.</t>
  </si>
  <si>
    <t>It should be shows an error is "DB connection failed".</t>
  </si>
  <si>
    <t>INJIWEB-1642_TC-15</t>
  </si>
  <si>
    <t>Verify the logs generated with credential ID</t>
  </si>
  <si>
    <t>1.Issue the SD-jwt credential from VCI client.
 2.send the SD-jwt to mimoto end point.
 3.Check the logs for credential stored, SD-jwt disclosures
 .signature validation,DB storage.</t>
  </si>
  <si>
    <t>Logs should be captured for parsing, validation and
 storage.</t>
  </si>
  <si>
    <t>INJIWEB-1642_TC-16</t>
  </si>
  <si>
    <t>Verify the secure logging</t>
  </si>
  <si>
    <t>1.Issue the SD-jwt credential from VCI client.
 2.send the SD-jwt to mimoto end point.
 3.Check the logs .
 4.Check the senstive data.</t>
  </si>
  <si>
    <t>Sensitive values should not be stored.</t>
  </si>
  <si>
    <t>INJIWEB-1665</t>
  </si>
  <si>
    <t>PDF UI Design for SD-JWT</t>
  </si>
  <si>
    <t>INJIWEB-1665_TC-01</t>
  </si>
  <si>
    <t>Verify the holder can receive vc in
 injiwallet (login+without login flow)</t>
  </si>
  <si>
    <t>1.Issue a Verifiable credential to the
 holders inji wallet.
 2.Open the wallet.</t>
  </si>
  <si>
    <t>VC should be successfully received
 and stored in injiwallet.</t>
  </si>
  <si>
    <t>INJIWEB-1665_TC-02</t>
  </si>
  <si>
    <t>Verify the holder opens a credentials details
 screen.</t>
  </si>
  <si>
    <t>1.Select the issued VC from the wallet.
 2.Navigate the credentials details page.</t>
  </si>
  <si>
    <t>The credential screen should be opened
 successfully.</t>
  </si>
  <si>
    <t>INJIWEB-1665_TC-03</t>
  </si>
  <si>
    <t>Verify the download icon.</t>
  </si>
  <si>
    <t>1.Navigate to the credential details screen.
 2.Observe the download icon.</t>
  </si>
  <si>
    <t>Download icon should be visiable.</t>
  </si>
  <si>
    <t>INJIWEB-1665_TC-04</t>
  </si>
  <si>
    <t>Verify the credential layout.</t>
  </si>
  <si>
    <t>1.Navigate to the credential details screen.
 2.Click on the download icon.
 3.Open the PDF.</t>
  </si>
  <si>
    <t>PDF layout should be matches the
 figma design with branding.</t>
  </si>
  <si>
    <t>INJIWEB-1665_TC-05</t>
  </si>
  <si>
    <t>Verify the shareable fields listed in credential
 layout</t>
  </si>
  <si>
    <t>1.Open the downloaded PDF.
 2.Verify the using SD-JWT Debugger.
 3.Observe the shareable fields.</t>
  </si>
  <si>
    <t>All fields should be listed in credential
 layout.</t>
  </si>
  <si>
    <t>INJIWEB-1665_TC-06</t>
  </si>
  <si>
    <t>Verify the SD-JWT info note.</t>
  </si>
  <si>
    <t>1.Open the downloaded PDF.
 2.Navigate to the infobox explaning SD-JWT
 selective disclosure.</t>
  </si>
  <si>
    <t>SD-JWT should be alligned properly.</t>
  </si>
  <si>
    <t>INJIWEB-1665_TC-07</t>
  </si>
  <si>
    <t>Verify the holder can print pdf</t>
  </si>
  <si>
    <t>1.Navigate to the credential details screen.
 2.Click on the download icon.
 3.Print the downloaded PDF.</t>
  </si>
  <si>
    <t>The downloaded PDF should be
 printed.</t>
  </si>
  <si>
    <t>INJIWEB-1665_TC-09</t>
  </si>
  <si>
    <t>Verify the core fields on PDF.</t>
  </si>
  <si>
    <t>1.Open the downloaded PDF
 2.Verify using the SD-JWT Debugger.
 3.Encode the SD-JWT token..
 2.Check the core fields</t>
  </si>
  <si>
    <t>All the core fields should be displayed
 properly.</t>
  </si>
  <si>
    <t>INJIWEB-1665_TC-11</t>
  </si>
  <si>
    <t>Verify the shareable fields on PDF.</t>
  </si>
  <si>
    <t>1.Open the downloaded PDF.
 2.Navigate to the shareable fields section.</t>
  </si>
  <si>
    <t>Shareable fields sectionshould be displayed
 on the downloaded PDF.</t>
  </si>
  <si>
    <t>INJIWEB-1665_TC-12</t>
  </si>
  <si>
    <t>Verify the selective discloures on PDF.</t>
  </si>
  <si>
    <t>1.Open the downloaed PDF.
 2.Navigate to the shareable fields section.</t>
  </si>
  <si>
    <t>Selective disclosure fields should be displayed.</t>
  </si>
  <si>
    <t>INJIWEB-1665_TC-13</t>
  </si>
  <si>
    <t>Verify the download functionality.</t>
  </si>
  <si>
    <t>1.Navigate to the credential details screen.
 2.Click on the download icon.</t>
  </si>
  <si>
    <t>PDF should be downloaded successfully.</t>
  </si>
  <si>
    <t>INJIWEB-1665_TC-15</t>
  </si>
  <si>
    <t>Verify the PDF generation when no fields are
 marked for selective disclosure.</t>
  </si>
  <si>
    <t>1.Navigate to the credentials details screen.
 2.Open the credential details screen.
 3.Click on download icon to generate PDF.
 4.Open the downloaded PDF.
 5.check the shareable fields section.</t>
  </si>
  <si>
    <t>PDF should be displyed with all fields properly.</t>
  </si>
  <si>
    <t>INJIWEB-1665_TC-16</t>
  </si>
  <si>
    <t>Verify the PDF styles matches the inji branding.</t>
  </si>
  <si>
    <t>1.Open the credential details screen.
 2.Click on download icon to generate PDF.
 3.Open the downloaded PDF.
 4.Compare the PDF with figma design
 (Font,colour,Logo.Card styling)</t>
  </si>
  <si>
    <t>PDF should be matches the figma design.</t>
  </si>
  <si>
    <t>INJIWEB-1708</t>
  </si>
  <si>
    <t>Remove mock mDoc/mDL issuer details from the UI : Support configurable issuerIds to be ignored during rendering</t>
  </si>
  <si>
    <t>INJIWEB-1708_TC-1</t>
  </si>
  <si>
    <t>Verify the issuer page before environment variables
 set.</t>
  </si>
  <si>
    <t>1.Navigate to the Injiweb.
 2.Login with calid credentials.
 3.Observe the homepage.</t>
  </si>
  <si>
    <t>ass</t>
  </si>
  <si>
    <t>INJIWEB-1708_TC-2</t>
  </si>
  <si>
    <t>Check the config in git</t>
  </si>
  <si>
    <t>1.Check for variable IGNORED_ISSUER_IDS =
 &lt;value&gt; in env confg.js.</t>
  </si>
  <si>
    <t>The new config should be present.</t>
  </si>
  <si>
    <t>INJIWEB-1708_TC-3</t>
  </si>
  <si>
    <t>Verify the issuer page when environment variable
 set for single issuer.</t>
  </si>
  <si>
    <t>1.Navigate to the Injiweb.
 2.Login with calid credentials.
 3.Set environment variable IGNORED_ISSUER_IDS =
 mdl-issuer in env confg.js.
 4.Restart the Injiweb service.
 5.Check the issuers page.</t>
  </si>
  <si>
    <t>mDL issuers should be hidden and all the remaining
 issuers should be displayed properly.</t>
  </si>
  <si>
    <t>INJIWEB-1708_TC-4</t>
  </si>
  <si>
    <t>Verify the issuer page when ignored multiple issuers.</t>
  </si>
  <si>
    <t>1.Navigate to the Injiweb.
 2.Login with calid credentials.
 3.Set environment variable IGNORED_ISSUER_IDS =
 "MockMdl,StayProtected"in env confg.js.
 4.Restart the Injiweb service.
 5.Check the issuers page.</t>
  </si>
  <si>
    <t>Both Mock Mdl and stay protected should be hidden.</t>
  </si>
  <si>
    <t>INJIWEB-1708_TC-5</t>
  </si>
  <si>
    <t>Verify with one right issuer id and one wrong issuer id</t>
  </si>
  <si>
    <t>1.Navigate to the Injiweb.
 2.Login with calid credentials.
 3.Set environment variable IGNORED_ISSUER_IDS =
 "Valid issuer(mdl issuer),Invalid issuer(xyz)"in env confg.js.
 4.Restart the Injiweb service.
 5.Check the issuers page.</t>
  </si>
  <si>
    <t>Valid issuer should be hidden and invalid issuer
 should be ignored and all the remaining issuers should be
 displayed properly.</t>
  </si>
  <si>
    <t>INJIWEB-1708_TC-6</t>
  </si>
  <si>
    <t>Verify with issuer page when are wrong
 issuers id list is given.</t>
  </si>
  <si>
    <t>All the list of issuers should be
 displyed properly.</t>
  </si>
  <si>
    <t>INJIWEB-1708_TC-7</t>
  </si>
  <si>
    <t>Verify the issuer page when ignored invalid issuer.</t>
  </si>
  <si>
    <t>1.Navigate to the Injiweb.
 2.Login with calid credentials.
 3.Set environment variable IGNORED_ISSUER_IDS =
 "Invalid issuer"
 4.Restart the Injiweb service.
 5.Check the issuers page.</t>
  </si>
  <si>
    <t>No Issuer should be hidden,all the issuers displyed properly.</t>
  </si>
  <si>
    <t>INJIWEB-1708_TC-8</t>
  </si>
  <si>
    <t>Verify the issuer page when envirnoment variable set
 for empty.</t>
  </si>
  <si>
    <t>1.Navigate to the Injiweb.
 2.Login with calid credentials.
 3.Set environment variable IGNORED_ISSUER_IDS =
 " ".
 4.Restart the Injiweb service.
 5.Check the issuers page.</t>
  </si>
  <si>
    <t>No Issuer should be hidden,all the issuers displyed
 properly.</t>
  </si>
  <si>
    <t>INJIWEB-1708_TC-9</t>
  </si>
  <si>
    <t>Verify the case sensitivity for ignored issuers
 (UPPER CASE).</t>
  </si>
  <si>
    <t>1.Navigate to the Injiweb.
 2.Login with calid credentials.
 3.Set environment variable IGNORED_ISSUER_IDS =
 "MDL-ISSUER ".
 4.Restart the Injiweb service.
 5.Check the issuers page.</t>
  </si>
  <si>
    <t>MDL-ISSUER should not match so all the issuers
 displayed properly.</t>
  </si>
  <si>
    <t>INJIWEB-1708_TC-10</t>
  </si>
  <si>
    <t>Verify all the available issuers in Ignored issuers list</t>
  </si>
  <si>
    <t>1.Navigate to the Injiweb.
 2.Login with calid credentials.
 3.Set environment variable IGNORED_ISSUER_IDS =
 "mdl-issuer,insurance-issuer,land registry etc ".
 4.Restart the Injiweb service.
 5.Check the issuers page.</t>
  </si>
  <si>
    <t>All the issuers should be hidden.</t>
  </si>
  <si>
    <t>INJIWEB-1708_TC-11</t>
  </si>
  <si>
    <t>Verify the case sensitivity for ignored issuers with mixed cases in the valid issuer</t>
  </si>
  <si>
    <t>1.Navigate to the Injiweb.
 2.Login with calid credentials.
 3.Set environment variable IGNORED_ISSUER_IDS =
 "MDL-ISSUER,insurance-issuer ".
 4.Restart the Injiweb service.
 5.Check the issuers page.</t>
  </si>
  <si>
    <t>MDL-ISSUER should not be match with mdl issuer
 so it should not be hidden. ,only insurance issuer
 should be ignored.</t>
  </si>
  <si>
    <t>INJIWEB-1708_TC-12</t>
  </si>
  <si>
    <t>Verify the case sensitivity for ignored issuers
 (Lower case).</t>
  </si>
  <si>
    <t>1.Navigate to the Injiweb.
 2.Login with calid credentials.
 3.Set environment variable IGNORED_ISSUER_IDS =
 "mdl-issuer ".
 4.Restart the Injiweb service.
 5.Check the issuers page.</t>
  </si>
  <si>
    <t>INJIWEB-1708_TC-13</t>
  </si>
  <si>
    <t>Verify the configuration changes in all environments</t>
  </si>
  <si>
    <t>1.Deploy the configuration changes in different env.
 2.Restart the injiweb.
 3.Observe the issuers page.</t>
  </si>
  <si>
    <t>In all the enviornment mdl issuer should be hidden.</t>
  </si>
  <si>
    <t>INJIWEB-1627</t>
  </si>
  <si>
    <t>Set passcode limit</t>
  </si>
  <si>
    <t>INJIWEB-1627_TC-01</t>
  </si>
  <si>
    <t>Verify the login using correct
 passcode.</t>
  </si>
  <si>
    <t>1.Launch the injiweb portal.
 2.Login with valid emaild.
 3.Enter a correct passcode.</t>
  </si>
  <si>
    <t>User should be successfully login.
 It shows that faild retry count reset =0
 Current lock cycle reset=0</t>
  </si>
  <si>
    <t>INJIWEB-1627_TC-02</t>
  </si>
  <si>
    <t>Verify the user enters incorrect
 passcode 1st attempt.</t>
  </si>
  <si>
    <t>1.Launch the injiweb portal.
 2.Navigate the enter passcode screen.
 3.Enter incorrect passcode.</t>
  </si>
  <si>
    <t>That passcode doesn’t seem right. Please
 try again, or tap ‘Forgot Passcode’ if you
 need help resetting it.</t>
  </si>
  <si>
    <t>INJIWEB-1627_TC-03</t>
  </si>
  <si>
    <t>Verify the user enter incorrect
 passcode 5th attempt in 1st cycle.</t>
  </si>
  <si>
    <t>1.Launch the injiweb portal.
 2.navigate the enter passcode screen.
 3.Enter incorrect passcode.</t>
  </si>
  <si>
    <t>It shows a message is"You've reached the maximum
 number of attempts. Your wallet is now temporarily
 locked Please try again later."</t>
  </si>
  <si>
    <t>INJIWEB-1627_TC-04</t>
  </si>
  <si>
    <t>Verify the user enter correct passcode after
 the 4th attempt in 1st cycle.</t>
  </si>
  <si>
    <t>1.Launch the injiweb portal.
 2.navigate the enter passcode screen.
 3.Enter correct passcode 5th time in first cycle.</t>
  </si>
  <si>
    <t>All counters should be reset to zero</t>
  </si>
  <si>
    <t>INJIWEB-1627_TC-05</t>
  </si>
  <si>
    <t>Verify the user enter incorrect
 passcode in 5 th attempt in 1st cycle.</t>
  </si>
  <si>
    <t>1.Launch the injiweb portal.
 2.navigate the enter passcode screen.
 3.Enter incorrect passcode Last attempt
 in 1st cycle.</t>
  </si>
  <si>
    <t>INJIWEB-1627_TC-06</t>
  </si>
  <si>
    <t>Verify the temporarily lock triggered
 per cycle</t>
  </si>
  <si>
    <t>1.Launch the injiweb portal.
 2.navigate the enter passcode screen.
 3.Enter incorrect passcode Last attempt
 in 1st cycle (5th invalid attempt).</t>
  </si>
  <si>
    <t>You've reached the maximum number of attempts.
 Your wallet is now temporarily locked.
 Please try again later.</t>
  </si>
  <si>
    <t>INJIWEB-1627_TC-07</t>
  </si>
  <si>
    <t>Verify the login attempt during temporary
 lock period.</t>
  </si>
  <si>
    <t>1.Launch the injiweb portal.
 2. After wallet is temporarily locked
 open login screen.
 3.Login with passcode.</t>
  </si>
  <si>
    <t>Login attempt should be disabled.</t>
  </si>
  <si>
    <t>INJIWEB-1627_TC-08</t>
  </si>
  <si>
    <t>Verify the user enter correct passcode after
 temporary lock</t>
  </si>
  <si>
    <t>1.Launch the injiweb portal.
 2.navigate the enter passcode screen.
 3.Enter correct passcode after temporary
 lock cycle is over.</t>
  </si>
  <si>
    <t>No error message should be shown. login should be
 permitted if correct)</t>
  </si>
  <si>
    <t>INJIWEB-1627_TC-09</t>
  </si>
  <si>
    <t>Verify the user incorrect passcode 1st attempt in
 second cycle</t>
  </si>
  <si>
    <t>1.Launch the injiweb portal.
 2.navigate the enter passcode screen.
 3.Enter incorrect passcode 1st attempt in
 2nd cycle.</t>
  </si>
  <si>
    <t>It shows message isThat passcode doesn’t seem right.
 Please try again, or tap ‘Forgot Passcode’ if you
 need help resetting it.</t>
  </si>
  <si>
    <t>INJIWEB-1627_TC-10</t>
  </si>
  <si>
    <t>Verify the user correct passcode in 5th attempt
 in 2nd cycle</t>
  </si>
  <si>
    <t>1.Launch the injiweb portal.
 2.navigate the enter passcode screen.
 3.Enter correct passcode 5th time in 2nd cycle</t>
  </si>
  <si>
    <t>All counters should be reset to zero.
 Login should be permitted.</t>
  </si>
  <si>
    <t>INJIWEB-1627_TC-11</t>
  </si>
  <si>
    <t>Verify the user enter incorrect passcode in
 4th attempt passcode in 3rd cycle.</t>
  </si>
  <si>
    <t>1.Launch the injiweb portal.
 2.navigate the enter passcode screen.
 3.Enter incorrect passcode 4th attempt in
 3rd cycle.</t>
  </si>
  <si>
    <t>It shows an error message is Incorrect passcode.
 Last attempt remaining
 before your wallet is permanently locked.</t>
  </si>
  <si>
    <t>INJIWEB-1627_TC-12</t>
  </si>
  <si>
    <t>verify the user enter correct passcode in 4th attempt
 in 3rd cycle</t>
  </si>
  <si>
    <t>1.Launch the injiweb portal.
 2.navigate the enter passcode screen.
 3.Enter correct passcode 5th attempt in
 3rd cycle.</t>
  </si>
  <si>
    <t>User should be login successfully..</t>
  </si>
  <si>
    <t>INJIWEB-1627_TC-13</t>
  </si>
  <si>
    <t>Verify the user enter incorrect passcode last
 attempt in 3 rd cycle.</t>
  </si>
  <si>
    <t>1.Launch the injiweb portal.
 2.navigate the enter passcode screen.
 3.Enter incorrect passcode 5th attempt in
 3rd cycle.</t>
  </si>
  <si>
    <t>Your wallet has been permanently
 locked due to multiple failed attempts
 . Please click on forgot password to reset
 your wallet to continue.</t>
  </si>
  <si>
    <t>INJIWEB-1627_TC-14</t>
  </si>
  <si>
    <t>Verify the user enter forgot passcode option</t>
  </si>
  <si>
    <t>1.Launch the injiweb portal.
 2.navigate the enter passcode screen.
 3.Click on forgot passcode to reset a passcode.</t>
  </si>
  <si>
    <t>Set passcode screen should be displayed.</t>
  </si>
  <si>
    <t>INJIWEB-1627_TC-15</t>
  </si>
  <si>
    <t>Verify the functionality of max faild
 attempts allowed cycle</t>
  </si>
  <si>
    <t>1.Launch the injiweb portal.
 2.Login with valid emaild.
 3.Enter incorrect passcode 5 times
 (configurable from mimoto properties)</t>
  </si>
  <si>
    <t>It shown message should be"After 5th time temporary
 lock should be applied.</t>
  </si>
  <si>
    <t>INJIWEB-1627_TC-16</t>
  </si>
  <si>
    <t>Verify the max failed attempt cycle set is 0</t>
  </si>
  <si>
    <t>1.Launch the injiweb portal.
 2.Login with valid emaild.
 3.Enter incorrect passcode 5 times
 wallet.passcode.maxFailedAttemptsAllowed
 PerCycle=0</t>
  </si>
  <si>
    <t>System should be taken defult value is 1 allowed per cycle.</t>
  </si>
  <si>
    <t>INJIWEB-1627_TC-17</t>
  </si>
  <si>
    <t>Verify the max failed attempt cycle set is negative
 values ex(-1,-2..etc)</t>
  </si>
  <si>
    <t>1.Launch the injiweb portal.
 2.Login with valid emaild.
 3.Enter incorrect passcode 5 times
 wallet.passcode.maxFailedAttemptsAllowed
 PerCycle=-1</t>
  </si>
  <si>
    <t>INJIWEB-1627_TC-18</t>
  </si>
  <si>
    <t>Verify the functionality of lock duration</t>
  </si>
  <si>
    <t>1.Launch the injiweb portal.
 2.Navigate tha enter passcode screen.
 3.Enter incorrect passcode 5 times.
 4.try login after 1 hour
 (configurable from mimoto properties).</t>
  </si>
  <si>
    <t>Wallet locket should be disabled after 1 hour, user
 should login again.</t>
  </si>
  <si>
    <t>INJIWEB-1627_TC-19</t>
  </si>
  <si>
    <t>Verify the functionality of max lock
 cycles allowed</t>
  </si>
  <si>
    <t>1.Launch the injiweb portal.
 2.Navigate tha enter passcode screen.
 3.User enter incorrrect passcode in 3 cycles
 4.Wallet passcode max cycles allowed is =0</t>
  </si>
  <si>
    <t>Wallet should be permanently locked.</t>
  </si>
  <si>
    <t>INJIWEB-1627_TC-20</t>
  </si>
  <si>
    <t>Verify the functionality of max lock
 cycles allowed set is 0</t>
  </si>
  <si>
    <t>1.Launch the injiweb portal.
 2.Navigate tha enter passcode screen.
 3.User enter incorrrect passcode in 3 cycles
 4.Wallet passcode max cycles allowed is =-1</t>
  </si>
  <si>
    <t>It should be taken max cycles allowed defult value is 1.</t>
  </si>
  <si>
    <t>INJIWEB-1627_TC-21</t>
  </si>
  <si>
    <t>Verify the functionality of max lock
 cycles allowed set is negative value.</t>
  </si>
  <si>
    <t>1.Launch the injiweb portal.
 2.Navigate tha enter passcode screen.
 3.User enter incorrrect passcode in 3 cycles
 (configurable from mimoto properties).</t>
  </si>
  <si>
    <t>INJIWEB-1627_TC-22</t>
  </si>
  <si>
    <t>Verify the functionality of forgot passcode option</t>
  </si>
  <si>
    <t>1.Launch the injiweb portal.
 2.Login with valid emaild.
 3.Click on forgot passcode option.
 4.Set a new passcode and confirm passcode
 same</t>
  </si>
  <si>
    <t>Wallet should be created successfully,user walllet record
 should be deleted.</t>
  </si>
  <si>
    <t>INJIWEB-1627_TC-23</t>
  </si>
  <si>
    <t>Check the defult wallet staus in DB</t>
  </si>
  <si>
    <t>1.Launch the injiweb portal.
 2.Check the wallet db table for the user</t>
  </si>
  <si>
    <t>Wallet status should be Null.</t>
  </si>
  <si>
    <t>DB Verification</t>
  </si>
  <si>
    <t>INJIWEB-1627_TC-24</t>
  </si>
  <si>
    <t>Check the passcode metadata in DB.</t>
  </si>
  <si>
    <t>1.Launch the injiweb portal.
 2.Enter incorrect passcode.
 3.check the wallet table in DB.
 4.Check the passcode metadata and
 cureent attempt count while doing.</t>
  </si>
  <si>
    <t>It shows
 "passcodeControl": {
 "currentCycleCount": 0,
 "retryBlockedUntil": null,
 "failedAttemptCount": 0
 }</t>
  </si>
  <si>
    <t>INJIWEB-1627_TC-25</t>
  </si>
  <si>
    <t>Verify the walet status temporarily locked</t>
  </si>
  <si>
    <t>1.Launch the injiweb portal.
 2.Enter incorrect passcode 5 times.</t>
  </si>
  <si>
    <t>It shows message should be "Wallet is temporarily
 locked due to max failed attempts"</t>
  </si>
  <si>
    <t>INJIWEB-1627_TC-26</t>
  </si>
  <si>
    <t>Verify the walet status permanently locked</t>
  </si>
  <si>
    <t>1.Launch the injiweb portal.
 2.Enter incorrect passcode 5 times/(cycle 1)
 3.Repet two more cycles incorrect passcode.</t>
  </si>
  <si>
    <t>It shows messge should be"Wallet is locked after
 exceeding allowed lock cycles"</t>
  </si>
  <si>
    <t>INJIWEB-1627_TC-27</t>
  </si>
  <si>
    <t>Verify the wallet status when temporary
 lock expired.</t>
  </si>
  <si>
    <t>1.Launch the injiweb portal.
 2.check login after lock expired.</t>
  </si>
  <si>
    <t>Wallet lock should be disabled ,user can attempt
 to login again.</t>
  </si>
  <si>
    <t>INJIWEB-1627_TC-28</t>
  </si>
  <si>
    <t>Verify the condition wallet permanently
 locked=true</t>
  </si>
  <si>
    <t>1.Launch the injiweb portal.
 2.Navigate the passcode entry screen
 3.Attempt max allowed lock cycles
 4.check the DB status.</t>
  </si>
  <si>
    <t>“Your wallet has been permanently locked due to
 multiple failed attempts. Please click on forgot
 password to reset your wallet to continue.”</t>
  </si>
  <si>
    <t>INJIWEB-1627_TC-29</t>
  </si>
  <si>
    <t>Verify the service unavailable error,</t>
  </si>
  <si>
    <t>1.Launch the inji web portal.
 2.Navigate to the passcode screen.
 2.stimulate the back end (postgress service down).
 4.Observe the error.</t>
  </si>
  <si>
    <t>It show message"We're currently experiencing
 some issues processing your request. Please
 try again later</t>
  </si>
  <si>
    <t>INJIWEB-1627_TC-30</t>
  </si>
  <si>
    <t>Verify the network error.</t>
  </si>
  <si>
    <t>1.Launch the inji web portal.
 2.stimulate the network while login.</t>
  </si>
  <si>
    <t>It show message " please check your internet
 connection and try again"</t>
  </si>
  <si>
    <t>INJIWEB-1627_TC-32</t>
  </si>
  <si>
    <t>Verify the Unknown error.</t>
  </si>
  <si>
    <t>1.Launch the injiweb portal.
 2.Navigate the passcode screen.
 3.Stimulate VPIN.
 4.Observe the error.</t>
  </si>
  <si>
    <t>It shows an error message is "An unexpected error
 occurred. Please refresh the page or try again shortly".</t>
  </si>
  <si>
    <t>INJIWEB-1627_TC-33</t>
  </si>
  <si>
    <t>Verify the countdown timer for the temporary lock</t>
  </si>
  <si>
    <t>1.launch the Inji web portal.
 2.Login with valid Gmail account.
 3.Enter a wrong passcode repeatedly until the
 account is temporary lock state.
 4.Observe the screen, check whether countdown
 cycle is shown or not</t>
  </si>
  <si>
    <t>A countdown timer should be displayed remaining time for
 the temporary lock cycle</t>
  </si>
  <si>
    <r>
      <rPr>
        <rFont val="Calibri"/>
        <color rgb="FF1155CC"/>
        <sz val="11.0"/>
        <u/>
      </rPr>
      <t>https://mosip.atlassian.net/browse/INJIWEB-1683</t>
    </r>
  </si>
  <si>
    <t>INJIWEB-1680</t>
  </si>
  <si>
    <t>Verify when the user entering a second cycle
  of invalid passcode attempts.</t>
  </si>
  <si>
    <t>1.Launch the injiweb portal.
 2.Login with valid Gmail account.
 3.Enter the wrong password repeatedly until temporary lock (first cycle)
 4.Wait until lock time expires.</t>
  </si>
  <si>
    <t>It should be show clear notification the user entering a second 
 cycle of wrong attempts.</t>
  </si>
  <si>
    <r>
      <rPr>
        <rFont val="Calibri"/>
        <color rgb="FF1155CC"/>
        <sz val="11.0"/>
        <u/>
      </rPr>
      <t>https://mosip.atlassian.net/browse/INJIWEB-1680</t>
    </r>
  </si>
  <si>
    <t>INJIWEB-1678</t>
  </si>
  <si>
    <t>Verify The profile section name is the displayed top header name</t>
  </si>
  <si>
    <t>1.Launch the injiweb portal.
 2.Login with valid gmail account.
 3.Enter the wrong password repeatedly.
 4.wait untill temporary lock time expires</t>
  </si>
  <si>
    <t>After temporary lock time expires the page should be auto refersh
  and user can enter the passcode</t>
  </si>
  <si>
    <r>
      <rPr>
        <rFont val="Calibri"/>
        <color rgb="FF1155CC"/>
        <sz val="11.0"/>
        <u/>
      </rPr>
      <t>https://mosip.atlassian.net/browse/INJIWEB-1678</t>
    </r>
  </si>
  <si>
    <t>INJIWEB-1679</t>
  </si>
  <si>
    <t>Verify when the account is locked it would be better todisplay proper error message by replacing the header text</t>
  </si>
  <si>
    <t>1.Launch the injiweb portal.
 2.Login with valid Gmail account.
 3.Enter the wrong password repeatedly. until the account locked.
 4.Observe the message displayed on the header.</t>
  </si>
  <si>
    <t>Proper header should be displayed after account locked</t>
  </si>
  <si>
    <r>
      <rPr>
        <rFont val="Calibri"/>
        <color rgb="FF1155CC"/>
        <sz val="11.0"/>
        <u/>
      </rPr>
      <t>https://mosip.atlassian.net/browse/INJIWEB-1679</t>
    </r>
  </si>
  <si>
    <t>INJIWEB-1681</t>
  </si>
  <si>
    <t>Verify the passcodescreen is better to display user profile and name to avoid confusion.</t>
  </si>
  <si>
    <t>1.Launch the injiweb portal.
 2.Login with valid Gmail account.
 3.Enter the wrong password on passcode entry screen.
 4.Observe the screen.</t>
  </si>
  <si>
    <t>On the passcode entry screen the user details should be displayed
  to avoide confusion especially when multiple accounts are in use</t>
  </si>
  <si>
    <r>
      <rPr>
        <rFont val="Calibri"/>
        <color rgb="FF1155CC"/>
        <sz val="11.0"/>
        <u/>
      </rPr>
      <t>https://mosip.atlassian.net/browse/INJIWEB-1681</t>
    </r>
  </si>
  <si>
    <t>INJIWEB-1682</t>
  </si>
  <si>
    <t>Verify the permanent lock state the user is not given an option to try to login with a different user and struck with the same screen, user should be able to select a different user</t>
  </si>
  <si>
    <t>1.Launch the injiweb portal.
 2.Login with valid gmail account.
 3.Enter the wrong password repeatedly when account gets permenent lock state.
 4.Observe the screen after permanent locked.</t>
  </si>
  <si>
    <t>It should be provide the user log in with different account after 
 permanent lock</t>
  </si>
  <si>
    <r>
      <rPr>
        <rFont val="Calibri"/>
        <color rgb="FF1155CC"/>
        <sz val="11.0"/>
        <u/>
      </rPr>
      <t>https://mosip.atlassian.net/browse/INJIWEB-1682</t>
    </r>
  </si>
  <si>
    <t>INJIWEB-1677</t>
  </si>
  <si>
    <t>Verify the last attempt before a temporary lock.</t>
  </si>
  <si>
    <t>1.Launch the injiweb portal.
 2.Login with valid gmail account.
 3.Enter the wrong password repeatedly untill the last attempt before temporary lock</t>
  </si>
  <si>
    <t>A clear message should be displayed before the finial attempt
  in temporary lock</t>
  </si>
  <si>
    <r>
      <rPr>
        <rFont val="Calibri"/>
        <color rgb="FF1155CC"/>
        <sz val="11.0"/>
        <u/>
      </rPr>
      <t>https://mosip.atlassian.net/browse/INJIWEB-1677</t>
    </r>
  </si>
  <si>
    <t>Verify the QR code in mosip VC</t>
  </si>
  <si>
    <r>
      <rPr>
        <rFont val="Calibri"/>
        <color rgb="FF1155CC"/>
        <sz val="11.0"/>
        <u/>
      </rPr>
      <t>https://mosip.atlassian.net/browse/INJIWEB-1652</t>
    </r>
  </si>
  <si>
    <t>INJIWEB-1656</t>
  </si>
  <si>
    <t>Download with Validity in Login Flow: VCs with large data for QR Code generation</t>
  </si>
  <si>
    <r>
      <rPr>
        <rFont val="Calibri"/>
        <color rgb="FF1155CC"/>
        <sz val="11.0"/>
        <u/>
      </rPr>
      <t>https://mosip.atlassian.net/browse/INJIWEB-1656</t>
    </r>
  </si>
  <si>
    <t>Verify the Injiwallet link in login page.</t>
  </si>
  <si>
    <t>Inji wallet should be redirected to the inji home page.</t>
  </si>
  <si>
    <r>
      <rPr>
        <rFont val="Calibri"/>
        <color rgb="FF1155CC"/>
        <sz val="11.0"/>
        <u/>
      </rPr>
      <t>https://mosip.atlassian.net/browse/INJIWEB-1657</t>
    </r>
  </si>
  <si>
    <t>INJIWEB-1575</t>
  </si>
  <si>
    <t>Verify the passcode login page in inspect mode.</t>
  </si>
  <si>
    <t>1.Launch inji web portal
 2.Login with valid gmail credentials.
 3.Navigate to the passcode entry screen.
 4.Enter passcode and submit.
 5.open inspect mode verifying passcode encryption.</t>
  </si>
  <si>
    <t>Passcode details should not be visible in plain text format</t>
  </si>
  <si>
    <t>inspection mode not possible to automate</t>
  </si>
  <si>
    <r>
      <rPr>
        <rFont val="Calibri"/>
        <color rgb="FF1155CC"/>
        <sz val="11.0"/>
        <u/>
      </rPr>
      <t>https://mosip.atlassian.net/browse/INJIWEB-1575</t>
    </r>
  </si>
  <si>
    <t>INJIWEB-1672</t>
  </si>
  <si>
    <t>After a MOSIP VC is downloaded, and we try to download another MOSIP VC appropriate message is not displayed.</t>
  </si>
  <si>
    <t>1.Login into INJI Web portal with gmail account
 2.Download a Mosip VC
 3.Try to download another VC
 4.Observe the result</t>
  </si>
  <si>
    <t>An appropriate error message should be displayed saying that only 1 VC can be downloaded</t>
  </si>
  <si>
    <r>
      <rPr>
        <rFont val="Calibri"/>
        <color rgb="FF1155CC"/>
        <sz val="11.0"/>
        <u/>
      </rPr>
      <t>https://mosip.atlassian.net/browse/INJIWEB-1672</t>
    </r>
  </si>
  <si>
    <t>INJIWEB-1719</t>
  </si>
  <si>
    <t>Verify the QR code on downloaded PDF.</t>
  </si>
  <si>
    <t>1.Naviagte to the injiweb portal.
 2.Login with valid credentials and go to the issuers page.
 3.Select mock sd-jwt.
 4.Download the SD-JWT credential.
 5.Observe the downloaded SD-jwt PDF.</t>
  </si>
  <si>
    <t>QR code page should be alligned properly.</t>
  </si>
  <si>
    <r>
      <rPr>
        <rFont val="Calibri"/>
        <color rgb="FF1155CC"/>
        <sz val="11.0"/>
        <u/>
      </rPr>
      <t>https://mosip.atlassian.net/browse/INJIWEB-1719</t>
    </r>
  </si>
  <si>
    <t>INJIWEB-1166</t>
  </si>
  <si>
    <t>Verify the credential name when portugues language is selected.</t>
  </si>
  <si>
    <t>1.Launch portal https://injiweb-cp1.qa-inji.mosip.net/
 2.Select issuer
 2.Observe the credential name.</t>
  </si>
  <si>
    <t>Names shoule be properly translated to portugese</t>
  </si>
  <si>
    <r>
      <rPr>
        <rFont val="Calibri"/>
        <color rgb="FF1155CC"/>
        <sz val="11.0"/>
        <u/>
      </rPr>
      <t>https://mosip.atlassian.net/browse/INJIWEB-1166</t>
    </r>
  </si>
  <si>
    <t>Verify the VC download when injiweb pod is down</t>
  </si>
  <si>
    <t>1.Download VC from injiweb
 2.Down the inji web pod
 3.Try to verify the VC from injiverify portal</t>
  </si>
  <si>
    <t>The error should be displayed properly when the pod is down.</t>
  </si>
  <si>
    <r>
      <rPr>
        <rFont val="Calibri"/>
        <color rgb="FF1155CC"/>
        <sz val="11.0"/>
        <u/>
      </rPr>
      <t>https://mosip.atlassian.net/browse/INJIWEB-823</t>
    </r>
  </si>
  <si>
    <t>Verify the VC download when mimoto pod is down</t>
  </si>
  <si>
    <t>1.Download VC from injiweb
 2.Down the mimoto service
 3.Try to verify the VC from injiverify portal</t>
  </si>
  <si>
    <r>
      <rPr>
        <rFont val="Calibri"/>
        <color rgb="FF1155CC"/>
        <sz val="11.0"/>
        <u/>
      </rPr>
      <t>https://mosip.atlassian.net/browse/INJIWEB-824</t>
    </r>
  </si>
  <si>
    <t>INJIWEB-1632</t>
  </si>
  <si>
    <t>Verify the binding OTP Validation</t>
  </si>
  <si>
    <t>1.Trigger the binding OTP IN automation for
  a individualID without individualId attribute
  a individualID with missing VID
 2.Observe the validation after mimoto fix.</t>
  </si>
  <si>
    <t>For both the scenarios error code should be RESIDENT-APP-011</t>
  </si>
  <si>
    <r>
      <rPr>
        <rFont val="Calibri"/>
        <color rgb="FF1155CC"/>
        <sz val="11.0"/>
        <u/>
      </rPr>
      <t>https://mosip.atlassian.net/browse/INJIWEB-1632</t>
    </r>
  </si>
  <si>
    <t>INJIWEB-1165</t>
  </si>
  <si>
    <t>Verify the strings when selecting Portugues language</t>
  </si>
  <si>
    <t>1.Substring on issuers are appearing in english
 2.Downloaded PDF file name is in english
 3.validity message is also appered in english</t>
  </si>
  <si>
    <t>All the strings should be upadated with portugues language.</t>
  </si>
  <si>
    <t>Alignment issue/Back ground changes</t>
  </si>
  <si>
    <r>
      <rPr>
        <rFont val="Calibri"/>
        <color rgb="FF1155CC"/>
        <sz val="11.0"/>
        <u/>
      </rPr>
      <t>https://mosip.atlassian.net/browse/INJIWEB-1165</t>
    </r>
  </si>
  <si>
    <t>NJIWEB-1201</t>
  </si>
  <si>
    <t>INJIWEB-1201</t>
  </si>
  <si>
    <t>Esignet page</t>
  </si>
  <si>
    <t>Verify the first login attempt at esignet page.</t>
  </si>
  <si>
    <t>1.Launch injiweb portal
 2.Select veridonia issuer
 3.Select any veridonia credential
 4.Try to download the credential
 5.Enter the required details</t>
  </si>
  <si>
    <t>There should not be any failure.</t>
  </si>
  <si>
    <r>
      <rPr>
        <rFont val="Calibri"/>
        <color rgb="FF1155CC"/>
        <sz val="11.0"/>
        <u/>
      </rPr>
      <t>https://mosip.atlassian.net/browse/INJIWEB-1201</t>
    </r>
  </si>
  <si>
    <t>INJIWEB-1500</t>
  </si>
  <si>
    <t>no.of field values in VC document and scanned documnet are not the same</t>
  </si>
  <si>
    <t>1.Launch injiweb portal
 2.click on Get started button
 3.Select Veridonia Income Tax 4.Department issuer
 5.Select credential type
 6.Enter valid UIN/VID(4539827807)
 7.Enter OTP
 8.Download card</t>
  </si>
  <si>
    <t>Fields values should be same in the VC document and Scanned document.</t>
  </si>
  <si>
    <r>
      <rPr>
        <rFont val="Calibri"/>
        <color rgb="FF1155CC"/>
        <sz val="11.0"/>
        <u/>
      </rPr>
      <t>https://mosip.atlassian.net/browse/INJIVER-1103</t>
    </r>
  </si>
  <si>
    <t>INJIWEB-1673</t>
  </si>
  <si>
    <t>Configure special keys to identify face to render for VC</t>
  </si>
  <si>
    <t>INJIWEB-1673_TC-01</t>
  </si>
  <si>
    <t>Verify the vc</t>
  </si>
  <si>
    <t>1.Navigate to the injiweb.
 2.Download the vc.
 3.Open the wallet and observe the VC.</t>
  </si>
  <si>
    <t>The VC should be stored in the Wallet.</t>
  </si>
  <si>
    <t>INJIWEB-1673_TC-02</t>
  </si>
  <si>
    <t>Verify the received VC is valid.</t>
  </si>
  <si>
    <t>1.Navigate to the injiweb.
 2.Download the vc.
 3.Open the wallet and observe the VC.
 4.Check the format and signature.</t>
  </si>
  <si>
    <t>The VC should be Valid.</t>
  </si>
  <si>
    <t>Configuration changes are required</t>
  </si>
  <si>
    <t>INJIWEB-1673_TC-03</t>
  </si>
  <si>
    <t>Verify the VC contains keys.</t>
  </si>
  <si>
    <t>INJIWEB-1673_TC-04</t>
  </si>
  <si>
    <t>Verify the VC contains face key</t>
  </si>
  <si>
    <t>1.Import VC credential subject with single key
 keys.
 mosip.injiweb.vc.subject.face.keys.order=
 face
 2.Wallet parses the crdential subject.</t>
  </si>
  <si>
    <t>It depends on the issuer if issuer supports
 Wallet should be renders "face" or wallet
 should be displays defult image.</t>
  </si>
  <si>
    <t>INJIWEB-1673_TC-05</t>
  </si>
  <si>
    <t>Verify the VC contains photo key</t>
  </si>
  <si>
    <t>1.Import VC credential subject with single key
 mosip.injiweb.vc.subject.face.keys.order=
 photo.
 2.Wallet parses the crdential subject.</t>
  </si>
  <si>
    <t>It depends on the issuer if issuet supports
 Wallet should be renders "photo" or wallet
 should be displays defult image.</t>
  </si>
  <si>
    <t>INJIWEB-1673_TC-06</t>
  </si>
  <si>
    <t>Verify the VC contains image key.</t>
  </si>
  <si>
    <t>1.Import VC credential subject with single
 key.
 mosip.injiweb.vc.subject.face.keys.order=
 image.
 2.Wallet parses the crdential subject.</t>
  </si>
  <si>
    <t>It depends on the issuer if issuet supports
 Wallet should be renders "image" or wallet
 should be displays defult image.</t>
  </si>
  <si>
    <t>INJIWEB-1673_TC-07</t>
  </si>
  <si>
    <t>Verify the VC contain portrait key.</t>
  </si>
  <si>
    <t>1.Import VC credential subject with single
 key.
 mosip.injiweb.vc.subject.face.keys.order=
 portrait.
 2.Wallet parses the crdential subject.</t>
  </si>
  <si>
    <t>It depends on the issuer if issuet supports
 Wallet should be renders "portrait" or wallet
 should be displays defult image.</t>
  </si>
  <si>
    <t>INJIWEB-1673_TC-08</t>
  </si>
  <si>
    <t>Verify the VC contain picture key.</t>
  </si>
  <si>
    <t>1.Import VC credential subject with single key.
 mosip.injiweb.vc.subject.face.keys.order=
 picture.
 2.Wallet parses the crdential subject.</t>
  </si>
  <si>
    <t>It depends on the issuer if issuet supports
 Wallet should be renders "picture" or wallet
 should be displays defult image.</t>
  </si>
  <si>
    <t>INJIWEB-1673_TC-09</t>
  </si>
  <si>
    <t>Verify the multiple keys are present.</t>
  </si>
  <si>
    <t>1.Import VC credential subject with multiple
 keys.
 mosip.injiweb.vc.subject.face.keys.order=
 image,face,photo.
 2.Wallet parses the crdential subject.</t>
  </si>
  <si>
    <t>Wallet should be renders "image" (json in
 first key)</t>
  </si>
  <si>
    <t>INJIWEB-1673_TC-10</t>
  </si>
  <si>
    <t>1.Import VC credential subject woth all the keys.
 mosip.injiweb.vc.subject.face.keys.order=image,
 face,photo,picture,portrait.
 2.Wallet parses the credential subject.</t>
  </si>
  <si>
    <t>Wallet should be renders a first available
 key.</t>
  </si>
  <si>
    <t>INJIWEB-1673_TC-11</t>
  </si>
  <si>
    <t>Verify the when no face keys are present</t>
  </si>
  <si>
    <t>1.Import VC json with no keys present.
 2.Parses the credential subject.</t>
  </si>
  <si>
    <t>Wallet should be displays the defult face
 holder image.</t>
  </si>
  <si>
    <t>INJIWEB-1673_TC-12</t>
  </si>
  <si>
    <t>Verify the wallet while parsing JSON with
 multiple keys when first one is invalid key.</t>
  </si>
  <si>
    <t>1.Import VC json with multiple keys when first one
 is invalid key.
 2.Parse the credential subject.</t>
  </si>
  <si>
    <t>Wallet should be renders defult fall back
 to image.</t>
  </si>
  <si>
    <t>INJIWEB-1673_TC-13</t>
  </si>
  <si>
    <t>Verify the support of Image URL</t>
  </si>
  <si>
    <t>1.Import the VC Json "face" with the support of URL.</t>
  </si>
  <si>
    <t>INJIWEB-1673_TC-14</t>
  </si>
  <si>
    <t>Verify the support of base64encoding images.</t>
  </si>
  <si>
    <t>1.Import the VC Json with base 64 encoding.
 2.Parse the crdential subject.</t>
  </si>
  <si>
    <t>Wallet should be decode the base 64 and
 displays image correctely.</t>
  </si>
  <si>
    <t>INJIWEB-1726</t>
  </si>
  <si>
    <t>Branding Changes
  across Inji Web UI
  for MOSIP Connect</t>
  </si>
  <si>
    <t>INJIWEB-1726_TC-01</t>
  </si>
  <si>
    <t>UI UX changes</t>
  </si>
  <si>
    <t>Verify the Injiweb portal.</t>
  </si>
  <si>
    <t>1.Launch the Injiweb poratl.</t>
  </si>
  <si>
    <t>The Injiweb page should be displayed.</t>
  </si>
  <si>
    <t>Need location application run</t>
  </si>
  <si>
    <t>INJIWEB-1726_TC-02</t>
  </si>
  <si>
    <t>Verify the all the existing fields are in Montserrat
 font.</t>
  </si>
  <si>
    <t>1.Launch the Injiweb portal.
 2.Open the any login page,guest login page etc.</t>
  </si>
  <si>
    <t>All the exisiting fields shoul uses Montserrat (Bold,
 Medium,Italic) as per style guide.</t>
  </si>
  <si>
    <t>INJIWEB-1726_TC-03</t>
  </si>
  <si>
    <t>Verify header font size and weight.</t>
  </si>
  <si>
    <t>1.Launch the Injiweb portal.
 2.Open the loginpage check all the headers and font size.
 3.Open the inspect mode and observe the font size and
 weight.</t>
  </si>
  <si>
    <t>All the elements should be (headers and body text to match
 sizes,line heights and weights) as per style guide.</t>
  </si>
  <si>
    <t>INJIWEB-1726_TC-04</t>
  </si>
  <si>
    <t>Verify the body test size</t>
  </si>
  <si>
    <t>1.Launch the Injiweb portal.
 2.Check the body text and helper text size on all pages using
 inspect mode.
 3.Compare with style guide.</t>
  </si>
  <si>
    <t>Body1/b1 → 14pt / 22pt / Medium
 Body2/b2 → 14pt / 22pt / Medium body text should be alligned
 as per the style guide.</t>
  </si>
  <si>
    <t>INJIWEB-1726_TC-05</t>
  </si>
  <si>
    <t>Verify the caption size.</t>
  </si>
  <si>
    <t>1.Launch the Injiweb portal.
 2.Check the Caption size using inspect mode.
 3.Compare with style guide.</t>
  </si>
  <si>
    <t>Caption → 12pt / 18pt / Medium
 "Caption size should be aligned as per the style guide."</t>
  </si>
  <si>
    <t>INJIWEB-1726_TC-06</t>
  </si>
  <si>
    <t>Verify the Input size.</t>
  </si>
  <si>
    <t>1.Launch the Injiweb portal.
 2.Check the input size using inspect mode.
 3.Compare with style guide.</t>
  </si>
  <si>
    <t>Input → 12pt / 18pt / Medium.
 "Input size should be as per the style guide.</t>
  </si>
  <si>
    <t>INJIWEB-1726_TC-07</t>
  </si>
  <si>
    <t>Verify the Button shape.</t>
  </si>
  <si>
    <t>1.Launch the Injiweb portal.
 2.Go to the launching or login page.
 3.Observe the all buttons
 3.Compare with style guide.</t>
  </si>
  <si>
    <t>Buttons should be displayed as sharp edges not curved edges.</t>
  </si>
  <si>
    <t>INJIWEB-1726_TC-08</t>
  </si>
  <si>
    <t>Verify the primary button state</t>
  </si>
  <si>
    <t>1.Launch the Injiweb portal.
 2.Go to the launching or login page.
 3.Observe the Primary button state
 3.Compare with style guide.</t>
  </si>
  <si>
    <t>Primary button should be matches the style guide.</t>
  </si>
  <si>
    <t>INJIWEB-1726_TC-09</t>
  </si>
  <si>
    <t>Verify the Secondary button state</t>
  </si>
  <si>
    <t>1.Launch the Injiweb portal.
 2.Go to the launching or login page.
 2.Enter the passcode.
 3.Observe the button state.
 3.Compare with style guide.</t>
  </si>
  <si>
    <t>Secondary button should be matches the style guide.</t>
  </si>
  <si>
    <t>INJIWEB-1726_TC-10</t>
  </si>
  <si>
    <t>Verify the Disabled button state</t>
  </si>
  <si>
    <t>1.Launch the Injiweb portal.
 2.Go to the launching or login page.
 3.Observe the disabled buton state.
 3.Compare with style guide.</t>
  </si>
  <si>
    <t>Diasbled button should be matches the style guide.</t>
  </si>
  <si>
    <t>INJIWEB-1726_TC-11</t>
  </si>
  <si>
    <t>Verify the dropdown style alignment as the
 new style</t>
  </si>
  <si>
    <t>1.Navigate to the login page.
 2.Observe the drop down icons.</t>
  </si>
  <si>
    <t>Dropdown icons should be matches the new style guide.</t>
  </si>
  <si>
    <t>INJIWEB-1726_TC-12</t>
  </si>
  <si>
    <t>Verify the language dropdown styling while
 gmail login.</t>
  </si>
  <si>
    <t>1.Navigate to the login page.
 2.Observe the language drop down icon.
 3.Compare with style guide.</t>
  </si>
  <si>
    <t>Language drop down icon should be matches the new style
 guide.</t>
  </si>
  <si>
    <t>INJIWEB-1726_TC-13</t>
  </si>
  <si>
    <t>Verify the profile dropdown styling while
 gmail login.</t>
  </si>
  <si>
    <t>1.Navigate to the login page.
 2.Observe the profile drop down icon.
 3.Compare with style guide.</t>
  </si>
  <si>
    <t>Profile drop down icon should be matches the new style guide</t>
  </si>
  <si>
    <t>INJIWEB-1726_TC-14</t>
  </si>
  <si>
    <t>Verify the language dropdown styling while
 guest login.</t>
  </si>
  <si>
    <t>1.Navigate to the landing page.
 2.login with guest mode.
 3.Observe the language drop down icon.
 3.Compare with style guide.</t>
  </si>
  <si>
    <t>INJIWEB-1726_TC-15</t>
  </si>
  <si>
    <t>Verify the Toolpits style</t>
  </si>
  <si>
    <t>1.Navigate the Injiweb portal.
 2.Hover on the elements that show toolpits.
 3.Compare with new style guide.</t>
  </si>
  <si>
    <t>Toolpits should match font size and padding as per
 new style guide.</t>
  </si>
  <si>
    <t>INJIWEB-1726_TC-16</t>
  </si>
  <si>
    <t>Verify the toaster messages.</t>
  </si>
  <si>
    <t>1.Navigate the Injiweb portal.
 2.Login with valid crednentials.
 3.Go to the stored cards download the card.
 4.Verify the error or success message.
 3.Compare with new style guide.</t>
  </si>
  <si>
    <t>Toaster message should be matches the correct colour as
 per the new style guide.</t>
  </si>
  <si>
    <t>INJIWEB-1726_TC-17</t>
  </si>
  <si>
    <t>Verify the tick mark appeared after language
 selection.</t>
  </si>
  <si>
    <t>1.Navigate to the landing page.
 2.login with valid credentials.
 3.Select a language drop option.
 4.Observe the tick mark on seleted language.
 3.Compare with style guide.</t>
  </si>
  <si>
    <t>Selected language should be tick marked.</t>
  </si>
  <si>
    <t>INJIWEB-1726_TC-18</t>
  </si>
  <si>
    <t>Verify the selected option text is highlighted in
 orande shade.</t>
  </si>
  <si>
    <t>Selected option text should be highlighted in the orange shade.</t>
  </si>
  <si>
    <t>INJIWEB-1726_TC-19</t>
  </si>
  <si>
    <t>Verify that the Hover effect is applied in the
 orange shade.</t>
  </si>
  <si>
    <t>1.Navigate to the landing page.
 2.login with valid credentials.
 3.Hover the mouse on each language selection option.
 4.Observe the colour.
 3.Compare with style guide.</t>
  </si>
  <si>
    <t>Hover effect should be appeared as per the style guide.</t>
  </si>
  <si>
    <t>INJIWEB-1726_TC-20</t>
  </si>
  <si>
    <t>Verify the tick mark appeared after profile
 selection.</t>
  </si>
  <si>
    <t>1.Navigate to the landing page.
 2.login with valid credentials.
 3.Select a language drop option.
 4.Observe the tick mark on seleted language.
 3.Compare with style guide</t>
  </si>
  <si>
    <t>No tick mark should be appear for any option in the profile drop down.</t>
  </si>
  <si>
    <t>INJIWEB-1726_TC-21</t>
  </si>
  <si>
    <t>Verify that the Hover effect is applied in the
 orange shade in profile dropdown.</t>
  </si>
  <si>
    <t>1.Navigate to the landing page.
 2.login with valid credentials.
 3.Hover the mouse on each profile selection option.
 4.Observe the colour.
 3.Compare with style guide.</t>
  </si>
  <si>
    <t>INJIWEB-1726_TC-22</t>
  </si>
  <si>
    <t>Verify the content flow in landing page.</t>
  </si>
  <si>
    <t>1.Launch the Injiweb portal.
 2.Observe the landing page.</t>
  </si>
  <si>
    <t>Landing page should be displayed as per new style guide.</t>
  </si>
  <si>
    <t>INJIWEB-1726_TC-23</t>
  </si>
  <si>
    <t>Verify the FAQ page content flow.</t>
  </si>
  <si>
    <t>1.Launch the Injiweb portal.
 2.Select the FAQ option.
 3.Observe the FAQ and compare with new style guide..</t>
  </si>
  <si>
    <t>All the content to flow should be in a new font and headers according to the style guide</t>
  </si>
  <si>
    <t>INJIWEB-1726_TC-24</t>
  </si>
  <si>
    <t>Verify the continue with google button font
 and style</t>
  </si>
  <si>
    <t>1.Launch the Injiweb portal.
 2.Navigate to the landing page.
 3.Observe the continue with google button.
 4.Compare with new style guide.</t>
  </si>
  <si>
    <t>Continue with google button should be matches the new style
 guide font should be "Montserrat, Bold, 14pt, All Caps,
 Center aligned"</t>
  </si>
  <si>
    <t>INJIWEB-1726_TC-25</t>
  </si>
  <si>
    <t>Verify the continue with guest login</t>
  </si>
  <si>
    <t>1.Launch the Injiweb portal.
 2.Navigate to the landing page.
 3.Observe the continue with guest login button.
 4.Compare with new style guide.</t>
  </si>
  <si>
    <t>Continue with guest login button should be matches the new style
 guide font should be "Montserrat, Bold, 14pt, All Caps,
 Center aligned"</t>
  </si>
  <si>
    <t>INJIWEB-1726_TC-26</t>
  </si>
  <si>
    <t>Verify the hover primary button</t>
  </si>
  <si>
    <t>1.Launch the Injiweb portal.
 2.Navigate to the landing page.
 3.Hover the continue with primary button.
 4.Compare with new style guide</t>
  </si>
  <si>
    <t>Primary button should be displayes as per the new style guide.</t>
  </si>
  <si>
    <t>INJIWEB-1726_TC-27</t>
  </si>
  <si>
    <t>Verify the hover secondary button</t>
  </si>
  <si>
    <t>1.Launch the Injiweb portal.
 2.Navigate to the landing page.
 3.Hover the continue with secondary button.
 4.Compare with new style guide.</t>
  </si>
  <si>
    <t>Secondary button should be displayes as per the new style guide.</t>
  </si>
  <si>
    <t>INJIWEB-1726_TC-28</t>
  </si>
  <si>
    <t>Verify the ADD Card button</t>
  </si>
  <si>
    <t>1.Launch the Injiweb portal.
 2.Navigate to the landing page.
 3.Hover the ADD card button
 4.Compare with new style guide.</t>
  </si>
  <si>
    <t>Add cards button should be displayed as per the new style guide.</t>
  </si>
  <si>
    <t>INJIWEB-1726_TC-29</t>
  </si>
  <si>
    <t>Verify the Disabled states of primary and
 secondary button.</t>
  </si>
  <si>
    <t>1.Launch the Injiweb portal.
 2.Navigate to the landing page.
 3.Disabled the button.
 4.Compare with new style guide.</t>
  </si>
  <si>
    <t>The buttons should be displayed as per the new style guide.</t>
  </si>
  <si>
    <t>INJIWEB-1726_TC-30</t>
  </si>
  <si>
    <t>Verify the h1 header for landing page
 (change header name)</t>
  </si>
  <si>
    <t>1.Navigate the injiweb portal.
 2.Navigate to the landing page.
 3.Observe the main header.
 4.Compare with new style guide.</t>
  </si>
  <si>
    <t>It shows messgae “Effortlessly Access and Manage Your Digital Credentials”
 Font should "Montserrat - Bold" as per the new style guide.</t>
  </si>
  <si>
    <t>INJIWEB-1726_TC-31</t>
  </si>
  <si>
    <t>Verify the h2 header.</t>
  </si>
  <si>
    <t>1.Navigate the injiweb portal.
 2.Navigate to the landing page.
 3.Observe the Sub header.
 4.Compare with new style guide.</t>
  </si>
  <si>
    <t>It shows messgae “Make your data portable with trust. Securely
 manage your digital documents with our easy-to-use web-based
 wallet.”
 Font should "Montserrat - Bold" as per the new style guide.</t>
  </si>
  <si>
    <t>INJIWEB-1726_TC-32</t>
  </si>
  <si>
    <t>Verify the h3 and h4 header.</t>
  </si>
  <si>
    <t>1.Navigate the injiweb portal.
 2.Navigate to the landing page.
 3.Observe the login .
 4.Compare with new style guide.</t>
  </si>
  <si>
    <t>It shows message “Log in with your account or continue as a guest to access your credentials.” as per the new style guide.</t>
  </si>
  <si>
    <t>INJIWEB-1726_TC-33</t>
  </si>
  <si>
    <t>Verify the body text</t>
  </si>
  <si>
    <t>1.Navigate the injiweb portal.
 2.Navigate to the landing page.
 3.Observe the body text and compare with style guide.</t>
  </si>
  <si>
    <t>It shows a message "Some features may be limited in guest mode”
 matches the news tyle guide.</t>
  </si>
  <si>
    <t>INJIWEB-1726_TC-34</t>
  </si>
  <si>
    <t>Verify the section title and secondary
 headings.</t>
  </si>
  <si>
    <t>1.Navigate the injiweb portal.
 2.Navigate to the landing page.
 3.scroll up the page and observe the section tiltle and
 secondary heading
 4.Compare with new style guide.</t>
  </si>
  <si>
    <t>Section titles should be displayed "Access Your Credentials
 , Anywhere You Need" and "Credentials Simplified", "No more Paperwork. All In One Place"as per the new style guide.</t>
  </si>
  <si>
    <t>INJIWEB-1726_TC-35</t>
  </si>
  <si>
    <t>Body text should be "Credentials Simplified", "No more
 Paperwork. All In One Place" as per the new style guide.</t>
  </si>
  <si>
    <t>INJIWEB-1726_TC-36</t>
  </si>
  <si>
    <t>Verify the captions and microcopy.</t>
  </si>
  <si>
    <t>Captions should be displayed as per the new style guide.</t>
  </si>
  <si>
    <t>INJIWEB-1726_TC-37</t>
  </si>
  <si>
    <t>Verify the button at the bottom</t>
  </si>
  <si>
    <t>1.Navigate the injiweb portal.
 2.Navigate to the landing page.
 3.scrolle up the page and observe the button.
 4.Compare with new style guide.</t>
  </si>
  <si>
    <t>It should be displayed as per the new style guide.</t>
  </si>
  <si>
    <t>INJIWEB-1726_TC-38</t>
  </si>
  <si>
    <t>Verify the button allignment</t>
  </si>
  <si>
    <t>.1.Navigate the injiweb portal.
 2.Navigate to the landing page.
 3.scrolle up the page and observe the section tiltle and
 secondary heading
 4.Compare with new style guide.</t>
  </si>
  <si>
    <t>Center the text vertically &amp; horizontally inside the button as per the
 style guide.</t>
  </si>
  <si>
    <t>INJIWEB-1726_TC-39</t>
  </si>
  <si>
    <t>Verify the wording and content updates.</t>
  </si>
  <si>
    <t>1.Navigate the injiweb portal.
 2.Navigate to the landing page.
 3.scrolle up the page and observe the section tiltle and
 secondary heading
 4.Compare with new style guide.</t>
  </si>
  <si>
    <t>Test should be updated LEARNMORE all caps,actionable.</t>
  </si>
  <si>
    <t>INJIWEB-1726_TC-40</t>
  </si>
  <si>
    <t>Verify the design and update for warning
 alert</t>
  </si>
  <si>
    <t>warning update should be as pe r the new style guide.</t>
  </si>
  <si>
    <t>INJIWEB-1726_TC-41</t>
  </si>
  <si>
    <t>Verify the home page content flow .</t>
  </si>
  <si>
    <t>1.Launch the injiweb portal.
 2.Navigate to the landing page.
 3.Login with valid credential and obseve the home page.
 4.Compare with new style guide.</t>
  </si>
  <si>
    <t>INJIWEB-1726_TC-42</t>
  </si>
  <si>
    <t>Verify the stored cards content flow.</t>
  </si>
  <si>
    <t>1.Launch the injiweb portal.
 2.Navigate to the landing page.
 3.Login with valid credential go to the stored cards.
 4.Compare with new style guide.</t>
  </si>
  <si>
    <t>INJIWEB-1726_TC-43</t>
  </si>
  <si>
    <t>Verify the profile page content flow.</t>
  </si>
  <si>
    <t>1.Launch the injiweb portal.
 2.Navigate to the landing page.
 3.Login with valid credential go to the profile section.
 4.Compare with new style guide.</t>
  </si>
  <si>
    <t>INJIWEB-1726_TC-44</t>
  </si>
  <si>
    <t>Verify the credential type page content flow.</t>
  </si>
  <si>
    <t>1.Launch the injiweb portal.
 2.Navigate to the landing page.
 3.Login with valid credential go to the crdential type page.
 4.Compare with new style guide.</t>
  </si>
  <si>
    <t>INJIWEB-1726_TC-45</t>
  </si>
  <si>
    <t>Verify the main heading</t>
  </si>
  <si>
    <t>1.Navigate to the landing page.
 2.Continue with guest login page
 3.Observe the main heading.
 4.Compare with new style guide.</t>
  </si>
  <si>
    <t>Main heading should be "Access your Verifiable Credentials
 with ease!" Should follow Header 1 / h1 → Montserrat Bold, 32pt,
 Line height 42pt.</t>
  </si>
  <si>
    <t>Alignmnet/Branding changes</t>
  </si>
  <si>
    <t>INJIWEB-1726_TC-46</t>
  </si>
  <si>
    <t>Verify the sub heading</t>
  </si>
  <si>
    <t>1.Navigate to the landing page.
 2.Continue with guest login page
 3.Observe the Sub heading.
 4.Compare with new style guide</t>
  </si>
  <si>
    <t>Subheading should be "Securely download and share your
 credentials instantly." Should follow Body 1 / b1 → Montserrat
 Medium, 14pt, Line height 22pt.</t>
  </si>
  <si>
    <t>INJIWEB-1726_TC-47</t>
  </si>
  <si>
    <t>Verify the section title</t>
  </si>
  <si>
    <t>1.Navigate to the landing page.
 2.Continue with guest login page
 3.Observe the Section title.
 4.Compare with new style guide</t>
  </si>
  <si>
    <t>Section Title should be "List of Issuers"
 Should follow Header 3 / h3 → Montserrat Bold, 22pt, Line height
 30pt</t>
  </si>
  <si>
    <t>INJIWEB-1726_TC-48</t>
  </si>
  <si>
    <t>Verify the helper text.</t>
  </si>
  <si>
    <t>1.Navigate to the landing page.
 2.Continue with guest login page
 3.Observe the helper text.
 4.Compare with new style guide</t>
  </si>
  <si>
    <t>Helper Text should be "Search for your trusted issuer and choose
 a credential type" Should follow Body 2 / b2 → Montserrat Medium
 , 14pt, Line height 22pt.</t>
  </si>
  <si>
    <t>INJIWEB-1726_TC-49</t>
  </si>
  <si>
    <t>Verify the Place holder text</t>
  </si>
  <si>
    <t>1.Navigate to the landing page.
 2.Continue with guest login page
 3.Locate the input field where place holder text should appear.
 4.Observe the Placeholder text.
 4.Compare with new style guid</t>
  </si>
  <si>
    <t>Place holder text should be displayed as per the new style.guide.</t>
  </si>
  <si>
    <t>INJIWEB-1726_TC-50</t>
  </si>
  <si>
    <t>Verify the border radius.</t>
  </si>
  <si>
    <t>1.Navigate to the home page.
 2.Observe the border.
 3.Compare with new style guide.</t>
  </si>
  <si>
    <t>Borders should be matches the new style guide.</t>
  </si>
  <si>
    <t>INJIWEB-1726_TC-51</t>
  </si>
  <si>
    <t>Verify the Mosip product.</t>
  </si>
  <si>
    <t>1.Navigate to the landing page.
 2.Login with valid credentials.
 3.Observe the footer.
 4.Compare with new style guide.</t>
  </si>
  <si>
    <t>"A MOSIP Product" should be matches the new style guide.
 Use Body 2 / b2 → Montserrat Medium, 14pt, Line height 22pt.</t>
  </si>
  <si>
    <t>INJIWEB-1726_TC-52</t>
  </si>
  <si>
    <t>Verify the copy right text</t>
  </si>
  <si>
    <t>Copyright Text should be displayed matches as per new style
 guide("© 2024 MOSIP. All rights reserved.")Use Caption style
 → Montserrat Medium, 12pt, Line height 18pt, colour #9E9E9E.</t>
  </si>
  <si>
    <t>INJIWEB-1726_TC-53</t>
  </si>
  <si>
    <t>Verify the main header</t>
  </si>
  <si>
    <t>1.Navigate to the passcode page.
 2.Observe the passcode screen main header.
 3.Compare with new style guide.</t>
  </si>
  <si>
    <t>Header should be “Enter Your Passcode to Continue” matches as
 per style guide.</t>
  </si>
  <si>
    <t>INJIWEB-1726_TC-54</t>
  </si>
  <si>
    <t>Verify the sub header</t>
  </si>
  <si>
    <t>1.Navigate to the passcode page.
 2.Observe the passcode screen sub header.
 3.Compare with new style guide.</t>
  </si>
  <si>
    <t>Sub header should be “Enter Your Passcode to Continue” matches as
 per style guide.</t>
  </si>
  <si>
    <t>INJIWEB-1726_TC-55</t>
  </si>
  <si>
    <t>Verify the typographic alignment</t>
  </si>
  <si>
    <t>1.Navigate to the passcode page.
 2.Observe all the content flow and font.
 3.Compare with new style guide.</t>
  </si>
  <si>
    <t>All the content to flow and font and headers should be
 according to the style guide</t>
  </si>
  <si>
    <t>INJIWEB-1726_TC-56</t>
  </si>
  <si>
    <t>Verify the submit button styling.</t>
  </si>
  <si>
    <t>1.Navigate to the passcode page.
 2.Observe the submit button.
 3.Compare with new style guide.</t>
  </si>
  <si>
    <t>Submit button should be match as per the new style guide.</t>
  </si>
  <si>
    <t>INJIWEB-1726_TC-57</t>
  </si>
  <si>
    <t>Verify the language and profile dropdown</t>
  </si>
  <si>
    <t>1.Navigate to the login page.
 2.Observe the language and profile drop down icon.
 3.Compare with style guide.</t>
  </si>
  <si>
    <t>Dropdown styling should be as per the style guide</t>
  </si>
  <si>
    <t>INJIWEB-1726_TC-58</t>
  </si>
  <si>
    <t>1.Navigate to the login page and continue with guest login..
 2.Observe the content and font.
 3.Compare with style guide.</t>
  </si>
  <si>
    <t>Home page should be appeared as per the news tyle guide.</t>
  </si>
  <si>
    <t>INJIWEB-1726_TC-59</t>
  </si>
  <si>
    <t>Verify the credential type page</t>
  </si>
  <si>
    <t>Credentials page should be appeared as per the news tyle guide.</t>
  </si>
  <si>
    <t>INJIWEB-1726_TC-60</t>
  </si>
  <si>
    <t>Verify there is no impact in the functionality.</t>
  </si>
  <si>
    <t>1.Launch the injiweb portal.
 2.Login with valid and invalid credentials.
 3.Obsereve the functional flow.</t>
  </si>
  <si>
    <t>The functional flow should work properly</t>
  </si>
  <si>
    <t>INJIWEB-1726_TC-61</t>
  </si>
  <si>
    <t>Verify the responsiveness.</t>
  </si>
  <si>
    <t>1.Launch the injiweb portal.
 2.Login with valid credentials.
 3.Obsereve the response in different screen sizes.</t>
  </si>
  <si>
    <t>All the elements should be properly alligned.</t>
  </si>
  <si>
    <t>INJIWEB-1715</t>
  </si>
  <si>
    <t>UI – Credential Selection,Consent + Negative Flow's(No Matching Credentials Flow</t>
  </si>
  <si>
    <t>INJIWEB-1715_TC-01</t>
  </si>
  <si>
    <t>Verify the wallet opens via mock services(Using
 mock services for testing)</t>
  </si>
  <si>
    <t>1.Navigate to the mock services.
 2.Observe the screen.</t>
  </si>
  <si>
    <t>Mock services page should be dispalyed.</t>
  </si>
  <si>
    <t>INJIWEB-1715_TC-02</t>
  </si>
  <si>
    <t>verify the open injiweb button on scan screen</t>
  </si>
  <si>
    <t>1.Navigate the mock services.
 2.Click on pre-registered APIand select Draft 21.
 3.Click on the openinjiweb button.</t>
  </si>
  <si>
    <t>Injiwallet page should be dispalyed.</t>
  </si>
  <si>
    <t>INJIWEB-1715_TC-03</t>
  </si>
  <si>
    <t>Verify the continue with google option</t>
  </si>
  <si>
    <t>1.Navigate to the injiwebportal.
 2.select the continue with google option.</t>
  </si>
  <si>
    <t>It should be redirect to the passcode screen.</t>
  </si>
  <si>
    <t>INJIWEB-1715_TC-04</t>
  </si>
  <si>
    <t>Verify the Continue with guest mode.</t>
  </si>
  <si>
    <t>1.Navigate to the Injiweb portal using mock services.
 2.Select the continue with guest login mode.</t>
  </si>
  <si>
    <t>There should be an appropriate error message or pop-up message in the verifier side 
 as the user did not login into his/her wallet.</t>
  </si>
  <si>
    <r>
      <rPr>
        <rFont val="Calibri"/>
        <color rgb="FF1155CC"/>
        <sz val="11.0"/>
        <u/>
      </rPr>
      <t>https://mosip.atlassian.net/browse/INJIWEB-1761</t>
    </r>
  </si>
  <si>
    <t>INJIWEB-1715_TC-05</t>
  </si>
  <si>
    <t>Verify the verifier intiates the credential request</t>
  </si>
  <si>
    <t>1.Launch the verifier page from mock services.
 2.Intiate the credential request.
 3.Observe the response.</t>
  </si>
  <si>
    <t>Wallet should be opened automatically after credential
 request.</t>
  </si>
  <si>
    <t>INJIWEB-1715_TC-06</t>
  </si>
  <si>
    <t>Verify the wallet validates request.</t>
  </si>
  <si>
    <t>1.Launch the verifier page from mock services.
 2.Intiate the credential request.
 3.wait for walliet validate the request.</t>
  </si>
  <si>
    <t>Wallet should be displayed with available credentials.</t>
  </si>
  <si>
    <t>INJIWEB-1715_TC-07</t>
  </si>
  <si>
    <t>Verify the credential selection. page.</t>
  </si>
  <si>
    <t>1.Launch the Injiweb after verify request.
 2.Observe the credential selection page.</t>
  </si>
  <si>
    <t>The credential selection page should be displyed
 with all the cedentials types.</t>
  </si>
  <si>
    <t>INJIWEB-1715_TC-08</t>
  </si>
  <si>
    <t>Verify the selecting a credential in credential
 selection page.</t>
  </si>
  <si>
    <t>Selected credential should be highlighted and
 continue/share button enabled.</t>
  </si>
  <si>
    <t>INJIWEB-1715_TC-09</t>
  </si>
  <si>
    <t>Verify the selected credential to share(MOsip vc or insurance)</t>
  </si>
  <si>
    <t>1.Navigate to the credential selection page.
 2.On the credential selection page select the mosip credential.
 3.Click on consent and share.</t>
  </si>
  <si>
    <t>The selected credential should be passed to
 consent screen for review.</t>
  </si>
  <si>
    <t>INJIWEB-1715_TC-10</t>
  </si>
  <si>
    <t>Verify the selected credential is unsupported (land registry or farmer vc).</t>
  </si>
  <si>
    <t>1.Navigate to the credential selection page.
 2.On the credential selection page select the 
 land registry credential.
 3.Click on consent and share.</t>
  </si>
  <si>
    <t>It should be provide a proper error when we select unsupported issuer</t>
  </si>
  <si>
    <r>
      <rPr>
        <rFont val="Calibri"/>
        <color rgb="FF1155CC"/>
        <sz val="11.0"/>
        <u/>
      </rPr>
      <t>https://mosip.atlassian.net/browse/INJIWEB-1764</t>
    </r>
  </si>
  <si>
    <t>INJIWEB-1715_TC-11</t>
  </si>
  <si>
    <t>Verify the selected credential are packaged and
 shared.</t>
  </si>
  <si>
    <t>2.On the credential selection page select one</t>
  </si>
  <si>
    <t>Verifier should be received the selected credentials
 successfully.</t>
  </si>
  <si>
    <t>INJIWEB-1715_TC-12</t>
  </si>
  <si>
    <t>Error scenario</t>
  </si>
  <si>
    <t>Verify the error scenario when credentials are
 not matching.</t>
  </si>
  <si>
    <t>credential.</t>
  </si>
  <si>
    <t>IT shows message should be “No matching credentials found”</t>
  </si>
  <si>
    <t>INJIWEB-1715_TC-13</t>
  </si>
  <si>
    <t>Verify the API error when API fails.</t>
  </si>
  <si>
    <t>3.Click on consent and share.</t>
  </si>
  <si>
    <t>It should be "Display error message as per the figma "</t>
  </si>
  <si>
    <t>INJIWEB-1715_TC-14</t>
  </si>
  <si>
    <t>Verify the error message when user cancel</t>
  </si>
  <si>
    <t>1.Launch the injiweb and intiate the VP request.
 2.On the consent screen click on cancel.
 3.Observe the response.</t>
  </si>
  <si>
    <t>request should be aborted with a response send
 back to verifer as “access_denied”.</t>
  </si>
  <si>
    <t>INJIWEB-1715_TC-15</t>
  </si>
  <si>
    <t>Verify the loading indicatior when API call</t>
  </si>
  <si>
    <t>1.Trigger the VP request.
 2.Observe the response while credentials are being
 fetched.</t>
  </si>
  <si>
    <t>Loading screen should be shown.</t>
  </si>
  <si>
    <t>INJIWEB-1715_TC-16</t>
  </si>
  <si>
    <t>Verify the wallet behaviour when user refersh
 the page while selecting credential.</t>
  </si>
  <si>
    <t>1.Naviagte to the credential selection page.
 2.select the credential.
 3.Refersh the browser page.</t>
  </si>
  <si>
    <t>Selected credentials should be removed</t>
  </si>
  <si>
    <t>INJIWEB-1715_TC-17</t>
  </si>
  <si>
    <t>Verify when wallet have no stored cards.</t>
  </si>
  <si>
    <t>1.Launch the Injiweb portal.
 2.Login with valid credentials.
 3.Navigate to the home page .
 4.Select the stored cards button.</t>
  </si>
  <si>
    <t>It should be displayed as "No matching credentials found"</t>
  </si>
  <si>
    <t>INJIWEB-1715_TC-18</t>
  </si>
  <si>
    <t>Verify click on cancel and then Yes cancel button</t>
  </si>
  <si>
    <t>1.Navigate to the verifier name screen.
 2.Click on on cancel button then click on yes.</t>
  </si>
  <si>
    <t>It should be redirected to the home screen.</t>
  </si>
  <si>
    <t>INJIWEB-1715_TC-19</t>
  </si>
  <si>
    <t>Verify click on the cancel and then click on back
 button.</t>
  </si>
  <si>
    <t>1.Navigate to the verifier name screen.
 2.Click on on cancel button then click on back button.</t>
  </si>
  <si>
    <t>It should be redirected to the "requester screen"</t>
  </si>
  <si>
    <t>INJIWEB-1715_TC-20</t>
  </si>
  <si>
    <t>Verify the mobile responsiveness.</t>
  </si>
  <si>
    <t>1.Open the Injiwellet screen in mobile view.
 2.Trigger the VP request.
 3. Check all screens(selection,consent,error )</t>
  </si>
  <si>
    <t>All screen should be displayed properly on mobile view.</t>
  </si>
  <si>
    <t>INJIWEB-1715_TC-21</t>
  </si>
  <si>
    <t>Verify the UI allignment and lables.</t>
  </si>
  <si>
    <t>1.Observe the lables and allignemnt all the screens.</t>
  </si>
  <si>
    <t>All the labels and text should be displayes ad per the figma.</t>
  </si>
  <si>
    <t>INJIWEB-1714</t>
  </si>
  <si>
    <t>UI – Redirect to Web 
 Wallet from Verifier and
  Show Trust Screen to 
 User</t>
  </si>
  <si>
    <t>INJIWEB-1714_TC-01</t>
  </si>
  <si>
    <t>Verify the Injiwallet account using mock services</t>
  </si>
  <si>
    <t>1.Launch the mock services screen.
 2.Click on the openinjiweb button.
 3.Login with valid credentials.
 3.Observe the screen.</t>
  </si>
  <si>
    <t>It should be redirected to injiwallet screen.</t>
  </si>
  <si>
    <t>INJIWEB-1714_TC-02</t>
  </si>
  <si>
    <t>User Authentication</t>
  </si>
  <si>
    <t>Verify the login fiirst time with correct passcode.</t>
  </si>
  <si>
    <t>1.Launch the injiweb portal.
 2.Login with correct passcode.</t>
  </si>
  <si>
    <t>User should be redirected to Trust screen.</t>
  </si>
  <si>
    <t>INJIWEB-1714_TC-03</t>
  </si>
  <si>
    <t>Verify the login with incorrect passcode.</t>
  </si>
  <si>
    <t>1.Launch the injiweb portal.
 2.Login with incorrect passcode.</t>
  </si>
  <si>
    <t>Error message should be shown.
 incorrect passcode please try again.</t>
  </si>
  <si>
    <t>INJIWEB-1714_TC-04</t>
  </si>
  <si>
    <t>Verify user already trusted verifier</t>
  </si>
  <si>
    <t>1.Launch the injiweb portal.
 2.Login with Valid credentials.
 3.Observe the screen.</t>
  </si>
  <si>
    <t>The verifier should be automatically redirect to the credential selection screen.</t>
  </si>
  <si>
    <t>INJIWEB-1714_TC-05</t>
  </si>
  <si>
    <t>Verify the screen loader screen</t>
  </si>
  <si>
    <t>Then loading screen should be dispalyed as" Please wait while we verify the request and prepare your credentials."</t>
  </si>
  <si>
    <t>INJIWEB-1714_TC-06</t>
  </si>
  <si>
    <t>Verify the Trust screen</t>
  </si>
  <si>
    <t>1.Navigate to the mock services screen.
 2.Click on openinjiwallet button.
 3.On the trust screen click on Yes trust the verifier button.
 4.Observe the screen.</t>
  </si>
  <si>
    <t>It should be redirected to credetial selectio screen.</t>
  </si>
  <si>
    <t>INJIWEB-1714_TC-07</t>
  </si>
  <si>
    <t>Verify the user select No don't trust verifier option</t>
  </si>
  <si>
    <t>1.Navigate to the mock services screen.
 2.Click on openinjiwallet button.
 3.The screen loader is displayed.
 4.Observe the screen.</t>
  </si>
  <si>
    <t>it should not continue the flow and should redirect to the home page</t>
  </si>
  <si>
    <r>
      <rPr>
        <rFont val="Calibri"/>
        <color rgb="FF1155CC"/>
        <sz val="11.0"/>
        <u/>
      </rPr>
      <t>https://mosip.atlassian.net/browse/INJIWEB-1765</t>
    </r>
  </si>
  <si>
    <t>INJIWEB-1714_TC-08</t>
  </si>
  <si>
    <t>Verify the user select cancel.</t>
  </si>
  <si>
    <t>1.Navigate to the mock services screen.
 2.Click on openinjiwallet button.
 3.The screen loader is displayed.
 4.Navigate to the verifer name screen.
 5.Click on the cancel</t>
  </si>
  <si>
    <t>It should be redirect to the confirmation screen</t>
  </si>
  <si>
    <t>INJIWEB-1714_TC-09</t>
  </si>
  <si>
    <t>Verify the Confirmation screen.</t>
  </si>
  <si>
    <t>1.Navigate to the mock services screen.
 2.Click on openinjiwallet button.
 3.The screen loader is displayed.
 4.Navigate to the verifer name screen.
 5.Click on the cancel and observe the screen</t>
  </si>
  <si>
    <t>"Are sure you want to cancel " screen should be displayed.</t>
  </si>
  <si>
    <t>INJIWEB-1714_TC-10</t>
  </si>
  <si>
    <t>Verify the yes cancel button on confirmation
 screen</t>
  </si>
  <si>
    <t>1.Navigate to the mock services screen.
 2.Click on openinjiwallet button.
 3.The screen loader is displayed.
 4.Navigate to the verifer name screen.
 5.Click on the cancel .
 6.Observe the yes cancel button</t>
  </si>
  <si>
    <t>Yes cancel button should be dispalyed on the confirmation screen.</t>
  </si>
  <si>
    <t>INJIWEB-1714_TC-11</t>
  </si>
  <si>
    <t>Verify the Go back button on confirmation screen.</t>
  </si>
  <si>
    <t>1.Navigate to the mock services screen.
 2.Click on openinjiwallet button.
 3.The screen loader is displayed.
 4.Navigate to the verifer name screen.
 5.Click on the cancel.
 6.Observe the Go back button.</t>
  </si>
  <si>
    <t>Go back button should be redirected to the verifier screen.</t>
  </si>
  <si>
    <t>INJIWEB-1714_TC-12</t>
  </si>
  <si>
    <t>Verify the credential share when user cancel</t>
  </si>
  <si>
    <t>1.Navigate to the credential selection screen.
 2.Click on cancel button.</t>
  </si>
  <si>
    <t>It should be redirect with error=access_denied.</t>
  </si>
  <si>
    <t>INJIWEB-1714_TC-13</t>
  </si>
  <si>
    <t>response sent to verifier.</t>
  </si>
  <si>
    <t>Verify the credential sharing when user
 close the tab.</t>
  </si>
  <si>
    <t>1.Navigate to the credential selection screen.
 2.Close the tab manually.</t>
  </si>
  <si>
    <t>It should be shown an error.</t>
  </si>
  <si>
    <t>INJIWEB-1714_TC-14</t>
  </si>
  <si>
    <t>Verify the network error during VP sending</t>
  </si>
  <si>
    <t>1.Navigate to the credential selection screen.
 2.Disconnect the Internet connection.
 3.Observe the screen.</t>
  </si>
  <si>
    <t>It should be shown an error message is
 "Network error ,please try agaon later".</t>
  </si>
  <si>
    <t>INJIWEB-1714_TC-15</t>
  </si>
  <si>
    <t>UI Consistency</t>
  </si>
  <si>
    <t>Verify the login screen display.</t>
  </si>
  <si>
    <t>1.Launch the injiweb portal.
 2.Open the login screen.
 3.Observe the layout and font and colours.</t>
  </si>
  <si>
    <t>It should be displayed as per the figma screen.</t>
  </si>
  <si>
    <t>INJIWEB-1714_TC-16</t>
  </si>
  <si>
    <t>Verify the Trust screen model.</t>
  </si>
  <si>
    <t>1.Navigate to the Trust screen.
 2.Observe the TRust screen</t>
  </si>
  <si>
    <t>Trust screen should be matches as per the figma</t>
  </si>
  <si>
    <t>INJIWEB-1714_TC-17</t>
  </si>
  <si>
    <t>Verify the credential selection screen.</t>
  </si>
  <si>
    <t>1.Navigate to the credential selection
 screen
 2.Observe the layout and font and colours.</t>
  </si>
  <si>
    <t>Credential selction should be matches as per the
 figma screen</t>
  </si>
  <si>
    <t>INJIWEB-1714_TC-18</t>
  </si>
  <si>
    <t>Verify the request malformed</t>
  </si>
  <si>
    <t>1.Open the verifier request screen.
 2.launch the verifier with missing credentials.
 3.Observe the wallet behaviour.</t>
  </si>
  <si>
    <t>It should be Shown error screen: “Invalid request
 from verifier.” No credential flow proceeds.</t>
  </si>
  <si>
    <t>INJIWEB-1714_TC-19</t>
  </si>
  <si>
    <t>Verify the wallet during the temporary lock</t>
  </si>
  <si>
    <t>1.Launch the injiweb portal.
 2.Login with Incorret passcode 5 times.
 3.Observe the screen.</t>
  </si>
  <si>
    <t>t should not be permitted to the next screen.</t>
  </si>
  <si>
    <t>INJIWEB-1714_TC-20</t>
  </si>
  <si>
    <t>Verify the wallet during the permanent lock</t>
  </si>
  <si>
    <t>1.Launch the injiweb portal.
 2.Login with Incorret passcode multiple times
 3.Observe the screen.</t>
  </si>
  <si>
    <t>The user should be set a new passcode and stored cards should be deleted from that account.</t>
  </si>
  <si>
    <t>INJIWEB-1714_TC-21</t>
  </si>
  <si>
    <t>Verify the wallet locked</t>
  </si>
  <si>
    <t>It should be shown "Wallet locked please try agin
 after some time".</t>
  </si>
  <si>
    <t>INJIWEB-1714_TC-22</t>
  </si>
  <si>
    <t>Verify the user enters wrong pin</t>
  </si>
  <si>
    <t>1.Launch the injiweb portal.
 2.Login with Incorret passcode.
 3.Observe the screen.</t>
  </si>
  <si>
    <t>Error messgae should be shown,"incorrect passcode
 please try again later"</t>
  </si>
  <si>
    <t>INJIWEB-1714_TC-23</t>
  </si>
  <si>
    <t>Verify the backend failure.</t>
  </si>
  <si>
    <t>1.Launch the injiwebportal.
 2.Start with flow.
 3.Stimulate the backend.</t>
  </si>
  <si>
    <t>It should be Shown fallback error: “Technical issue,
 please try again later.”. Redirect with error=server_error</t>
  </si>
  <si>
    <t>INJIWEB-1714_TC-24</t>
  </si>
  <si>
    <t>Wallet account</t>
  </si>
  <si>
    <t>Verify the user have active wallet account with
 at least one stored credentials.</t>
  </si>
  <si>
    <t>1.Navigate the Injiweb portal.
 2.Login with valid credentials.
 3.Navigate to the home page .
 4.Select the stored cards button.</t>
  </si>
  <si>
    <t>At least one credential should be available and displayed properly.</t>
  </si>
  <si>
    <t>INJIWEB-1714_TC-25</t>
  </si>
  <si>
    <t>Verify when wallet have no stored credentials</t>
  </si>
  <si>
    <t>It should be dispalyed as "No matching credentials found"</t>
  </si>
  <si>
    <t>INJIWEB-1714_TC-26</t>
  </si>
  <si>
    <t>Verify the try to trust verifier incognito mode.</t>
  </si>
  <si>
    <t>1.Navigate to the mock services screen in
 incoginto mode.
 2.Click on openinjiwallet button.
 3.The screen loader is displayed.
 4.Observe the screen</t>
  </si>
  <si>
    <t>Trust screen should be displayed correctely.</t>
  </si>
  <si>
    <t>INJIWEB-1714_TC-27</t>
  </si>
  <si>
    <t>Verify the reverify trusted verifier in incoginto
 mode.</t>
  </si>
  <si>
    <t>1.In cognito mode open the same verifier
 again
 2.Observe the screen.</t>
  </si>
  <si>
    <t>INJIWEB-1714_TC-28</t>
  </si>
  <si>
    <t>Verify the trusted verifier after deleting wallet.</t>
  </si>
  <si>
    <t>1.Navigate to the injiwallet screen.
 2.Delete the wallet.
 3.Try to re login
 4.verify the previous trusted verifier.</t>
  </si>
  <si>
    <t>It should be redirected to the trust screen.</t>
  </si>
  <si>
    <t>INJIWEB-1717</t>
  </si>
  <si>
    <t>UI- Results &amp; Redirect
  back Verifer + Negative
  Flows (No Internet 
 connectivity</t>
  </si>
  <si>
    <t>INJIWEB-1717_TC-01</t>
  </si>
  <si>
    <t>Verify the Login</t>
  </si>
  <si>
    <t>1.Navigate to the mock services screen.
 2.Launch the injiweb portal.
 3.Login with valid credential.</t>
  </si>
  <si>
    <t>The User should be login succesfully.</t>
  </si>
  <si>
    <t>INJIWEB-1717_TC-02</t>
  </si>
  <si>
    <t>Verify the homepage.</t>
  </si>
  <si>
    <t>1.Launch the injiweb portal.
 2.Login with valid credential.
 3.Observe the homescreen.</t>
  </si>
  <si>
    <t>Homescreen should be displayed properly</t>
  </si>
  <si>
    <t>INJIWEB-1717_TC-03</t>
  </si>
  <si>
    <t>Verify the verifier name page.</t>
  </si>
  <si>
    <t>1.Navigate to the home screen.
 2.The verifier screen dispalyed
 3.Observe the verifier screen,.</t>
  </si>
  <si>
    <r>
      <rPr>
        <rFont val="Calibri"/>
        <color rgb="FF1155CC"/>
        <sz val="11.0"/>
        <u/>
      </rPr>
      <t>Verifer screen should displayed with two options,</t>
    </r>
    <r>
      <rPr>
        <rFont val="Calibri"/>
        <sz val="11.0"/>
      </rPr>
      <t xml:space="preserve">
 1.Yes,I trust this verifier.
 2. No, I dion't trust this verifier</t>
    </r>
  </si>
  <si>
    <t>INJIWEB-1717_TC-04</t>
  </si>
  <si>
    <t>Verifiy the Yes trusted this verifier button</t>
  </si>
  <si>
    <t>1.Navigate to the Verifier screen
 2.Click on the Yes trusted verifier button.
 3.Observe the screen.</t>
  </si>
  <si>
    <t>It should be redirect to the requesting credential
 screen.</t>
  </si>
  <si>
    <t>INJIWEB-1717_TC-05</t>
  </si>
  <si>
    <t>Verify the No,I dont trust this verifier button</t>
  </si>
  <si>
    <t>1.Navigate to the Verifier screen
 2.Click on the No trusted verifier button.
 3.Observe the screen.</t>
  </si>
  <si>
    <t>It should be on the credential screen</t>
  </si>
  <si>
    <t>INJIWEB-1717_TC-06</t>
  </si>
  <si>
    <t>Verify the cancel button verifer screen.</t>
  </si>
  <si>
    <t>1.Navigate to the Verifier screen
 2.Click on the No Cancel button.
 3.Observe the screen.</t>
  </si>
  <si>
    <t>It should be redirect to the confirmation screen.</t>
  </si>
  <si>
    <t>INJIWEB-1717_TC-07</t>
  </si>
  <si>
    <t>Verify the requesting credentials page.</t>
  </si>
  <si>
    <t>1.Navigate to the Verifier screen
 2.Click on the Yes trusted verifier button.
 3.requesting credentials screen appeared.</t>
  </si>
  <si>
    <t>The screen should be displayed with credentials
 with selection box.</t>
  </si>
  <si>
    <t>INJIWEB-1717_TC-08</t>
  </si>
  <si>
    <t>Verify the requesting credential page
 functionality</t>
  </si>
  <si>
    <t>1.Navigate to the Verifier screen
 2.Click on the Yes trusted verifier button.
 3.Requesting credentials screen appeared.
 4.Click on the selection box.</t>
  </si>
  <si>
    <t>The requesting credential should be selected.</t>
  </si>
  <si>
    <t>INJIWEB-1717_TC-09</t>
  </si>
  <si>
    <t>Verify the cancel button functionality</t>
  </si>
  <si>
    <t>1.Navigate to the Verifier screen
 2.Click on the Yes trusted verifier button.
 3.Requesting credentials screen appeared.
 4.Click on the cancel button</t>
  </si>
  <si>
    <t>It should be shows an confirmation message.</t>
  </si>
  <si>
    <t>INJIWEB-1717_TC-10</t>
  </si>
  <si>
    <t>Verify the I consent&amp; share functionality.</t>
  </si>
  <si>
    <t>1.Navigate to the Verifier screen
 2.Click on the Yes trusted verifier button.
 3.Requesting credentials screen appeared.
 4.Click on the consent &amp; share button.</t>
  </si>
  <si>
    <t>It should be redirected to the secure credential
 presentation screen.</t>
  </si>
  <si>
    <t>INJIWEB-1717_TC-11</t>
  </si>
  <si>
    <t>Verify the multiple vc selection using consent 
 and share button</t>
  </si>
  <si>
    <t>1.Navigate to the Verifier screen
 2.Click on the Yes trusted verifier button.
 3.Requesting credentials screen appeared.
 4.Click on the consent &amp; share button multiple times.</t>
  </si>
  <si>
    <t>All the selected credential should be shared.</t>
  </si>
  <si>
    <t>INJIWEB-1717_TC-12</t>
  </si>
  <si>
    <t>Verify when selcting multiple vc brtter to have select all opton</t>
  </si>
  <si>
    <t>The select all opton should be present.</t>
  </si>
  <si>
    <r>
      <rPr>
        <rFont val="Calibri"/>
        <color rgb="FF1155CC"/>
        <sz val="11.0"/>
        <u/>
      </rPr>
      <t>https://mosip.atlassian.net/browse/INJIWEB-1763</t>
    </r>
  </si>
  <si>
    <t>INJIWEB-1717_TC-13</t>
  </si>
  <si>
    <t>Verify the Loading screen dispaly.</t>
  </si>
  <si>
    <t>1.Navigate to the Verifier screen
 2.Click on the Yes trusted verifier button.
 3.Requesting credentials screen appeared.
 4.Click on the consent &amp; share button.
 5.Observe the screen.</t>
  </si>
  <si>
    <t>The loading screen should be displayed.</t>
  </si>
  <si>
    <t>INJIWEB-1717_TC-14</t>
  </si>
  <si>
    <t>Verify the success screen after successfull
 submisssion</t>
  </si>
  <si>
    <t>1.Navigate to the Verifier screen
 2.Click on the Yes trusted verifier button.
 3.Requesting credentials screen appeared.
 4.Click on the consent &amp; share button.
 5.The loading screen displayed .</t>
  </si>
  <si>
    <t>A success messge should be displayed after the
 loading screen.</t>
  </si>
  <si>
    <t>INJIWEB-1717_TC-15</t>
  </si>
  <si>
    <t>Verify the shared screen</t>
  </si>
  <si>
    <t>1.Navigate to the Verifier screen
 2.Click on the Yes trusted verifier button.
 3.Requesting credentials screen appeared.
 4.Click on the consent &amp; share button.
 5.Naviagate to the loading screen.</t>
  </si>
  <si>
    <t>A sharing screen should be dispalyed with credential
 with timer.</t>
  </si>
  <si>
    <t>INJIWEB-1717_TC-16</t>
  </si>
  <si>
    <t>Verify the redirect back to the verifier</t>
  </si>
  <si>
    <t>1.Navigate to the success screen
 2.Observe the screen.</t>
  </si>
  <si>
    <t>User should be redirected to the verifier page.</t>
  </si>
  <si>
    <t>INJIWEB-1717_TC-17</t>
  </si>
  <si>
    <t>Verify the redirect back manually.</t>
  </si>
  <si>
    <t>1.Navigate to the success screen
 2.Observe the timer for redirect.
 3.Click on back button.
 4.Observe the screen</t>
  </si>
  <si>
    <t>User should be navigates back to the verifier page.</t>
  </si>
  <si>
    <t>INJIWEB-1717_TC-18</t>
  </si>
  <si>
    <t>Verify the rediect back timer.</t>
  </si>
  <si>
    <t>1.Navigate to the success screen
 2.Observe the timer for redirect.</t>
  </si>
  <si>
    <t>Redirect should be happens automatically with in 5
 seconds.</t>
  </si>
  <si>
    <t>INJIWEB-1717_TC-19</t>
  </si>
  <si>
    <t>Verify the rediect back timer 5 seconds.</t>
  </si>
  <si>
    <t>The rediect time should be 5 seconds</t>
  </si>
  <si>
    <t>INJIWEB-1717_TC-20</t>
  </si>
  <si>
    <t>Verify the no internet connectivity</t>
  </si>
  <si>
    <t>1.Navigate to the Verifier screen
 2.Click on the Yes trusted verifier button.
 3.Stimulate the network connection.
 4.Click on share button.</t>
  </si>
  <si>
    <t>Header: "Oops! An Error Occured."
 Sub-header : There was a technical issue while processing your request. You can try again in a moment.
 CTA: Close should be displayed</t>
  </si>
  <si>
    <t>INJIWEB-1717_TC-21</t>
  </si>
  <si>
    <t>Verify the API error.</t>
  </si>
  <si>
    <t>1.Navigate to the Verifier screen.
 2.Click on the Yes trusted verifier button.
 3.Stimulate the backend API.
 4.Observe the screen.</t>
  </si>
  <si>
    <t>Error message should be shown.</t>
  </si>
  <si>
    <t>INJIWEB-1717_TC-22</t>
  </si>
  <si>
    <t>Verify the presentation API correctely.</t>
  </si>
  <si>
    <t>1.Navigate to the Verifier screen.
 2.Open the Network tab.
 3.Click the share button.
 4.Observe the API request sent to response_uri</t>
  </si>
  <si>
    <t>API request should be sent correctely with response
 returns HTTP 200</t>
  </si>
  <si>
    <t>INJIWEB-1717_TC-23</t>
  </si>
  <si>
    <t>Verify the response from verifier includes</t>
  </si>
  <si>
    <t>The Verifier should be return a redirect_uri in the
 JSON response</t>
  </si>
  <si>
    <t>INJIWEB-1717_TC-24</t>
  </si>
  <si>
    <t>Verify the failure conditon after sharing,</t>
  </si>
  <si>
    <t>1.Navigate to the Verifier screen
 2.Click on the Yes trusted verifier button.
 3 The network connection is On.stimulate back end..
 4.Click on share button.
 5.Observe the screen</t>
  </si>
  <si>
    <t>INJIWEB-1717_TC-25</t>
  </si>
  <si>
    <t>Verify the time out condition.</t>
  </si>
  <si>
    <t>1.Navigate to the Verifier screen
 2.Click on the Yes trusted verifier button.
 3.Click on the consent &amp; share button.
 4.Observe the behaviour when API dealy</t>
  </si>
  <si>
    <t>It Should be shown proper error message.</t>
  </si>
  <si>
    <t>INJIWEB-1717_TC-26</t>
  </si>
  <si>
    <t>Verify the layout different screen sizes.
 (Desktop,tab,mobile) view.</t>
  </si>
  <si>
    <t>Test the screen in different screen sizes.
 1.Navigate to the Verifier screen
 2.Click on the Yes trusted verifier button.
 3.Requesting credentials screen appeared.
 4.Click on the consent &amp; share button.
 5.The loading screen displayed .</t>
  </si>
  <si>
    <t>The content properly alligned in diffrent screen
 sizes.</t>
  </si>
  <si>
    <t>INJIWEB-1735</t>
  </si>
  <si>
    <t>Enhance Error Handling
  in OpenID4VP Web Flow
  with Retry and Close Options</t>
  </si>
  <si>
    <t>INJIWEB-1735_TC-01</t>
  </si>
  <si>
    <t>Verify the verify name page.</t>
  </si>
  <si>
    <t>1.Launch the mockservices.
 2.Click on the openinjiweb button.
 3.Login with valid vredentials.
 4.Observe the screen.</t>
  </si>
  <si>
    <t>The verifier name should be displayed.</t>
  </si>
  <si>
    <t>INJIWEB-1735_TC-02</t>
  </si>
  <si>
    <t>Verify the error handling for first API
 failure.</t>
  </si>
  <si>
    <t>1.Trigger the API call manually.
 2.Click on verifier screen.
 3.Observe the error on screen.</t>
  </si>
  <si>
    <t>Error mode screen should be displayed
 with title and message and retry button.</t>
  </si>
  <si>
    <t>INJIWEB-1735_TC-03</t>
  </si>
  <si>
    <t>Verify the title on the error screen
 .</t>
  </si>
  <si>
    <t>1.Navigate to the error screen
 2.Observe the title.</t>
  </si>
  <si>
    <t>Title: “Something went wrong” should be
 displayed.</t>
  </si>
  <si>
    <t>INJIWEB-1735_TC-04</t>
  </si>
  <si>
    <t>Verify the message on the error screen,</t>
  </si>
  <si>
    <t>1.Navigate to the error screen
 2.Observe the message on the error screen.</t>
  </si>
  <si>
    <t>Message: “We couldn’t complete your request.
 Please try again.” should be displayed.</t>
  </si>
  <si>
    <t>INJIWEB-1735_TC-05</t>
  </si>
  <si>
    <t>Verify the Retry button.</t>
  </si>
  <si>
    <t>1.Navigate to the error screen
 2.Click on the retry button.</t>
  </si>
  <si>
    <t>The same API call should be triggered</t>
  </si>
  <si>
    <t>INJIWEB-1735_TC-06</t>
  </si>
  <si>
    <t>Verify the second consecutive failure.</t>
  </si>
  <si>
    <t>1.Stimulate the API call again
 2.Click on verifier screen.
 3.Observe the error on screen.</t>
  </si>
  <si>
    <t>The new model screen should be dispalyed with
 the title and message and close button.</t>
  </si>
  <si>
    <t>INJIWEB-1735_TC-07</t>
  </si>
  <si>
    <t>Verify the title on the second error screen
 .</t>
  </si>
  <si>
    <t>1.Navigate to the error screen
 2.Observe the title</t>
  </si>
  <si>
    <t>INJIWEB-1735_TC-08</t>
  </si>
  <si>
    <t>Message: “We couldn’t complete your request.
 Please close and try again later.” should be
 displayed.</t>
  </si>
  <si>
    <t>INJIWEB-1735_TC-09</t>
  </si>
  <si>
    <t>Verify the close button.</t>
  </si>
  <si>
    <t>1.Navigate to the error screen
 2.Click on the close button.</t>
  </si>
  <si>
    <t>User should be redirect to the home page or
 dashboard.</t>
  </si>
  <si>
    <t>INJIWEB-1735_TC-10</t>
  </si>
  <si>
    <t>Verify the success after user click on the
 retries</t>
  </si>
  <si>
    <t>1.Stimulate the API call first time.
 2.Click on Retry button.
 3.Allow the API call second time.
 3.Observe the error on screen</t>
  </si>
  <si>
    <t>It should be redirected to the next screen.</t>
  </si>
  <si>
    <t>INJIWEB-1735_TC-11</t>
  </si>
  <si>
    <t>Verify the error message when internet goes
 offline</t>
  </si>
  <si>
    <t>1.Disconnect the internet
 2.Trigger the API call manually.
 3.Click on verifier screen.
 4.Observe the screen.</t>
  </si>
  <si>
    <t>It should be displayed as Header: "Oops! An
 Error Occured."
 Sub-header : There was a technical issue
 while processing your request. You can try
 again in a moment.</t>
  </si>
  <si>
    <t>INJIWEB-1735_TC-12</t>
  </si>
  <si>
    <t>Verify the verifier reloads or closes the page
 mid-session</t>
  </si>
  <si>
    <t>1.Click on verifier screen.
 2.while doing the flow, do refersh or close the page
 3.Observe the screen.</t>
  </si>
  <si>
    <t>INJIWEB-1735_TC-13</t>
  </si>
  <si>
    <t>Verify the session timeout/cookie invalid error.</t>
  </si>
  <si>
    <t>1.Click on verifier screen.
 2.while doing the flow, wait till session expiry.
 3.Observe the screen.</t>
  </si>
  <si>
    <t>INJIWEB-1735_TC-14</t>
  </si>
  <si>
    <t>Verify the unexpected error from backend.</t>
  </si>
  <si>
    <t>1.Trigger API request.
 2.Observe the verifier screen.</t>
  </si>
  <si>
    <t>INJIWEB-1735_TC-15</t>
  </si>
  <si>
    <t>Verify the trusted verifier screen</t>
  </si>
  <si>
    <t>1.Open the trusted verifier screen.
 2.Observe the content on verifier screen.</t>
  </si>
  <si>
    <t>Content should be matches as per the updated text.
 Make sure you recognise or trust this verifier.
 Once you trust this verifier:
 Your wallet will remember this verifier as trusted.
 This verifier will be added to your trusted list.
 Future verification requests from this verifier will be
 automatically trusted.
 [Yes, I trust this Verifier]
 [No, I don’t trust this Verifier]
 Cancel</t>
  </si>
  <si>
    <t>INJIWEB-1735_TC-16</t>
  </si>
  <si>
    <t>Verify the fallback logo when logouri is not
 passed</t>
  </si>
  <si>
    <t>1.Naviagte to the verifier screen.
 2.Trigger the verify request with logo uri.
 3.Observe the Trusted verifier screen.</t>
  </si>
  <si>
    <t>The fall back logo should be displayed in the place of missing
 logo.</t>
  </si>
  <si>
    <t>INJIWEB-1735_TC-17</t>
  </si>
  <si>
    <t>Verify the error model consistency</t>
  </si>
  <si>
    <t>1.Navigate to the verifer flow.
 2.trigger the error scenarios.</t>
  </si>
  <si>
    <t>Retry and close button should be match as per the Inji screen
 (13 and 16)</t>
  </si>
  <si>
    <t>INJIWEB-1735_TC-18</t>
  </si>
  <si>
    <t>Verify the dynamic based on the error type.</t>
  </si>
  <si>
    <t>1.Navigate to the verifier screen.
 2.Stimulate the different type errors.</t>
  </si>
  <si>
    <t>Error type should be matchees its corresponding message.</t>
  </si>
  <si>
    <t>INJIWEB-1735_TC-19</t>
  </si>
  <si>
    <t>Verify the styling and gradient consistency</t>
  </si>
  <si>
    <t>1.Navigate to the verifier screen.
 2.Observe the font and colour and borders
 and back ground.</t>
  </si>
  <si>
    <t>Model background and gradient should be matches as per Inji theme.</t>
  </si>
  <si>
    <t>INJIWEB-1762</t>
  </si>
  <si>
    <t>Only clicking on the checkbox is working while 
 selecting the VC in OVP flow</t>
  </si>
  <si>
    <t>From mock launch INJI Web portal
 In web portal login and try to select MOSIP 
 National ID (please make sure that it is 
 downloaded in Web wallet</t>
  </si>
  <si>
    <t>The selection should work when we click on the name also.</t>
  </si>
  <si>
    <r>
      <rPr>
        <rFont val="Calibri"/>
        <color rgb="FF1155CC"/>
        <sz val="11.0"/>
        <u/>
      </rPr>
      <t>https://mosip.atlassian.net/browse/INJIWEB-1762</t>
    </r>
  </si>
  <si>
    <t>INJIWEB-1767</t>
  </si>
  <si>
    <t>verifier when the user selects multiple VCs
  (one is Farmer VC and one is Insurance VC</t>
  </si>
  <si>
    <t>Download one Farmer VC and one insurance VC in INJI Web
 From mock services launch the INJI Web portal
 Try to verify both the Farmer VC and insurance vc.
 Observe the response in the mock</t>
  </si>
  <si>
    <t>There should be an appropriate message to the verifier.</t>
  </si>
  <si>
    <r>
      <rPr>
        <rFont val="Calibri"/>
        <color rgb="FF1155CC"/>
        <sz val="11.0"/>
        <u/>
      </rPr>
      <t>https://mosip.atlassian.net/browse/INJIWEB-1767</t>
    </r>
  </si>
  <si>
    <t>INJIWEB-1782</t>
  </si>
  <si>
    <t>Verify the land registry vc</t>
  </si>
  <si>
    <t>1.Navigate to the Injiweb portal.
 2.Login with valid credentials.
 3.Select a lang registry from the issuers page.
 4.Enter the UIN and valid OTP.</t>
  </si>
  <si>
    <t>The Land registry VC should be download successfully.</t>
  </si>
  <si>
    <r>
      <rPr>
        <rFont val="Calibri"/>
        <color rgb="FF1155CC"/>
        <sz val="11.0"/>
        <u/>
      </rPr>
      <t>https://mosip.atlassian.net/browse/INJIWEB-1782</t>
    </r>
  </si>
  <si>
    <t>INJIWEB-1747</t>
  </si>
  <si>
    <t>OpenID4VP Flow - Verifier request URL format change</t>
  </si>
  <si>
    <t>INJIWEB-1747_TC-1</t>
  </si>
  <si>
    <t>Verify the current format URL.</t>
  </si>
  <si>
    <t>1.Navigate to the Mock services flow.
 2.Enter the authorizationRequestUrl.
 https://injiweb.dev-int-inji.mosip.net/
 authorize?authorizationRequestUrl
 3.Observe the screen.</t>
  </si>
  <si>
    <t>It should be shows an error.</t>
  </si>
  <si>
    <t>INJIWEB-1747_TC-2</t>
  </si>
  <si>
    <t>Verify the new URL format.</t>
  </si>
  <si>
    <t>1.Navigate to the Mock services flow.
 2.Enter the authorize?client_id=test
 https://injiweb.dev-int-inji.mosip.net/
 authorize?client_id
 3.Observe the screen.</t>
  </si>
  <si>
    <t>It should be successfully parse all
 openID4vp parameters.</t>
  </si>
  <si>
    <t>INJIWEB-1747_TC-3</t>
  </si>
  <si>
    <t>Verify the query parameters</t>
  </si>
  <si>
    <t>1.Navigate to the mockservices screen.
 2.Use new URL format.
 3.Open the inspect mode.</t>
  </si>
  <si>
    <t>All parameters are correctely passed
 to openid4vp</t>
  </si>
  <si>
    <t>INJIWEB-1747_TC-4</t>
  </si>
  <si>
    <t>Verify the mimoto parse the parameters</t>
  </si>
  <si>
    <t>1.Navigate to the mock services flow.
 2.Trigger the openid4vp.
 3.Open the inspectmode.</t>
  </si>
  <si>
    <t>Mimoto should be successfully parse
 parameters</t>
  </si>
  <si>
    <t>INJIWEB-1747_TC-5</t>
  </si>
  <si>
    <t>Verify the Invalid URL format.</t>
  </si>
  <si>
    <t>1.Navigate to the mockservices screen.
 2.Change the URL format.
 3.Open the inspect mode.</t>
  </si>
  <si>
    <t>It should be returned an error message.</t>
  </si>
  <si>
    <t>INJIWEB-1747_TC-6</t>
  </si>
  <si>
    <t>Verify the OpenID4vp flow with params</t>
  </si>
  <si>
    <t>11.Navigate to the mock services flow.
 2.Trigger the valid URL.
 3.Open the inspect mode.
 4.Perform the flow.</t>
  </si>
  <si>
    <t>Verifier should be receives valid token.</t>
  </si>
  <si>
    <t>INJIWEB-1747_TC-7</t>
  </si>
  <si>
    <t>Verify the response mode</t>
  </si>
  <si>
    <t>1.Open the inspect mode.
 2.Check the network tab.</t>
  </si>
  <si>
    <t>It should be work properly.</t>
  </si>
  <si>
    <t>INJIWEB-1747_TC-8</t>
  </si>
  <si>
    <t>Verify the datashare flow.</t>
  </si>
  <si>
    <t>1.Perform the datashare flow.
 2.Observe the screen.</t>
  </si>
  <si>
    <t>It should be work successfully</t>
  </si>
  <si>
    <t>INJIWEB-1792</t>
  </si>
  <si>
    <t>Double scrollbars displayed on the view card
  after clicking view card option.</t>
  </si>
  <si>
    <t>1.Launch the injiweb portal
 2.Login with valid credentials.
 3.Navigate the stored cards page.
 4.Click on 3 dot menu on selected card.
 5.Observe the scrollbars on view card.</t>
  </si>
  <si>
    <t>Only one scrollbar should be present.</t>
  </si>
  <si>
    <r>
      <rPr>
        <rFont val="Calibri"/>
        <color rgb="FF1155CC"/>
        <sz val="11.0"/>
        <u/>
      </rPr>
      <t>https://mosip.atlassian.net/browse/INJIWEB-1792</t>
    </r>
  </si>
  <si>
    <t>INJIWEB-1748</t>
  </si>
  <si>
    <t>Verify scroll down to see the options after 
 clicking on the 3 dots for the last row VC.</t>
  </si>
  <si>
    <t>Launch the Injiweb portal.
 2.Login with valid credentials.
 3.Navigate to the Injiweb home page.
 4.Click on the stored cards page (please make sure
  there are a lot of vc’s downloaded as we can 
 reproduce the issue when the screen is full)
 5.click on the 3-dot menu on the last row stored card.
 6.Observe the screen.</t>
  </si>
  <si>
    <t>The dropdown options should be displayed properly and fully visible after clicking on the 3-dot menu</t>
  </si>
  <si>
    <r>
      <rPr>
        <rFont val="Calibri"/>
        <color rgb="FF1155CC"/>
        <sz val="11.0"/>
        <u/>
      </rPr>
      <t>https://mosip.atlassian.net/browse/INJIWEB-1748</t>
    </r>
  </si>
  <si>
    <t>INJIWEB-1691</t>
  </si>
  <si>
    <t>Code coverage and security hotspot fix</t>
  </si>
  <si>
    <t>Check the unit test cases</t>
  </si>
  <si>
    <t>It should be work properly</t>
  </si>
  <si>
    <r>
      <rPr>
        <rFont val="Calibri"/>
        <color rgb="FF1155CC"/>
        <sz val="11.0"/>
        <u/>
      </rPr>
      <t>https://mosip.atlassian.net/browse/INJIWEB-1691</t>
    </r>
  </si>
  <si>
    <t>INJIWEB-1789</t>
  </si>
  <si>
    <t>Verify UI Alignment &amp; Responsive Layout Issues in 
 Issuers Page and Credential Types Page after we select the issuer for the second time</t>
  </si>
  <si>
    <t>1.Launch the Injiweb portal.
 2.Select an issuer.
 3.Go back an select an issuer.
 2.Observe the screen.</t>
  </si>
  <si>
    <t>It should be alligned properly.</t>
  </si>
  <si>
    <r>
      <rPr>
        <rFont val="Calibri"/>
        <color rgb="FF1155CC"/>
        <sz val="11.0"/>
        <u/>
      </rPr>
      <t>https://mosip.atlassian.net/browse/INJIWEB-1789</t>
    </r>
  </si>
  <si>
    <t>INJIWEB-1787</t>
  </si>
  <si>
    <t>Verify FAQ Question Text Appears Significantly Larger Than Answer Text</t>
  </si>
  <si>
    <t>1.Open Inji Wallet Web.
 2.Go to FAQ from the menu.
 3.Observe the font size difference between:
  FAQ question headers
  FAQ answer text</t>
  </si>
  <si>
    <t>Font sizes for question and answer should maintain a consistent visual hierarchy</t>
  </si>
  <si>
    <r>
      <rPr>
        <rFont val="Calibri"/>
        <color rgb="FF1155CC"/>
        <sz val="11.0"/>
        <u/>
      </rPr>
      <t>https://mosip.atlassian.net/browse/INJIWEB-1787</t>
    </r>
  </si>
  <si>
    <t>INJIWEB-1755</t>
  </si>
  <si>
    <t>Enhancement - Verify the view passcode icon
  should be modified when enabled</t>
  </si>
  <si>
    <t>1.Launch the injiweb portal.
 2.login with gmail.
 3.Observe the passcode screen page,</t>
  </si>
  <si>
    <t>Make it slightly darkened (active) when the passcode is visible,
 lighter (muted) when hidden.</t>
  </si>
  <si>
    <r>
      <rPr>
        <rFont val="Calibri"/>
        <color rgb="FF1155CC"/>
        <sz val="11.0"/>
        <u/>
      </rPr>
      <t>https://mosip.atlassian.net/browse/INJIWEB-1755</t>
    </r>
  </si>
  <si>
    <t>INJIWEB-1728</t>
  </si>
  <si>
    <t>Verify Sunbird crednetial download is failing in collab env</t>
  </si>
  <si>
    <t>1.Launch inji-web portal
 2.Select Login as guest account
 3.Select sunbird credential
 4.Select any option
 5.Consent option
 6.Provide valid detail to download the credentials</t>
  </si>
  <si>
    <t>Credential should be downloaded properly</t>
  </si>
  <si>
    <r>
      <rPr>
        <rFont val="Calibri"/>
        <color rgb="FF1155CC"/>
        <sz val="11.0"/>
        <u/>
      </rPr>
      <t>https://mosip.atlassian.net/browse/INJIWEB-1728</t>
    </r>
  </si>
  <si>
    <t>INJIWEB-1774</t>
  </si>
  <si>
    <t>(Security Testing)</t>
  </si>
  <si>
    <t>Security testing: Cross-site request forgery (CSRF)</t>
  </si>
  <si>
    <t>Security testing</t>
  </si>
  <si>
    <r>
      <rPr>
        <rFont val="Calibri"/>
        <color rgb="FF1155CC"/>
        <sz val="11.0"/>
        <u/>
      </rPr>
      <t>https://mosip.atlassian.net/browse/INJIWEB-1774</t>
    </r>
  </si>
  <si>
    <t>INJIWEB-1775</t>
  </si>
  <si>
    <t>Security testing: setAccessible(true) bypasses Java's access control checks</t>
  </si>
  <si>
    <r>
      <rPr>
        <rFont val="Calibri"/>
        <color rgb="FF1155CC"/>
        <sz val="11.0"/>
        <u/>
      </rPr>
      <t>https://mosip.atlassian.net/browse/INJIWEB-1775</t>
    </r>
  </si>
  <si>
    <t>INJIWEB-1776</t>
  </si>
  <si>
    <t>Security testing: subprocesses without shell=True avoids shell injection vulnerabilities</t>
  </si>
  <si>
    <r>
      <rPr>
        <rFont val="Calibri"/>
        <color rgb="FF1155CC"/>
        <sz val="11.0"/>
        <u/>
      </rPr>
      <t>https://mosip.atlassian.net/browse/INJIWEB-1776</t>
    </r>
  </si>
  <si>
    <t>INJIWEB-1713</t>
  </si>
  <si>
    <t>INJIWEB-1713_11</t>
  </si>
  <si>
    <t>Verify Userid is not present in the session</t>
  </si>
  <si>
    <t>1.Login with authentication token login.
 2.Create wallet.
 3.Unlock wallet.
 post
 https://api.collab.mosip.net/v1/mimoto/wallets/{walletId}/trusted-verifiers</t>
  </si>
  <si>
    <t>Should get 401 error code
 {
 "errorCode": "unauthorized",
 "errorMessage": "User ID not found in session"
 }</t>
  </si>
  <si>
    <r>
      <rPr>
        <rFont val="Calibri"/>
        <color rgb="FF1155CC"/>
        <sz val="11.0"/>
        <u/>
      </rPr>
      <t>https://mosip.atlassian.net/browse/INJIWEB-1733</t>
    </r>
  </si>
  <si>
    <t>TC_Mimoto_AddTrustedVerifier_05</t>
  </si>
  <si>
    <t>INJIWEB-1713_10</t>
  </si>
  <si>
    <t>Verify lock wallet id with valid verifier id</t>
  </si>
  <si>
    <t>1.Login with authentication token login.
 2.Create wallet.
 3.lock wallet.
 post
 https://api.collab.mosip.net/v1/mimoto/wallets/{walletId}/trusted-verifiers</t>
  </si>
  <si>
    <t>Should get 400 error code
 {
 "errorCode": "wallet_locked",
 "errorMessage": "Wallet is locked"
 }</t>
  </si>
  <si>
    <r>
      <rPr>
        <rFont val="Calibri"/>
        <color rgb="FF1155CC"/>
        <sz val="11.0"/>
        <u/>
      </rPr>
      <t>https://mosip.atlassian.net/browse/INJIWEB-1741</t>
    </r>
  </si>
  <si>
    <t>TC_Mimoto_VerifiablePresentationAuthorization_05</t>
  </si>
  <si>
    <t>INJIWEB-1704</t>
  </si>
  <si>
    <t>Verify Create Presentation with null/empty in the wallet id</t>
  </si>
  <si>
    <t>1.Login with authentication token login.
 2.Create wallet.
 4.pass a valid "verifierAuthorizationRequestUrl"
 post
 https://api.collab.mosip.net/v1/mimoto/wallets/{walletId}/presentations</t>
  </si>
  <si>
    <t>Should get 400 error code
 {
 "errorCode": "invalid_request",
 "errorMessage": "Invalid Wallet ID. Session and request Wallet ID do not match"
 }</t>
  </si>
  <si>
    <r>
      <rPr>
        <rFont val="Calibri"/>
        <color rgb="FF1155CC"/>
        <sz val="11.0"/>
        <u/>
      </rPr>
      <t>https://mosip.atlassian.net/browse/INJIWEB-1731</t>
    </r>
  </si>
  <si>
    <t>TC_Mimoto_VerifiablePresentationAuthorizationNeg_01</t>
  </si>
  <si>
    <t>INJIWEB-1704_08</t>
  </si>
  <si>
    <t>Verify Create Presentation in wallet OpenID4VP with Lock WalletId.</t>
  </si>
  <si>
    <r>
      <rPr>
        <rFont val="Calibri"/>
        <color rgb="FF1155CC"/>
        <sz val="11.0"/>
        <u/>
      </rPr>
      <t>https://mosip.atlassian.net/browse/INJIWEB-1732</t>
    </r>
  </si>
  <si>
    <t>TC_Mimoto_GetCredentialsForPresentation_9</t>
  </si>
  <si>
    <t>INJIWEB-1712</t>
  </si>
  <si>
    <t>INJIWEB-1712_08</t>
  </si>
  <si>
    <t>Handles user submission or rejection of a presentation</t>
  </si>
  <si>
    <t>Verify valid presenation id and Lock wallet id</t>
  </si>
  <si>
    <t>1.Login with authentication token login.
 2.Create wallet.
 3.Valid credetails id.
 4.without unlock.
 patch
 https://api.collab.mosip.net/v1/mimoto/wallets/{walletId}/presentations/{presentationId}</t>
  </si>
  <si>
    <r>
      <rPr>
        <rFont val="Calibri"/>
        <color rgb="FF1155CC"/>
        <sz val="11.0"/>
        <u/>
      </rPr>
      <t>https://mosip.atlassian.net/browse/INJIWEB-1740</t>
    </r>
  </si>
  <si>
    <t>TC_Mimoto_GetCredentialsForPresentation_06</t>
  </si>
  <si>
    <t>INJIWEB-1711</t>
  </si>
  <si>
    <t>Verify presenattion id with null/empty</t>
  </si>
  <si>
    <t>1.Login with authentication token login.
 2.Create wallet.
 3.Unlock wallet.
 4.null/empty presentation id.
 get
 https://api.collab.mosip.net/v1/mimoto/wallets/{walletId}/presentations/{presentationId}</t>
  </si>
  <si>
    <t>should pass 400 error code
 {
 "errorCode": "invalid_request",
 "errorMessage": "Presentation not found in session"
 }</t>
  </si>
  <si>
    <r>
      <rPr>
        <rFont val="Calibri"/>
        <color rgb="FF1155CC"/>
        <sz val="11.0"/>
        <u/>
      </rPr>
      <t>https://mosip.atlassian.net/browse/INJIWEB-1739</t>
    </r>
  </si>
  <si>
    <t>TC_Mimoto_GetCredentialsForPresentation_03</t>
  </si>
  <si>
    <t>Verify wallet id with null/empty</t>
  </si>
  <si>
    <t>1.Login with authentication token login.
 2.Create wallet.
 3.Unlock wallet.
 4.null/empty walletid.
 get
 https://api.collab.mosip.net/v1/mimoto/wallets/{walletId}/presentations/{presentationId}</t>
  </si>
  <si>
    <t>should pass 400 error code
 {
 "errorCode": "invalid_request",
 "errorMessage": "Invalid Wallet ID. Session and request Wallet ID do not match"
 }</t>
  </si>
  <si>
    <r>
      <rPr>
        <rFont val="Calibri"/>
        <color rgb="FF1155CC"/>
        <sz val="11.0"/>
        <u/>
      </rPr>
      <t>https://mosip.atlassian.net/browse/INJIWEB-1738</t>
    </r>
  </si>
  <si>
    <t>TC_Mimoto_GetCredentialsForPresentationNeg_01</t>
  </si>
  <si>
    <t>INJIWEB-1711_08</t>
  </si>
  <si>
    <t>Verify edge case with presentation id and valid wallet id</t>
  </si>
  <si>
    <t>1.Login with authentication token login.
 2.Create wallet.
 3.Unlock wallet.
 4.Invalid presentation id.
 get
 https://api.collab.mosip.net/v1/mimoto/wallets/{walletId}/presentations/{presentationId}</t>
  </si>
  <si>
    <t>Should be covered from functional side</t>
  </si>
  <si>
    <r>
      <rPr>
        <rFont val="Calibri"/>
        <color rgb="FF1155CC"/>
        <sz val="11.0"/>
        <u/>
      </rPr>
      <t>https://mosip.atlassian.net/browse/INJIWEB-1737</t>
    </r>
  </si>
  <si>
    <t>INJIWEB-1711_06</t>
  </si>
  <si>
    <t>1.Login with authentication token login.
 2.Create wallet.
 3.Valid presentation id.
 get
 https://api.collab.mosip.net/v1/mimoto/wallets/{walletId}/presentations/{presentationId}</t>
  </si>
  <si>
    <r>
      <rPr>
        <rFont val="Calibri"/>
        <color rgb="FF1155CC"/>
        <sz val="11.0"/>
        <u/>
      </rPr>
      <t>https://mosip.atlassian.net/browse/INJIWEB-1736</t>
    </r>
  </si>
  <si>
    <t>INJIWEB-1641</t>
  </si>
  <si>
    <t>Support MOSIP ID VCs
 Verification post download
 (OpenID4VP /authorize
 Endpoint Flow with
 DataShare</t>
  </si>
  <si>
    <t>INJIWEB-1641_TC-01</t>
  </si>
  <si>
    <t>Verify the Injiweb home page.</t>
  </si>
  <si>
    <t>1.Naviagate to the Injiweb portal.
 2.Login with valid credentials.
 3.Observe the screen.</t>
  </si>
  <si>
    <t>Injiweb homopage should be displayed.</t>
  </si>
  <si>
    <t>INJIWEB-1641_TC-02</t>
  </si>
  <si>
    <t>Verfy the mosip vc is download from injiweb</t>
  </si>
  <si>
    <t>1.Navigate to the issuers page.
 2.Select a mosip vc to download.
 3.Enter the UIN and OTP .
 4.Click on download.</t>
  </si>
  <si>
    <t>Mosip vc should be download.</t>
  </si>
  <si>
    <t>INJIWEB-1641_TC-03</t>
  </si>
  <si>
    <t>Verify the Mosip vc using inji verify.</t>
  </si>
  <si>
    <t>1.Navigate to the Injiverify portal.
 2.select the upload QR code option,
 3.Upload the QR Code.</t>
  </si>
  <si>
    <t>Mosip Vc should be verified.</t>
  </si>
  <si>
    <t>INJIWEB-1641_TC-04</t>
  </si>
  <si>
    <t>Verify the Reg-client genrated
 mosipUIN vc verification</t>
  </si>
  <si>
    <t>1.Navigate to the Injiverify portal.
 2.Select reg client UIN generated VC.
 3.Observe the screen.</t>
  </si>
  <si>
    <t>Vc should be verified succeessfully and
 credentials details should be downloaded with
 correctely.</t>
  </si>
  <si>
    <t>UIN should be generated from Reg-clienet</t>
  </si>
  <si>
    <t>INJIWEB-1641_TC-05</t>
  </si>
  <si>
    <t>Verify the ida generated mosip
 UIN vc verification</t>
  </si>
  <si>
    <t>Vc should be verified succeessfully and
 credentials details should be displayed
 correctely.</t>
  </si>
  <si>
    <t>INJIWEB-1641_TC-06</t>
  </si>
  <si>
    <t>Verify the authrization end point for
 open ID4vp presentaion</t>
  </si>
  <si>
    <t>1.Navigate to the Injiverify portal.
 2.Open the network tab in inspect mode.
 3.Verify the request parameters.
 3.Observe the screen</t>
  </si>
  <si>
    <t>It should be contain open ID4vp parameters
 (state and response_back_url)and presentation defination uri.</t>
  </si>
  <si>
    <t>INJIWEB-1641_TC-07</t>
  </si>
  <si>
    <t>Verify the VC using QR-code based
 upload</t>
  </si>
  <si>
    <t>1.Navigate to injiverify portal.
 2.Upload only qr code to verify.
 3.Observe the screen.</t>
  </si>
  <si>
    <t>VC should be verified successfuly</t>
  </si>
  <si>
    <t>INJIWEB-1641_TC-08</t>
  </si>
  <si>
    <t>Verify the VC using QR-code scan</t>
  </si>
  <si>
    <t>1.Navigate to injiverify portal.
 2.Click onScan qa code option.
 3.Observe the screen.</t>
  </si>
  <si>
    <t>INJIWEB-1641_TC-09</t>
  </si>
  <si>
    <t>Verify the Vc using file based upload.</t>
  </si>
  <si>
    <t>INJIWEB-1641_TC-10</t>
  </si>
  <si>
    <t>Verify the invalid VC upload</t>
  </si>
  <si>
    <t>1.Navigate to the Injiverify portal.
 2.Upload the invalid vc.
 3.Observe the response.</t>
  </si>
  <si>
    <t>It should be displayed as"The given
 credentials is invaild".</t>
  </si>
  <si>
    <t>INJIWEB-1641_TC-11</t>
  </si>
  <si>
    <t>Verify the Expired vc upload</t>
  </si>
  <si>
    <t>1.Navigate to the Injiverify portal.
 2.UPload the invalid vc.
 3.Observe the response.</t>
  </si>
  <si>
    <t>t should be displayed as"The given
 credentials is Expired".</t>
  </si>
  <si>
    <t>INJIWEB-1641_TC-12</t>
  </si>
  <si>
    <t>Verify the 502 error during verification</t>
  </si>
  <si>
    <t>1.Navigate to injiverify portal.
 2.Upload only vaild qr code to verify.
 3.Observe the screen.</t>
  </si>
  <si>
    <t>All request should be return 2xx response.</t>
  </si>
  <si>
    <t>INJIWEB-1641_TC-13</t>
  </si>
  <si>
    <t>Verify the user redirection after successful
 verification</t>
  </si>
  <si>
    <t>1.Navigate to injiverify portal.
 2.Open inspect mode go to network tab.
 3.Perform vc verification.
 4.Observe the screen</t>
  </si>
  <si>
    <t>User should be redirect to the response back
 uri and see verification success messgae.</t>
  </si>
  <si>
    <t>INJIWEB-1641_TC-14</t>
  </si>
  <si>
    <t>Verify the response payload in data share
 flow.</t>
  </si>
  <si>
    <t>1.Navigate to injiverify portal.
 2.Open inspect mode go to network tab.
 3.Perform vc verfication.
 4.Check the response payload in headers
 tab.
 5.Observe the screen</t>
  </si>
  <si>
    <t>Response should be shown a valid
 presenrtation submission and success
 message.</t>
  </si>
  <si>
    <t>INJIWEB-1721</t>
  </si>
  <si>
    <t>Datashare service optional in Inji Web</t>
  </si>
  <si>
    <t>INJIWEB-1721_TC-1</t>
  </si>
  <si>
    <t>Verify the docker setup functionality</t>
  </si>
  <si>
    <t>1.Launch the docker.
 2.start the containers</t>
  </si>
  <si>
    <t>The application should be run
 successfully.</t>
  </si>
  <si>
    <t>Docker setup</t>
  </si>
  <si>
    <t>INJIWEB-1721_TC-2</t>
  </si>
  <si>
    <t>Verify the docker setup for mimoto
 without datashare</t>
  </si>
  <si>
    <t>1.Start the docker using
 dockercompose up.
 2.Naviagte to the containers.
 3.Stop the datashare service.</t>
  </si>
  <si>
    <t>All required services should be
 running successfully except
 data share.</t>
  </si>
  <si>
    <t>INJIWEB-1721_TC-3</t>
  </si>
  <si>
    <t>Verify the mimoto issuers config file</t>
  </si>
  <si>
    <t>1.Navigate to the config file.
 2.Select the mimoto issuer config.
 3.Update the online sharing to
 embedded.</t>
  </si>
  <si>
    <t>The issuer config should be updated</t>
  </si>
  <si>
    <t>INJIWEB-1721_TC-4</t>
  </si>
  <si>
    <t>Verify the docker compose yml file.</t>
  </si>
  <si>
    <t>1.Navigate to the config file.
 2.Select the docker-compose yml file.
 3. Remove the data share service from
 docker-compose yml</t>
  </si>
  <si>
    <t>The docker-compose yml should be
 updated.</t>
  </si>
  <si>
    <t>INJIWEB-1721_TC-5</t>
  </si>
  <si>
    <t>Verify the vc download flow.</t>
  </si>
  <si>
    <t>1.Start the docker using
 docker-compose up
 2.Navigate to the localhost:3004/user/home.
 3.Select the issuer.
 4.Download the vc.</t>
  </si>
  <si>
    <t>The vc should be downloaded.</t>
  </si>
  <si>
    <t>INJIWEB-1721_TC-6</t>
  </si>
  <si>
    <t>Verify the downloded vc is Embedded.</t>
  </si>
  <si>
    <t>1.Navigate to the localhost:3004/user/home.
 2.Select the issuer.
 3..Download the vc.
 4.Take the QR code from downloaded PDF.
 5.Upload in the scanqr</t>
  </si>
  <si>
    <t>The scanned data should be displayed.</t>
  </si>
  <si>
    <t>INJIWEB-1721_TC-7</t>
  </si>
  <si>
    <t>Verify the vc verification flow.</t>
  </si>
  <si>
    <t>1.Launch th inji verify.
 2.Upload the donloaded embedded vc.
 3.Observe the screen.</t>
  </si>
  <si>
    <t>The vc should be verifed successfully.</t>
  </si>
  <si>
    <t>INJIWEB-1721_TC-8</t>
  </si>
  <si>
    <t>Verify the vc download without config
 update.</t>
  </si>
  <si>
    <t>The Vc download should failed</t>
  </si>
  <si>
    <t>Injiweb-1621</t>
  </si>
  <si>
    <t>Refactor Key Generation
  Utilities Using 
 Factory Pattern</t>
  </si>
  <si>
    <t>INJIWEB-1621-TC-01</t>
  </si>
  <si>
    <t>Verify the Injiweb portal</t>
  </si>
  <si>
    <t>1.Lanuch the Injiweb portal.
 2.Observe the page.</t>
  </si>
  <si>
    <t>The injiweb login page should
 be displayed.</t>
  </si>
  <si>
    <t>INJIWEB-1621-TC-02</t>
  </si>
  <si>
    <t>Verify the login using gmail for new user</t>
  </si>
  <si>
    <t>1.Navigate to the login page.
 2.Login with gmail login.
 3.Observe the screen.</t>
  </si>
  <si>
    <t>The set your passcode screen
 should be displayed.</t>
  </si>
  <si>
    <t>INJIWEB-1621-TC-03</t>
  </si>
  <si>
    <t>Verify the wallet creation for new users</t>
  </si>
  <si>
    <t>1.Navigate to the login page.
 2.Login with gmail login.
 3.Enter the passcode and confirm
 passcode for set up passcode page.
 4.Observe the page.</t>
  </si>
  <si>
    <t>The wallet should be created successfully.</t>
  </si>
  <si>
    <t>INJIWEB-1621-TC-04</t>
  </si>
  <si>
    <t>Veirfy the credential selection page.</t>
  </si>
  <si>
    <t>1.Login with valid credentials.
 2.Navigate to the Injiweb home page.
 3.observe the screen</t>
  </si>
  <si>
    <t>The list of credential types should be displayed.</t>
  </si>
  <si>
    <t>INJIWEB-1621-TC-05</t>
  </si>
  <si>
    <t>Verify the Credential download.</t>
  </si>
  <si>
    <t>1.Login with valid credentials.
 2.Navigate to the Injiweb home page.
 3.Select any issuer.
 4.select list of credential type.
 5.Enter valid UIN and OTP.
 5.Observe the screen.</t>
  </si>
  <si>
    <t>The selected credential should be downloaded.</t>
  </si>
  <si>
    <t>INJIWEB-1621-TC-06</t>
  </si>
  <si>
    <t>Verify the downloaded PDF.</t>
  </si>
  <si>
    <t>1.Login with valid credentials.
 2.Try to download the vc using valid credentials.
 3.Observe the screen.</t>
  </si>
  <si>
    <t>The VC should be downloaded asa PDF in stored cards.</t>
  </si>
  <si>
    <t>INJIWEB-1621-TC-07</t>
  </si>
  <si>
    <t>Verify the login using guest login mode</t>
  </si>
  <si>
    <t>1.Navigate to the login page.
 2.Login with using guest login.
 3.Observe the screen</t>
  </si>
  <si>
    <t>The injiweb homepage should be displayed with the List of issuers.</t>
  </si>
  <si>
    <t>INJIWEB-1621-TC-08</t>
  </si>
  <si>
    <t>Verify the credential selection page.</t>
  </si>
  <si>
    <t>INJIWEB-1621-TC-09</t>
  </si>
  <si>
    <t>INJIWEB-1621-TC-10</t>
  </si>
  <si>
    <t>Verify the credential sharing using
 OpenID4vp flow</t>
  </si>
  <si>
    <t>1.Navigate to the mock services screen using local tunnel.
 2. Observe the screen.</t>
  </si>
  <si>
    <t>The preregistered and redirest uri and did APIs should be displayed.</t>
  </si>
  <si>
    <t>INJIWEB-1621-TC-11</t>
  </si>
  <si>
    <t>Verify the Trust screen page</t>
  </si>
  <si>
    <t>1.Navigate to the mock services screen.
 2.Select pre-registered
 3.Click on open injiweb button.
 4.Login with valid credentials and obsereve the screen</t>
  </si>
  <si>
    <t>The Trust screen should be displayed.</t>
  </si>
  <si>
    <t>INJIWEB-1621-TC-12</t>
  </si>
  <si>
    <t>verify the credential after sharing</t>
  </si>
  <si>
    <t>1.Navigate to the Trust screen
 2.Click on Yes trust the verifier button.
 3.Select the credential which is present in the wallet.
 4.Click on consent&amp;share button.</t>
  </si>
  <si>
    <t>The credential should be shared successfully.</t>
  </si>
  <si>
    <t>INJIWEB-1621-TC-13</t>
  </si>
  <si>
    <t>Verify the datashare flow with new vc's</t>
  </si>
  <si>
    <t>1.Launch the injiweb portal.
 2.Login using guest mode.
 3.Try to download the new VC</t>
  </si>
  <si>
    <t>The VC should be downloaded .</t>
  </si>
  <si>
    <t>INJIWEB-1621-TC-14</t>
  </si>
  <si>
    <t>Verify the datashare flow with old vc's</t>
  </si>
  <si>
    <t>1.Launch the injiweb portal.
 2.Login using guest mode.
 3.Try to download the old VC.</t>
  </si>
  <si>
    <t>INJIWEB-1621-TC-15</t>
  </si>
  <si>
    <t>Verify the VC download flow in different
 browsers.</t>
  </si>
  <si>
    <t>1.Launch the Injiweb portal in different
 browsers. ex Mozila firefox,Safari
 2.Try to downlaod the VC.</t>
  </si>
  <si>
    <t>The VC is successfully download with proper allignmnet.</t>
  </si>
  <si>
    <t>1.Login with valid credentials.
 2.Update the issuer config "embedded"
 3.Try to download the embedded vc</t>
  </si>
  <si>
    <t>INJIWEB-1580</t>
  </si>
  <si>
    <t>Support SVG-based 
 Verifiable Credential</t>
  </si>
  <si>
    <t>INJIWEB-1580_TC-01</t>
  </si>
  <si>
    <t>Mimoto is updated with
 inji-vc-renderer</t>
  </si>
  <si>
    <t>1.Launch the inji portal.
 2.Login with valid credentials.</t>
  </si>
  <si>
    <t>The injiweb page should be displayed.</t>
  </si>
  <si>
    <t>INJIWEB-1580_TC-02</t>
  </si>
  <si>
    <t>Verify the data model 2.0 supported
 issuer (Farmer card with face) injiweb
 portal.</t>
  </si>
  <si>
    <t>1.Navigate to the injiweb portal.
 2.Observe the issuer page.</t>
  </si>
  <si>
    <t>The Farmer card should be present.</t>
  </si>
  <si>
    <t>INJIWEB-1580_TC-03</t>
  </si>
  <si>
    <t>Verify the downloading vc using qr code type is
 online sharing</t>
  </si>
  <si>
    <t>1.Navigate to the injiweb portal.
 2.Navigate to the mimoto-issuers-config.json
 3.Update the issure config file with qr code
 type is "Onlinesharing"
 4.Select a Farmer vc with face.
 4.download the VC.</t>
  </si>
  <si>
    <t>VC should be downloaded with face and qr code.</t>
  </si>
  <si>
    <t>INJIWEB-1580_TC-04</t>
  </si>
  <si>
    <t>Verify the Downloaded PDF</t>
  </si>
  <si>
    <t>1.Navigate to the issuer page.
 2.Select an Farmer card issuer.
 3.Download the vc.</t>
  </si>
  <si>
    <t>The Vc should be downloaded as a PDF.</t>
  </si>
  <si>
    <t>INJIWEB-1580_TC-05</t>
  </si>
  <si>
    <t>Verify the downloaded VC verify in inji verify.PDF</t>
  </si>
  <si>
    <t>1.Open the downloaded PDF.
 2.Navigate to the injiverify portal.
 3.Upload the SVG template vc in injiverify.
 4.Observe the screen.</t>
  </si>
  <si>
    <t>Vc should be verified in injiverify.</t>
  </si>
  <si>
    <t>INJIWEB-1580_TC-06</t>
  </si>
  <si>
    <t>Verify the data in datamodel 2.0 vc</t>
  </si>
  <si>
    <t>1.Navigate to the downloaded PDF.
 2.Observe the fields on the PDF.</t>
  </si>
  <si>
    <t>All the fields should be properly displayed.</t>
  </si>
  <si>
    <t>INJIWEB-1580_TC-07</t>
  </si>
  <si>
    <t>Verify the mimoto logs after downloading a vc.</t>
  </si>
  <si>
    <t>1.Navigate to the downloaded PDF.
 2.Observe the mimoto logs.</t>
  </si>
  <si>
    <t>inji-vc-renderer (SVG rendering) should be present.</t>
  </si>
  <si>
    <t>INJIWEB-1580_TC-08</t>
  </si>
  <si>
    <t>Verify the downloading vc using qr code type is
 Embedded</t>
  </si>
  <si>
    <t>INJIWEB-1580_TC-09</t>
  </si>
  <si>
    <t>INJIWEB-1580_TC-10</t>
  </si>
  <si>
    <t>The Embedded Vc should be verified in injiverify</t>
  </si>
  <si>
    <t>INJIWEB-1580_TC-11</t>
  </si>
  <si>
    <t>Verify the HTML/SVG format download vc</t>
  </si>
  <si>
    <t>1.Navigate injiweb portal.
 2.Login with valid credentials.
 3.Open the stored cards page.
 4.Observe the previously downloaded
 farmer vc and SVG Farmer vc.</t>
  </si>
  <si>
    <t>Both the VC design format should be different.</t>
  </si>
  <si>
    <t>INJIWEB-1580_TC-12</t>
  </si>
  <si>
    <t>Verify the PDF downloadig in multiple browsers.</t>
  </si>
  <si>
    <t>1.Navigate to the issuer page.
 2.Select an Farmer card issuer.
 3.Download the vc using different
 browsers ( chrome,safari,firefox)</t>
  </si>
  <si>
    <t>The Pdf should be displayed as per the new SVG format.</t>
  </si>
  <si>
    <t>INJIWEB-1580_TC-13</t>
  </si>
  <si>
    <t>Verify the SVG format VC in injiverify.</t>
  </si>
  <si>
    <t>1.Navigate to the downloaded vc.
 2.Open the Injiverify portal.
 3.Upload the Farmer card with face
 VC.
 4.Observe the screen.</t>
  </si>
  <si>
    <t>The SVG format vc should be verified.</t>
  </si>
  <si>
    <t>INJIWEB-1819</t>
  </si>
  <si>
    <t>Web Wallet Support - 
 Claim 169 QR Code 
 Support</t>
  </si>
  <si>
    <t>INJIWEB-1819_TC-1</t>
  </si>
  <si>
    <t>Verify injiweb homepage.</t>
  </si>
  <si>
    <t>1.Navigate to the injiweb portal.
 2.Login with valid credentials.
 3.Observe the screen.</t>
  </si>
  <si>
    <t>Injiweb home page should be displayed.</t>
  </si>
  <si>
    <t>INJIWEB-1819_TC-2</t>
  </si>
  <si>
    <t>verify Mosip credential( claim 169) support with
 qr codetype embedded</t>
  </si>
  <si>
    <t>1.Navigate to the injiweb portal.
 2.Login with valid credentials.
 Update the mimoto issuer config file
 "Online sharing to "embedded"
 3.Select the claim 169 supported vc.</t>
  </si>
  <si>
    <t>The credential should be present in the credential list.</t>
  </si>
  <si>
    <t>INJIWEB-1819_TC-3</t>
  </si>
  <si>
    <t>Verify the mosip vc download (Embedded)</t>
  </si>
  <si>
    <t>1.Login with valid credentials.
 2.Open credentials list.
 3.Select the mosip crdential.
 4.Enter the valid UIN and OTP.
 5.Observe the screen.</t>
  </si>
  <si>
    <t>The VC should be downloaded with claim 169 support.</t>
  </si>
  <si>
    <t>INJIWEB-1819_TC-4</t>
  </si>
  <si>
    <t>Verify the mosip vc download(Online sharing)</t>
  </si>
  <si>
    <t>The vc should be downloaded with full data.</t>
  </si>
  <si>
    <t>INJIWEB-1819_TC-5</t>
  </si>
  <si>
    <t>Verify the vc is stored in stored cards.</t>
  </si>
  <si>
    <t>1.Login with valid credntials.
 2.select mosip and download.
 3.Observe the card.</t>
  </si>
  <si>
    <t>The vc should be stored in stored cards section.</t>
  </si>
  <si>
    <t>INJIWEB-1819_TC-6</t>
  </si>
  <si>
    <t>Verify QR code visibility in stored card and
 credential detail screen</t>
  </si>
  <si>
    <t>1.Login with valid credntials.
 2.select mosip and download.
 3.Observe thestored cards and credential detail
 screen.</t>
  </si>
  <si>
    <t>The QR code should be visible in when selecting
 claim 169 vc</t>
  </si>
  <si>
    <t>INJIWEB-1819_TC-7</t>
  </si>
  <si>
    <t>Verify the Downloded pdf.</t>
  </si>
  <si>
    <t>1.Open the stored cards page.
 2.Click on view option.
 3.Observe the screen.</t>
  </si>
  <si>
    <t>The Vc should be displayed with compressed face and
 claim 169 QR code.</t>
  </si>
  <si>
    <t>INJIWEB-1819_TC-8</t>
  </si>
  <si>
    <t>Verify the QR code contain values.</t>
  </si>
  <si>
    <t>1.Open the stored cards page.
 2.Click on Download option.
 3.Observe the screen.</t>
  </si>
  <si>
    <t>The Claim 169 should be with compressed image and
 "Full Name": "${fullName}",
 "Phone Number": "${mobileNumber}",
 "Date Of Birth": "${dateOfBirth}"</t>
  </si>
  <si>
    <t>INJIWEB-1819_TC-9</t>
  </si>
  <si>
    <t>Verify the QR code scan using Injiverify</t>
  </si>
  <si>
    <t>1.Launch the injiverify portal.
 2.Scan the mosip vc(claim 169
 supported)
 3.Observe the screen.</t>
  </si>
  <si>
    <t>The Claim169 Vc should be scanned successfully.</t>
  </si>
  <si>
    <t>INJIWEB-1819_TC-10</t>
  </si>
  <si>
    <t>Upload the QR Code in INJI Verify</t>
  </si>
  <si>
    <t>1.Launch the injiverify portal.
 2.Upload the mosip vc(claim 169
 supported)
 3.Observe the screen.</t>
  </si>
  <si>
    <t>The Claim169 Vc should be verified successfully.</t>
  </si>
  <si>
    <t>INJIWEB-1819_TC-11</t>
  </si>
  <si>
    <t>Verify the QR code decode support</t>
  </si>
  <si>
    <t>1.Open the downloaded PDF.
 2.Place the QR code in scan.org
 3.Observe the screen.</t>
  </si>
  <si>
    <t>The Claim169 decode values should be dispalyed.</t>
  </si>
  <si>
    <t>INJIWEB-1819_TC-12</t>
  </si>
  <si>
    <t>Verify the invalid QR code.</t>
  </si>
  <si>
    <t>1.Launch the injiverify portal.
 2.Upload the invalid QR code.
 3.Observe the screen</t>
  </si>
  <si>
    <t>The Vc should be invalid</t>
  </si>
  <si>
    <t>INJIWEB-1819_TC-13</t>
  </si>
  <si>
    <t>Verify the QR code rendering in web wallet
 and mobile</t>
  </si>
  <si>
    <t>INJIWEB-1819_TC-14</t>
  </si>
  <si>
    <t>Verify the QR code scanning in both mobile
 and web wallet</t>
  </si>
  <si>
    <t>1.Open the downloaded PDF.
 2.scan the claim 169 vc in mobile</t>
  </si>
  <si>
    <t>The Vc should be successfully verified.</t>
  </si>
  <si>
    <t>INJIWEB-1819_TC-15</t>
  </si>
  <si>
    <t>Verify the Claim 169 vc in different browsers.</t>
  </si>
  <si>
    <t>1.Launch the injiwebportal.
 2.Download claim 169 supported
 mosip vc.
 3.Observe the PDF in different browsers.</t>
  </si>
  <si>
    <t>The vc should be downloded in different browsers</t>
  </si>
  <si>
    <t>INJIWEB-1819_TC-16</t>
  </si>
  <si>
    <t>Verify the QR code attributes as per the vc issued
 by the Injicertify</t>
  </si>
  <si>
    <t>1.Launch the Injiverify the portal.
 2.Upload the Claim169 vc in inji verify.
 3.Observe the attribute display.</t>
  </si>
  <si>
    <t>The Vc should be download and display the attributes
 as per the vc issued by inji certify</t>
  </si>
  <si>
    <t>INJIWEB-1819_TC-17</t>
  </si>
  <si>
    <t>Verify the QR code support is enabled by adding
 thecorrect QR codesettings in theqr_settings column
 of the credential_config_table</t>
  </si>
  <si>
    <t>1.Login to the Database.
 2.Navigate to the crdential config table.
 3.check the qr_settings column.
 4.Update the QR code with correct JSOn format.
 5.download the vc.</t>
  </si>
  <si>
    <t>The QR code should be rendered properly.</t>
  </si>
  <si>
    <t>INJIWEB-1819_TC-18</t>
  </si>
  <si>
    <t>Verify VC template mapping</t>
  </si>
  <si>
    <t>1.Login to the Database.
 2.Open the credential config table and chek the
 template mapping column.
 3.Observe the fields.</t>
  </si>
  <si>
    <t>The QR code should be mapped correctely.</t>
  </si>
  <si>
    <t>INJIWEB-1819_TC-19</t>
  </si>
  <si>
    <t>Verify the vc template and placeholders for the QR
 code with proper lables.</t>
  </si>
  <si>
    <t>1.Navigate to the Vc template file used for mosip
 vc.
 2.Check the template placeholders.</t>
  </si>
  <si>
    <t>VC should be generated with the proper lables</t>
  </si>
  <si>
    <t>INJIWEB-1819_TC-20</t>
  </si>
  <si>
    <t>Verify the QR code from a third party verifier</t>
  </si>
  <si>
    <t>1.Open the downloaded claim169 VC.
 2.Open third party verifier tool like(Scan org)
 3.Upload the QR code in scan org.
 4.Observe the decoded data.</t>
  </si>
  <si>
    <t>VC should be decode successfully.</t>
  </si>
  <si>
    <t>INJIWEB-1649</t>
  </si>
  <si>
    <t>c_nonce Expected Outside Access Token as pe
 r OpenId4VCI Spec</t>
  </si>
  <si>
    <t>1.Veridy using the docker</t>
  </si>
  <si>
    <t>mimoto should extract c_nonce from the token response body</t>
  </si>
  <si>
    <r>
      <rPr>
        <rFont val="Calibri"/>
        <color rgb="FF1155CC"/>
        <sz val="11.0"/>
        <u/>
      </rPr>
      <t>https://mosip.atlassian.net/browse/INJIWEB-1649</t>
    </r>
  </si>
  <si>
    <t>INJIWEB-1727</t>
  </si>
  <si>
    <t>Verify the Land VC is download after multi language changes are done</t>
  </si>
  <si>
    <t>1.Updated table to have multi language data
 2.Updated VC template with multi lang
 3.Updated schema with multi lang
 4.Display properties are updated
 5.Credential subject updated to multi lang</t>
  </si>
  <si>
    <t>VC should be supposed to download the land registry</t>
  </si>
  <si>
    <r>
      <rPr>
        <rFont val="Calibri"/>
        <color rgb="FF1155CC"/>
        <sz val="11.0"/>
        <u/>
      </rPr>
      <t>https://mosip.atlassian.net/browse/INJIWEB-1727</t>
    </r>
  </si>
  <si>
    <r>
      <rPr>
        <rFont val="Calibri"/>
        <color rgb="FF1155CC"/>
        <sz val="11.0"/>
        <u/>
      </rPr>
      <t>https://mosip.atlassian.net/browse/INJIWEB-1677</t>
    </r>
  </si>
  <si>
    <t>INJIWEB-1676</t>
  </si>
  <si>
    <t>Failed password attempts do not show any attempt count and remaining tries before temporary lock</t>
  </si>
  <si>
    <t>1.Launch the injiweb portal.
 2.Login with valid gmail account.
 3.Enter the wrong password repeatedly</t>
  </si>
  <si>
    <t>Each failed password attempt should display the attempt 
 number and how many attempts are remaining before the
  account is temporarily locked</t>
  </si>
  <si>
    <r>
      <rPr>
        <rFont val="Calibri"/>
        <color rgb="FF1155CC"/>
        <sz val="11.0"/>
        <u/>
      </rPr>
      <t>https://mosip.atlassian.net/browse/INJIWEB-1676</t>
    </r>
  </si>
  <si>
    <t>INJIWEB-1674</t>
  </si>
  <si>
    <t>Verify the profile section name is not matching the displayed top header name</t>
  </si>
  <si>
    <t>1.Launch the injiweb portal.
 2.Login with valid credentials.
 3.Click on the profile page.
 4.compare the name shown in profile and top header.</t>
  </si>
  <si>
    <t>The name should be same profile and top header.</t>
  </si>
  <si>
    <r>
      <rPr>
        <rFont val="Calibri"/>
        <color rgb="FF1155CC"/>
        <sz val="11.0"/>
        <u/>
      </rPr>
      <t>https://mosip.atlassian.net/browse/INJIWEB-1674</t>
    </r>
  </si>
  <si>
    <t>INJIWEB-1802</t>
  </si>
  <si>
    <t>The "coming soon" toaster message is not matching with the theme and the functionality in INJI Web</t>
  </si>
  <si>
    <t>1.Launch the injiweb portal
 2.Observe the screen.</t>
  </si>
  <si>
    <t>It should not be disappearing untill the user closes the 
 toaster message.</t>
  </si>
  <si>
    <r>
      <rPr>
        <rFont val="Calibri"/>
        <color rgb="FF1155CC"/>
        <sz val="11.0"/>
        <u/>
      </rPr>
      <t>https://mosip.atlassian.net/browse/INJIWEB-1802</t>
    </r>
  </si>
  <si>
    <t>INJIWEB-1834</t>
  </si>
  <si>
    <t>Verify the downloaded card</t>
  </si>
  <si>
    <r>
      <rPr>
        <rFont val="Calibri"/>
        <color rgb="FF1155CC"/>
        <sz val="11.0"/>
        <u/>
      </rPr>
      <t>https://mosip.atlassian.net/browse/INJIWEB-1834</t>
    </r>
  </si>
  <si>
    <t>INJIWEB-1854</t>
  </si>
  <si>
    <t>Verify the activity page after downloading mosip VC</t>
  </si>
  <si>
    <t>Refresh type icon observed on the activity page
  after downloading mosip VC</t>
  </si>
  <si>
    <t>It should be shown properly</t>
  </si>
  <si>
    <r>
      <rPr>
        <rFont val="Calibri"/>
        <color rgb="FF1155CC"/>
        <sz val="11.0"/>
        <u/>
      </rPr>
      <t>https://mosip.atlassian.net/browse/INJIWEB-1854</t>
    </r>
  </si>
  <si>
    <t>Verify The profile section name is not matching the displayed top header name</t>
  </si>
  <si>
    <t>1.Launch the injiweb portal.
 2.Login with valid gmail account.
 3.Enter the wrong password repeatedly.
 4.wait untill temporary lock time expires.</t>
  </si>
  <si>
    <t>After temporary lock time expires the page should be auto 
 refersh and user can enter the passcode.</t>
  </si>
  <si>
    <r>
      <rPr>
        <rFont val="Calibri"/>
        <color rgb="FF1155CC"/>
        <sz val="11.0"/>
        <u/>
      </rPr>
      <t>https://mosip.atlassian.net/browse/INJIWEB-1678</t>
    </r>
  </si>
  <si>
    <t>INJIWEB-1806</t>
  </si>
  <si>
    <t>Verify download VC with google login mode when using reg client UIN.</t>
  </si>
  <si>
    <t>1.Navigate to the injiweb login page.
 2.Click on the continue with google mode.
 3.Select a mosip vc and enter the reg client UIN and try to download the VC
 4.Observe the screen.
 5.Now login with guest mode try to download vc using same reg client UIN.</t>
  </si>
  <si>
    <t>VC should be downloadable using both the modes.</t>
  </si>
  <si>
    <r>
      <rPr>
        <rFont val="Calibri"/>
        <color rgb="FF1155CC"/>
        <sz val="11.0"/>
        <u/>
      </rPr>
      <t>https://mosip.atlassian.net/browse/INJIWEB-1806</t>
    </r>
  </si>
  <si>
    <t>INJIWEB-1804</t>
  </si>
  <si>
    <t>Verify the QR code allignment.</t>
  </si>
  <si>
    <t>1.Naviagte to the injiweb portal.
 2.Login with valid credentials and go to the issuers page.
 3.Select an issuer (National identity, SD-JWT, Land registry, Farmer Card)
 4.Download the credential.
 5.Observe the downloaded PDF.</t>
  </si>
  <si>
    <t>QR code page should be alligned properly</t>
  </si>
  <si>
    <r>
      <rPr>
        <rFont val="Calibri"/>
        <color rgb="FF1155CC"/>
        <sz val="11.0"/>
        <u/>
      </rPr>
      <t>https://mosip.atlassian.net/browse/INJIWEB-1804</t>
    </r>
  </si>
  <si>
    <t>INJIWEB-1805</t>
  </si>
  <si>
    <t>On the stored cards page the Farmer and Land registry vc names are not fully visible,and are only visible on scroll It would be better to wrap the text</t>
  </si>
  <si>
    <t>1.Login with Injiweb portal.
 2.Click on stored cards.
 3.Observe the Farmer and Land registry VC</t>
  </si>
  <si>
    <t>The full VC name should be displayed properly without scrolling</t>
  </si>
  <si>
    <r>
      <rPr>
        <rFont val="Calibri"/>
        <color rgb="FF1155CC"/>
        <sz val="11.0"/>
        <u/>
      </rPr>
      <t>https://mosip.atlassian.net/browse/INJIWEB-1805</t>
    </r>
  </si>
  <si>
    <t>INJIWEB-1809</t>
  </si>
  <si>
    <t>VC is not downloading using both modes</t>
  </si>
  <si>
    <t>1.Navigate to the Injiweb portal
 2.Try to download the vc using both the modes.
 3.Obesrve the page.</t>
  </si>
  <si>
    <t>VC should be downloaded properly using both modes.</t>
  </si>
  <si>
    <r>
      <rPr>
        <rFont val="Calibri"/>
        <color rgb="FF1155CC"/>
        <sz val="11.0"/>
        <u/>
      </rPr>
      <t>https://mosip.atlassian.net/browse/INJIWEB-1809</t>
    </r>
  </si>
  <si>
    <t>INJIWEB-1833</t>
  </si>
  <si>
    <t>Verify download API re-triggers if there is an error from certify endpoint</t>
  </si>
  <si>
    <t>Select credential to download
 Post re-direction from esignet, certify download API is called
 Simulate error/exception response - 400 Bad Request error
 See if download API triggers again post the error from web</t>
  </si>
  <si>
    <r>
      <rPr>
        <rFont val="Calibri"/>
        <color rgb="FF1155CC"/>
        <sz val="11.0"/>
        <u/>
      </rPr>
      <t>https://mosip.atlassian.net/browse/INJIWEB-1833</t>
    </r>
  </si>
  <si>
    <t>INJIWEB-1828</t>
  </si>
  <si>
    <t>verification of the vc in inji-verify, the qr code placeholder stays blank in the preview of vc.</t>
  </si>
  <si>
    <t>1.Launch the inji portal.
 2.Navigate to the issuer page.
 3.Download the farmer vc.
 4.Verify in inji verify portal.</t>
  </si>
  <si>
    <t>Vc should be verified properly</t>
  </si>
  <si>
    <r>
      <rPr>
        <rFont val="Calibri"/>
        <color rgb="FF1155CC"/>
        <sz val="11.0"/>
        <u/>
      </rPr>
      <t>https://mosip.atlassian.net/browse/INJIWEB-1828</t>
    </r>
  </si>
  <si>
    <t>INJIWEB-1590</t>
  </si>
  <si>
    <t>(security Testing)</t>
  </si>
  <si>
    <t>(Security testing) API interactions on session 
 expiry not showing the re-enter passcode flow</t>
  </si>
  <si>
    <t>1.Navigate to the Reset Passcode screen.
 2.Leave the page idle for 30 minutes (or until session expires).
 3.Without reloading, click on "Set New Passcode".
 4.Observe the error message displayed on the screen.</t>
  </si>
  <si>
    <t>User should be redirected to the login or re-authentication screen automatically</t>
  </si>
  <si>
    <r>
      <rPr>
        <rFont val="Calibri"/>
        <color rgb="FF1155CC"/>
        <sz val="11.0"/>
        <u/>
      </rPr>
      <t>https://mosip.atlassian.net/browse/INJIWEB-1590</t>
    </r>
  </si>
  <si>
    <t>INJIWEB-1757</t>
  </si>
  <si>
    <t>(Security testing) Verify the License compliance issue</t>
  </si>
  <si>
    <t>Check the confluence page for more details
 : Edit - MIMOTO -0.19 - NFR - Security - MOSIP</t>
  </si>
  <si>
    <t>It should not shown any issues.</t>
  </si>
  <si>
    <r>
      <rPr>
        <rFont val="Calibri"/>
        <color rgb="FF1155CC"/>
        <sz val="11.0"/>
        <u/>
      </rPr>
      <t>https://mosip.atlassian.net/browse/INJIWEB-1757</t>
    </r>
  </si>
  <si>
    <t>INJIWEB-1694</t>
  </si>
  <si>
    <t>Verify Context Property Not Read Correctly from issuer wellknown</t>
  </si>
  <si>
    <t>1.Navigate to the issuer wellknown
 2.Observe the context property</t>
  </si>
  <si>
    <t>Context property should be read correctely</t>
  </si>
  <si>
    <r>
      <rPr>
        <rFont val="Calibri"/>
        <color rgb="FF1155CC"/>
        <sz val="11.0"/>
        <u/>
      </rPr>
      <t>https://mosip.atlassian.net/browse/INJIWEB-1694</t>
    </r>
  </si>
  <si>
    <t>INJIWEB-1832</t>
  </si>
  <si>
    <t>Unit test cases</t>
  </si>
  <si>
    <t>Unit test coverage missing for recent mimoto 
 refactoring changes</t>
  </si>
  <si>
    <t>The coverage should be good</t>
  </si>
  <si>
    <r>
      <rPr>
        <rFont val="Calibri"/>
        <color rgb="FF1155CC"/>
        <sz val="11.0"/>
        <u/>
      </rPr>
      <t>https://mosip.atlassian.net/browse/INJIWEB-1832</t>
    </r>
  </si>
  <si>
    <t>InjIWEB-1199</t>
  </si>
  <si>
    <t>INJIWEB-1199</t>
  </si>
  <si>
    <t>Verify The alignment of the copyright text and logo 
 differs between safari and chromebrowser</t>
  </si>
  <si>
    <t>1.Compare the mo Open the injiweb in the MacBook Safari browser and Windows Chrome browsers 
 2.sip logo alignment and copyright in both Mack and Windows</t>
  </si>
  <si>
    <t>The alignment of the copyright text and logo should remain 
 consistent across both Mac and Windows platforms</t>
  </si>
  <si>
    <r>
      <rPr>
        <rFont val="Calibri"/>
        <color rgb="FF1155CC"/>
        <sz val="11.0"/>
        <u/>
      </rPr>
      <t>https://mosip.atlassian.net/browse/INJIWEB-1199</t>
    </r>
  </si>
  <si>
    <t>Issue ID</t>
  </si>
  <si>
    <t>Summary</t>
  </si>
  <si>
    <t>Severity</t>
  </si>
  <si>
    <t>Injiweb usability :No user notification when the user entering a second cycle of invalid passcode attempts.</t>
  </si>
  <si>
    <t>Minor</t>
  </si>
  <si>
    <t>Enhancement Injiweb: Appropriate warning should be displayed before the last attempt before a temporary lock.</t>
  </si>
  <si>
    <t>Injiweb: Failed password attempts do not show any  attempt count and remaining tries before temporary lock.</t>
  </si>
  <si>
    <t>Major</t>
  </si>
  <si>
    <t>INJI Web - Enhancement - the view passcode icon should be modified when enabled</t>
  </si>
  <si>
    <t>Inji-web enhancement: The profile section name is not matching the displayed top header name</t>
  </si>
  <si>
    <t>Injiweb : Inji wallet link in gmail login page is pointing to developer instead of redirecting homepage.</t>
  </si>
  <si>
    <t>inji-web: even when there is no qr code in the downloaded PDF , we are getting the "Number of Times" credential can be verified message</t>
  </si>
  <si>
    <t>INJIWEB-1761</t>
  </si>
  <si>
    <t>INJI Web - In Open id for vp flow there is no appropriate response to the verifier when user continues as guest</t>
  </si>
  <si>
    <t>INJI Web - The "coming soon" toaster message is not matching with the theme and the functionality in INJI Web</t>
  </si>
  <si>
    <t>Injiweb: Double scrollbars are displayed on the vc after clicking view card option.</t>
  </si>
  <si>
    <t>Context Property Not Read Correctly from issuer wellknown</t>
  </si>
  <si>
    <t>inji-mobile: Refresh type icon observed on the activity page after downloading mosip VC</t>
  </si>
  <si>
    <t>Collab_env: Sunbird crednetial download is failing in collab env</t>
  </si>
  <si>
    <t>injiweb_ui_automation_docker:  UIN validation is not working/Returning empty value on docker env.</t>
  </si>
  <si>
    <t>Binding otp validation issue in automation post mimoto fix</t>
  </si>
  <si>
    <t>Injiweb usability:At permanent lock state the user is not given an option to try to login with a different user and struck with the same screen, user should be able to select a different user.</t>
  </si>
  <si>
    <t>Injiweb Usability:On the passcode failure screen is better to display user profile and name to avoid confusion.</t>
  </si>
  <si>
    <t>Injiweb Usability: When the account is locked it  would be better todisplay proper error message by replacing the header text</t>
  </si>
  <si>
    <t>API interactions on session expiry not showing the re-enter passcode flow</t>
  </si>
  <si>
    <t>INJIWEB-1683</t>
  </si>
  <si>
    <t>Inji Web-Count down timer showing the remaining time for the temporary lock to be completed should be displayed."</t>
  </si>
  <si>
    <t>Injiweb: Default screen appears after injiweb login on mobile.</t>
  </si>
  <si>
    <t>INJI Usability - After taking backup in INJI Mobile, I should see the same VC's in INJI Web when I login with same email address.</t>
  </si>
  <si>
    <t>Injiweb: Sometimes forgot passcode link is not redirected to passcode reset page.</t>
  </si>
  <si>
    <t>Injiweb- No success message appears After matching passcodes.</t>
  </si>
  <si>
    <t>Injiweb- No confirmation message appears on successful login.</t>
  </si>
  <si>
    <t>INJI Web enhancement - After a MOSIP VC is downloaded, and we try to download another MOSIP VC appropriate message is not displayed.</t>
  </si>
  <si>
    <t>INJIWEB-1667</t>
  </si>
  <si>
    <t>Injiweb:After login with in gmail and downloading vc a success message is not displayed ,it appears when navigate to the home or stored cards.</t>
  </si>
  <si>
    <t>INJIWEB-1661</t>
  </si>
  <si>
    <t>INJI Web - Unable to re-download the same VC again.</t>
  </si>
  <si>
    <t>INJI Web - Unable to download MOSIP VC after loggin in with email address</t>
  </si>
  <si>
    <t>Injiweb : Inji wallet link in gmail login page is pointing to developer instead of redirecting homepage</t>
  </si>
  <si>
    <t>Injiweb- Land registry VC is not downloading from qa-inji1 environment.</t>
  </si>
  <si>
    <t xml:space="preserve">Injiweb:  QR code page design is not aligned properly in downloaded VC's. </t>
  </si>
  <si>
    <t>Injiweb: Double scrollbars displayed on the view card after clicking view card option.</t>
  </si>
  <si>
    <t>Injiweb Usability:On the stored cards page the Farmer and Land registry vc names are not fully visible,and are only visible on scroll It would be better to wrap the text..</t>
  </si>
  <si>
    <t>Injiweb: Unable to download VC with google login mode when using reg client UIN.</t>
  </si>
  <si>
    <t>UI Alignment &amp; Responsive Layout Issues in Issuers Page and Credential Types Page after we select the issuer for the second time</t>
  </si>
  <si>
    <t>INJIWEB-1763</t>
  </si>
  <si>
    <t>INJI Web - While selecting the VC's when sharing better to have select all option</t>
  </si>
  <si>
    <t>Injiweb-In Open id for vp flow there is no appropriate response to the verifier when the user selects multiple VCs (one is Farmer VC and one is Insurance VC)</t>
  </si>
  <si>
    <t>INJIWEB-1731</t>
  </si>
  <si>
    <t>Injiweb-API: While creating the presentation id api adding the wallet value as empty getting incorrect error code and error message</t>
  </si>
  <si>
    <t>INJIWEB-1733</t>
  </si>
  <si>
    <t>Injiweb-API: When the userid is not present in the session getting an incorrect error code and error message.</t>
  </si>
  <si>
    <t>INJIWEB-1739</t>
  </si>
  <si>
    <t>Injiweb-API: In Get Matching Credentials Api with Null/Empty presentation id getting incorrect error code and error message</t>
  </si>
  <si>
    <t>INJIWEB-1738</t>
  </si>
  <si>
    <t>Injiweb-API: In Get Matching Credentials Api with Null/Empty wallet id getting incorrect error code and error message</t>
  </si>
  <si>
    <t>INJIWEB-1737</t>
  </si>
  <si>
    <t>InjiwebAPI: In Get Matching Credentials Api with invalid presentation id getting incorrect error code and error messages</t>
  </si>
  <si>
    <t>INJIWEB-1736</t>
  </si>
  <si>
    <t>Injiweb-API: In Get Matching Credentials Api adding the values without unlock the wallet getting incorrect error code and error message</t>
  </si>
  <si>
    <t>INJIWEB-1732</t>
  </si>
  <si>
    <t>Injiweb-API: While creating the presentation id api adding the wallet values without unlock the wallet getting incorrect error code and error message</t>
  </si>
  <si>
    <t>INJIWEB-1741</t>
  </si>
  <si>
    <t>Injiweb_API: In Add trusted verifier adding values without unlock walletid getting incorrect error code and error message</t>
  </si>
  <si>
    <t>INJIWEB-1740</t>
  </si>
  <si>
    <t>Injiweb-API: In Submit presentation Without Unlock walletid getting incorrect error code and error message</t>
  </si>
  <si>
    <t>INJIWEB-1764</t>
  </si>
  <si>
    <t>INJI Web - In Open id for vp flow there is no appropriate response to the verifier when user tries to verify land registry</t>
  </si>
  <si>
    <t>injiweb_Portugues: Some of the strings are not translated to Portugues</t>
  </si>
  <si>
    <t>injiweb_Portugues:There are some special charectars observed on credentials name</t>
  </si>
  <si>
    <t>injiweb: Better to habndle error properly if the injiweb is down while verifying VC from injiverify</t>
  </si>
  <si>
    <t>Unable to Download VC with RsaSignature2018 &amp; Ed25519Signature2018</t>
  </si>
  <si>
    <t>License compliance issue</t>
  </si>
  <si>
    <t xml:space="preserve">Injiweb: If the filed values are not provided during policy creation, in downloaded VC getting expressions directly </t>
  </si>
  <si>
    <t>Injiweb: Observed access violation when "IBM Equal Access Accessibility Checker" executed on inji-web portal</t>
  </si>
  <si>
    <t>Injiweb: The QR code size on the VC PDF is too small to scan</t>
  </si>
  <si>
    <t xml:space="preserve">injiweb: inji logo should be updated at esignet page </t>
  </si>
  <si>
    <t>Injiweb-Updated_at" value is generated in the DB for an initial user account creation.</t>
  </si>
  <si>
    <t>INJIWEB-1585</t>
  </si>
  <si>
    <t>Inji Web -Better to set the user approval dialogue box after clicking on forget passcode button</t>
  </si>
  <si>
    <t>INJIWEB-1584</t>
  </si>
  <si>
    <t>INJI Web - Better to update "Forgot passcode" to "Reset passcode" in the next page after selecting forget passcode option</t>
  </si>
  <si>
    <t>INJIWEB-1583</t>
  </si>
  <si>
    <t>Injiweb: While downloading the cards, User profile details are not displayed in the background</t>
  </si>
  <si>
    <t>INJIWEB-1582</t>
  </si>
  <si>
    <t>Injiweb: If we are clicking browser back button while resetting password, get inappropriate error.</t>
  </si>
  <si>
    <t>INJIWEB-1576</t>
  </si>
  <si>
    <t>injiweb: Once the configuration for the passcode updated, user not able to login from the UI</t>
  </si>
  <si>
    <t>INJI Web - No display of attempts while "verifying retry passcode 2 times"</t>
  </si>
  <si>
    <t>Injiweb: Download icon not aligned properly on view card screen.</t>
  </si>
  <si>
    <t>INJI Web - Land VC is not getting downloaded after multi language changes are done.</t>
  </si>
  <si>
    <t>inji-web: toast message for "coming soon" style is not same as inji-web and inji-verify</t>
  </si>
  <si>
    <t>injiweb: Better to change from "Selected document" to "Selected credential" on share visibility page</t>
  </si>
  <si>
    <t>injiweb: copyright informtation is not center aligned for tamil in tablet view</t>
  </si>
  <si>
    <t>injiweb: Features of inji wallet Image is not completeley visible on potrait mode in tablet view</t>
  </si>
  <si>
    <t>injiweb: Heading is not appeared for share visibility page in tablet view</t>
  </si>
  <si>
    <t>injiweb: Description for issuers are not displayed</t>
  </si>
  <si>
    <t>injiweb: "Restricted Use Area" displayed in QR code page,better to adjust it in first page</t>
  </si>
  <si>
    <t>INJIWEB-1496</t>
  </si>
  <si>
    <t>injiweb: while verifying VC from injiverify, data is not rendered in the VC lang</t>
  </si>
  <si>
    <t>injiweb: Downloaded VCs are not getting verified from the inji verify</t>
  </si>
  <si>
    <t>INJIWEB-1581</t>
  </si>
  <si>
    <t>injiweb: Downloaded cards are not aligned in reverse chronological order</t>
  </si>
  <si>
    <t>injiweb: "cut here" appered inside the "terms and conditions" section</t>
  </si>
  <si>
    <t>ES-1691</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</si>
  <si>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</si>
  <si>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</si>
  <si>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</si>
  <si>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</si>
  <si>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</si>
  <si>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</si>
  <si>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</si>
  <si>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</si>
  <si>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</si>
  <si>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</si>
  <si>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</si>
  <si>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</si>
  <si>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</si>
  <si>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</si>
  <si>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</si>
  <si>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</si>
  <si>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</si>
  <si>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</si>
  <si>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</si>
  <si>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</si>
  <si>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</si>
  <si>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</si>
  <si>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</si>
  <si>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</si>
  <si>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</si>
  <si>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</si>
  <si>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</si>
  <si>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</si>
  <si>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</si>
  <si>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</si>
  <si>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</si>
  <si>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</si>
  <si>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</si>
  <si>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</si>
  <si>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</si>
  <si>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</si>
  <si>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</si>
  <si>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</si>
  <si>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</si>
  <si>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</si>
  <si>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</si>
  <si>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</si>
  <si>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</si>
  <si>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</si>
  <si>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</si>
  <si>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</si>
  <si>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</si>
  <si>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</si>
  <si>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</si>
  <si>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</si>
  <si>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</si>
  <si>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</si>
  <si>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</si>
  <si>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</si>
  <si>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</si>
  <si>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</si>
  <si>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</si>
  <si>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</si>
  <si>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</si>
  <si>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</si>
  <si>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</si>
  <si>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</si>
  <si>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</si>
  <si>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</si>
  <si>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</si>
  <si>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</si>
  <si>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</si>
  <si>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</si>
  <si>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</si>
  <si>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</si>
  <si>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</si>
  <si>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</si>
  <si>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</si>
  <si>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</si>
  <si>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</si>
  <si>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</si>
  <si>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</si>
  <si>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</si>
  <si>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</si>
  <si>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</si>
  <si>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</si>
  <si>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</si>
  <si>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</si>
  <si>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</si>
  <si>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</si>
  <si>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</si>
  <si>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</si>
  <si>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</si>
  <si>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</si>
  <si>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</si>
  <si>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</si>
  <si>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</si>
  <si>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</si>
  <si>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</si>
  <si>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</si>
  <si>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</si>
  <si>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</si>
  <si>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</si>
  <si>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</si>
  <si>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id</t>
  </si>
  <si>
    <t>Bug title</t>
  </si>
  <si>
    <t>ios</t>
  </si>
  <si>
    <t>android</t>
  </si>
  <si>
    <t>assignee</t>
  </si>
  <si>
    <t>status</t>
  </si>
  <si>
    <t>remarks</t>
  </si>
  <si>
    <t>Camera is not launched in verifier's phone even after giving the consent from Resident's phone.</t>
  </si>
  <si>
    <t>yes</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</si>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</sst>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65">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b/>
      <i/>
      <sz val="8.0"/>
      <color rgb="FF1C4587"/>
      <name val="Verdana"/>
    </font>
    <font>
      <b/>
      <sz val="8.0"/>
      <color rgb="FF000000"/>
      <name val="Verdana"/>
    </font>
    <font>
      <b/>
      <sz val="10.0"/>
      <color rgb="FFFFFFFF"/>
      <name val="Calibri"/>
    </font>
    <font>
      <color theme="1"/>
      <name val="Calibri"/>
      <scheme val="minor"/>
    </font>
    <font>
      <sz val="10.0"/>
      <color theme="1"/>
      <name val="Calibri"/>
    </font>
    <font>
      <color rgb="FF000000"/>
      <name val="Calibri"/>
    </font>
    <font>
      <sz val="11.0"/>
      <color rgb="FFFFFFFF"/>
      <name val="Calibri"/>
    </font>
    <font>
      <color rgb="FF000000"/>
      <name val="Arial"/>
    </font>
    <font>
      <color rgb="FF242424"/>
      <name val="Calibri"/>
    </font>
    <font>
      <u/>
      <sz val="11.0"/>
      <color rgb="FF0000FF"/>
      <name val="Calibri"/>
    </font>
    <font>
      <u/>
      <sz val="11.0"/>
      <color rgb="FF0563C1"/>
      <name val="Calibri"/>
    </font>
    <font>
      <u/>
      <color rgb="FF0000FF"/>
      <name val="Calibri"/>
    </font>
    <font>
      <u/>
      <sz val="11.0"/>
      <color rgb="FF0000FF"/>
      <name val="Calibri"/>
    </font>
    <font>
      <sz val="11.0"/>
      <color rgb="FF000000"/>
      <name val="Calibri"/>
    </font>
    <font>
      <u/>
      <sz val="11.0"/>
      <color rgb="FF0000FF"/>
      <name val="Calibri"/>
    </font>
    <font>
      <sz val="11.0"/>
      <color rgb="FF000000"/>
      <name val="Arial"/>
    </font>
    <font>
      <color rgb="FF172B4D"/>
      <name val="-Apple-System"/>
    </font>
    <font>
      <color rgb="FF172B4D"/>
      <name val="Arial"/>
    </font>
    <font>
      <color rgb="FF1D1C1D"/>
      <name val="Arial"/>
    </font>
    <font>
      <color rgb="FFFF0000"/>
      <name val="Arial"/>
    </font>
    <font>
      <sz val="11.0"/>
      <color rgb="FF242424"/>
      <name val="&quot;Aptos Narrow&quot;"/>
    </font>
    <font>
      <u/>
      <sz val="11.0"/>
      <color rgb="FF0563C1"/>
      <name val="Calibri"/>
    </font>
    <font>
      <u/>
      <sz val="11.0"/>
      <color rgb="FF0563C1"/>
      <name val="Calibri"/>
    </font>
    <font>
      <u/>
      <sz val="11.0"/>
      <color rgb="FF0563C1"/>
      <name val="Calibri"/>
    </font>
    <font>
      <color rgb="FF292A2E"/>
      <name val="Arial"/>
    </font>
    <font>
      <sz val="11.0"/>
      <color rgb="FF292A2E"/>
      <name val="&quot;Atlassian Sans&quot;"/>
    </font>
    <font>
      <color rgb="FF434343"/>
      <name val="Arial"/>
    </font>
    <font>
      <color rgb="FF1D1C1D"/>
      <name val="Slack-Lato"/>
    </font>
    <font>
      <u/>
      <sz val="11.0"/>
      <color rgb="FF0000FF"/>
      <name val="Calibri"/>
    </font>
    <font>
      <color rgb="FF292A2E"/>
      <name val="&quot;Atlassian Sans&quot;"/>
    </font>
    <font>
      <u/>
      <color rgb="FF1155CC"/>
      <name val="Arial"/>
    </font>
    <font>
      <color rgb="FF595959"/>
      <name val="Arial"/>
    </font>
    <font>
      <sz val="11.0"/>
      <color rgb="FF292A2E"/>
      <name val="Arial"/>
    </font>
    <font>
      <sz val="11.0"/>
      <color rgb="FF262626"/>
      <name val="Ui-Sans-Serif"/>
    </font>
    <font>
      <sz val="12.0"/>
      <color rgb="FF292A2E"/>
      <name val="&quot;Atlassian Sans&quot;"/>
    </font>
    <font>
      <b/>
      <sz val="11.0"/>
      <color theme="0"/>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2">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3D85C6"/>
        <bgColor rgb="FF3D85C6"/>
      </patternFill>
    </fill>
    <fill>
      <patternFill patternType="solid">
        <fgColor rgb="FFF8F8F8"/>
        <bgColor rgb="FFF8F8F8"/>
      </patternFill>
    </fill>
    <fill>
      <patternFill patternType="solid">
        <fgColor rgb="FFFFFFFF"/>
        <bgColor rgb="FFFFFFFF"/>
      </patternFill>
    </fill>
    <fill>
      <patternFill patternType="solid">
        <fgColor rgb="FF274E13"/>
        <bgColor rgb="FF274E13"/>
      </patternFill>
    </fill>
    <fill>
      <patternFill patternType="solid">
        <fgColor rgb="FF00B050"/>
        <bgColor rgb="FF00B050"/>
      </patternFill>
    </fill>
    <fill>
      <patternFill patternType="solid">
        <fgColor rgb="FFFF0000"/>
        <bgColor rgb="FFFF0000"/>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rgb="FFFFFF00"/>
        <bgColor rgb="FFFFFF00"/>
      </patternFill>
    </fill>
    <fill>
      <patternFill patternType="solid">
        <fgColor theme="0"/>
        <bgColor theme="0"/>
      </patternFill>
    </fill>
    <fill>
      <patternFill patternType="solid">
        <fgColor rgb="FF00FFFF"/>
        <bgColor rgb="FF00FFFF"/>
      </patternFill>
    </fill>
    <fill>
      <patternFill patternType="solid">
        <fgColor rgb="FFFFFFCC"/>
        <bgColor rgb="FFFFFFCC"/>
      </patternFill>
    </fill>
  </fills>
  <borders count="6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right style="thin">
        <color rgb="FF000000"/>
      </right>
    </border>
    <border>
      <left style="thin">
        <color rgb="FF000000"/>
      </left>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right/>
      <top/>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wrapText="1"/>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0" fontId="4" numFmtId="0" xfId="0" applyBorder="1" applyFont="1"/>
    <xf borderId="2" fillId="4" fontId="6" numFmtId="0" xfId="0" applyAlignment="1" applyBorder="1" applyFont="1">
      <alignment horizontal="center" shrinkToFit="0" wrapText="1"/>
    </xf>
    <xf borderId="2" fillId="6" fontId="6" numFmtId="0" xfId="0" applyAlignment="1" applyBorder="1" applyFill="1" applyFont="1">
      <alignment horizontal="center"/>
    </xf>
    <xf borderId="8" fillId="6" fontId="7" numFmtId="0" xfId="0" applyBorder="1" applyFont="1"/>
    <xf borderId="2" fillId="6"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7" fontId="8" numFmtId="0" xfId="0" applyAlignment="1" applyBorder="1" applyFill="1" applyFont="1">
      <alignment horizontal="left"/>
    </xf>
    <xf borderId="0" fillId="0" fontId="5" numFmtId="0" xfId="0" applyFont="1"/>
    <xf borderId="2" fillId="0" fontId="5" numFmtId="0" xfId="0" applyAlignment="1" applyBorder="1" applyFont="1">
      <alignment readingOrder="0"/>
    </xf>
    <xf borderId="2" fillId="8" fontId="2" numFmtId="0" xfId="0" applyAlignment="1" applyBorder="1" applyFill="1" applyFont="1">
      <alignment horizontal="center" shrinkToFit="0" wrapText="1"/>
    </xf>
    <xf borderId="2" fillId="8" fontId="9" numFmtId="0" xfId="0" applyAlignment="1" applyBorder="1" applyFont="1">
      <alignment horizontal="center" shrinkToFit="0" wrapText="1"/>
    </xf>
    <xf borderId="2" fillId="0" fontId="9" numFmtId="0" xfId="0" applyAlignment="1" applyBorder="1" applyFont="1">
      <alignment horizontal="center" shrinkToFit="0" wrapText="1"/>
    </xf>
    <xf borderId="2" fillId="8" fontId="10" numFmtId="0" xfId="0" applyAlignment="1" applyBorder="1" applyFont="1">
      <alignment horizontal="center" shrinkToFit="0" wrapText="1"/>
    </xf>
    <xf borderId="2" fillId="0" fontId="11" numFmtId="0" xfId="0" applyAlignment="1" applyBorder="1" applyFont="1">
      <alignment horizontal="center" shrinkToFit="0" wrapText="1"/>
    </xf>
    <xf borderId="2" fillId="8" fontId="12" numFmtId="0" xfId="0" applyAlignment="1" applyBorder="1" applyFont="1">
      <alignment horizontal="center" shrinkToFit="0" wrapText="1"/>
    </xf>
    <xf borderId="2" fillId="0" fontId="13" numFmtId="0" xfId="0" applyBorder="1" applyFont="1"/>
    <xf borderId="2" fillId="0" fontId="14" numFmtId="0" xfId="0" applyAlignment="1" applyBorder="1" applyFont="1">
      <alignment horizontal="center"/>
    </xf>
    <xf borderId="2" fillId="8" fontId="2" numFmtId="0" xfId="0" applyAlignment="1" applyBorder="1" applyFont="1">
      <alignment horizontal="right" shrinkToFit="0" wrapText="1"/>
    </xf>
    <xf borderId="2" fillId="8" fontId="15" numFmtId="0" xfId="0" applyAlignment="1" applyBorder="1" applyFont="1">
      <alignment horizontal="center" shrinkToFit="0" wrapText="1"/>
    </xf>
    <xf borderId="2" fillId="8" fontId="16" numFmtId="0" xfId="0" applyAlignment="1" applyBorder="1" applyFont="1">
      <alignment horizontal="center" shrinkToFit="0" wrapText="1"/>
    </xf>
    <xf borderId="2" fillId="0" fontId="17"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18" numFmtId="0" xfId="0" applyAlignment="1" applyBorder="1" applyFont="1">
      <alignment horizontal="center"/>
    </xf>
    <xf borderId="2" fillId="0" fontId="19" numFmtId="0" xfId="0" applyAlignment="1" applyBorder="1" applyFont="1">
      <alignment horizontal="center"/>
    </xf>
    <xf borderId="2" fillId="0" fontId="20" numFmtId="0" xfId="0" applyAlignment="1" applyBorder="1" applyFont="1">
      <alignment horizontal="center"/>
    </xf>
    <xf borderId="0" fillId="0" fontId="2" numFmtId="0" xfId="0" applyFont="1"/>
    <xf borderId="0" fillId="0" fontId="14" numFmtId="0" xfId="0" applyAlignment="1" applyFont="1">
      <alignment horizontal="center"/>
    </xf>
    <xf borderId="0" fillId="0" fontId="18" numFmtId="0" xfId="0" applyAlignment="1" applyFont="1">
      <alignment horizontal="center"/>
    </xf>
    <xf borderId="0" fillId="0" fontId="19" numFmtId="0" xfId="0" applyAlignment="1" applyFont="1">
      <alignment horizontal="center"/>
    </xf>
    <xf borderId="0" fillId="0" fontId="20" numFmtId="0" xfId="0" applyAlignment="1" applyFont="1">
      <alignment horizontal="center"/>
    </xf>
    <xf borderId="0" fillId="0" fontId="17" numFmtId="0" xfId="0" applyAlignment="1" applyFont="1">
      <alignment horizontal="center" shrinkToFit="0" wrapText="1"/>
    </xf>
    <xf borderId="9" fillId="0" fontId="5" numFmtId="0" xfId="0" applyAlignment="1" applyBorder="1" applyFont="1">
      <alignment shrinkToFit="0" wrapText="1"/>
    </xf>
    <xf borderId="0" fillId="0" fontId="13" numFmtId="0" xfId="0" applyFont="1"/>
    <xf borderId="10" fillId="0" fontId="21" numFmtId="0" xfId="0" applyAlignment="1" applyBorder="1" applyFont="1">
      <alignment shrinkToFit="0" wrapText="1"/>
    </xf>
    <xf borderId="11" fillId="0" fontId="4" numFmtId="0" xfId="0" applyBorder="1" applyFont="1"/>
    <xf borderId="12" fillId="0" fontId="4" numFmtId="0" xfId="0" applyBorder="1" applyFont="1"/>
    <xf borderId="13" fillId="0" fontId="21" numFmtId="0" xfId="0" applyAlignment="1" applyBorder="1" applyFont="1">
      <alignment shrinkToFit="0" wrapText="1"/>
    </xf>
    <xf borderId="6" fillId="0" fontId="4" numFmtId="0" xfId="0" applyBorder="1" applyFont="1"/>
    <xf borderId="14" fillId="0" fontId="4" numFmtId="0" xfId="0" applyBorder="1" applyFont="1"/>
    <xf borderId="15" fillId="0" fontId="21" numFmtId="0" xfId="0" applyAlignment="1" applyBorder="1" applyFont="1">
      <alignment shrinkToFit="0" wrapText="1"/>
    </xf>
    <xf borderId="16" fillId="0" fontId="4" numFmtId="0" xfId="0" applyBorder="1" applyFont="1"/>
    <xf borderId="17" fillId="0" fontId="4" numFmtId="0" xfId="0" applyBorder="1" applyFont="1"/>
    <xf borderId="0" fillId="0" fontId="5" numFmtId="0" xfId="0" applyAlignment="1" applyFont="1">
      <alignment shrinkToFit="0" wrapText="1"/>
    </xf>
    <xf borderId="18" fillId="2" fontId="1" numFmtId="0" xfId="0" applyAlignment="1" applyBorder="1" applyFont="1">
      <alignment horizontal="center" shrinkToFit="0" vertical="center" wrapText="1"/>
    </xf>
    <xf borderId="19" fillId="0" fontId="4" numFmtId="0" xfId="0" applyBorder="1" applyFont="1"/>
    <xf borderId="20" fillId="0" fontId="4" numFmtId="0" xfId="0" applyBorder="1" applyFont="1"/>
    <xf borderId="21" fillId="2" fontId="1" numFmtId="0" xfId="0" applyAlignment="1" applyBorder="1" applyFont="1">
      <alignment horizontal="center" shrinkToFit="0" vertical="center" wrapText="1"/>
    </xf>
    <xf borderId="3" fillId="4" fontId="6" numFmtId="0" xfId="0" applyAlignment="1" applyBorder="1" applyFont="1">
      <alignment horizontal="center" shrinkToFit="0" wrapText="1"/>
    </xf>
    <xf borderId="8" fillId="6" fontId="7" numFmtId="0" xfId="0" applyAlignment="1" applyBorder="1" applyFont="1">
      <alignment horizontal="center"/>
    </xf>
    <xf borderId="3" fillId="8" fontId="22" numFmtId="0" xfId="0" applyAlignment="1" applyBorder="1" applyFont="1">
      <alignment horizontal="center" shrinkToFit="0" wrapText="1"/>
    </xf>
    <xf borderId="3" fillId="8" fontId="9" numFmtId="0" xfId="0" applyAlignment="1" applyBorder="1" applyFont="1">
      <alignment horizontal="center" shrinkToFit="0" wrapText="1"/>
    </xf>
    <xf borderId="3" fillId="0" fontId="14" numFmtId="0" xfId="0" applyAlignment="1" applyBorder="1" applyFont="1">
      <alignment horizontal="center"/>
    </xf>
    <xf borderId="0" fillId="0" fontId="21" numFmtId="0" xfId="0" applyAlignment="1" applyFont="1">
      <alignment shrinkToFit="0" wrapText="1"/>
    </xf>
    <xf borderId="22" fillId="2" fontId="1" numFmtId="0" xfId="0" applyAlignment="1" applyBorder="1" applyFont="1">
      <alignment horizontal="center" shrinkToFit="0" vertical="center" wrapText="1"/>
    </xf>
    <xf borderId="23" fillId="0" fontId="4" numFmtId="0" xfId="0" applyBorder="1" applyFont="1"/>
    <xf borderId="24" fillId="0" fontId="4" numFmtId="0" xfId="0" applyBorder="1" applyFont="1"/>
    <xf borderId="25" fillId="2" fontId="1" numFmtId="0" xfId="0" applyAlignment="1" applyBorder="1" applyFont="1">
      <alignment horizontal="center" shrinkToFit="0" vertical="center" wrapText="1"/>
    </xf>
    <xf borderId="26" fillId="4" fontId="6" numFmtId="0" xfId="0" applyAlignment="1" applyBorder="1" applyFont="1">
      <alignment horizontal="center" shrinkToFit="0" wrapText="1"/>
    </xf>
    <xf borderId="27" fillId="0" fontId="4" numFmtId="0" xfId="0" applyBorder="1" applyFont="1"/>
    <xf borderId="28" fillId="0" fontId="4" numFmtId="0" xfId="0" applyBorder="1" applyFont="1"/>
    <xf borderId="29" fillId="6" fontId="7" numFmtId="0" xfId="0" applyAlignment="1" applyBorder="1" applyFont="1">
      <alignment horizontal="center"/>
    </xf>
    <xf borderId="30" fillId="8" fontId="2" numFmtId="0" xfId="0" applyAlignment="1" applyBorder="1" applyFont="1">
      <alignment horizontal="center" shrinkToFit="0" wrapText="1"/>
    </xf>
    <xf borderId="31" fillId="8" fontId="12" numFmtId="0" xfId="0" applyAlignment="1" applyBorder="1" applyFont="1">
      <alignment horizontal="center" shrinkToFit="0" wrapText="1"/>
    </xf>
    <xf borderId="30" fillId="8" fontId="2" numFmtId="0" xfId="0" applyAlignment="1" applyBorder="1" applyFont="1">
      <alignment horizontal="right" shrinkToFit="0" wrapText="1"/>
    </xf>
    <xf borderId="31" fillId="0" fontId="17" numFmtId="0" xfId="0" applyAlignment="1" applyBorder="1" applyFont="1">
      <alignment horizontal="center" shrinkToFit="0" wrapText="1"/>
    </xf>
    <xf borderId="32" fillId="0" fontId="1" numFmtId="0" xfId="0" applyAlignment="1" applyBorder="1" applyFont="1">
      <alignment horizontal="center"/>
    </xf>
    <xf borderId="33" fillId="0" fontId="14" numFmtId="0" xfId="0" applyAlignment="1" applyBorder="1" applyFont="1">
      <alignment horizontal="center"/>
    </xf>
    <xf borderId="34" fillId="0" fontId="4" numFmtId="0" xfId="0" applyBorder="1" applyFont="1"/>
    <xf borderId="35" fillId="0" fontId="4" numFmtId="0" xfId="0" applyBorder="1" applyFont="1"/>
    <xf borderId="36" fillId="0" fontId="18" numFmtId="0" xfId="0" applyAlignment="1" applyBorder="1" applyFont="1">
      <alignment horizontal="center"/>
    </xf>
    <xf borderId="36" fillId="0" fontId="19" numFmtId="0" xfId="0" applyAlignment="1" applyBorder="1" applyFont="1">
      <alignment horizontal="center"/>
    </xf>
    <xf borderId="36" fillId="0" fontId="20" numFmtId="0" xfId="0" applyAlignment="1" applyBorder="1" applyFont="1">
      <alignment horizontal="center"/>
    </xf>
    <xf borderId="37" fillId="0" fontId="20" numFmtId="0" xfId="0" applyAlignment="1" applyBorder="1" applyFont="1">
      <alignment horizontal="center"/>
    </xf>
    <xf borderId="2" fillId="5" fontId="23" numFmtId="0" xfId="0" applyAlignment="1" applyBorder="1" applyFont="1">
      <alignment horizontal="center" vertical="center"/>
    </xf>
    <xf borderId="0" fillId="0" fontId="24" numFmtId="0" xfId="0" applyAlignment="1" applyFont="1">
      <alignment readingOrder="0"/>
    </xf>
    <xf borderId="0" fillId="0" fontId="25" numFmtId="0" xfId="0" applyAlignment="1" applyFont="1">
      <alignment readingOrder="0"/>
    </xf>
    <xf borderId="0" fillId="0" fontId="25" numFmtId="0" xfId="0" applyFont="1"/>
    <xf borderId="38" fillId="0" fontId="26" numFmtId="0" xfId="0" applyAlignment="1" applyBorder="1" applyFont="1">
      <alignment readingOrder="0" shrinkToFit="0" vertical="bottom" wrapText="1"/>
    </xf>
    <xf borderId="2" fillId="9" fontId="27" numFmtId="0" xfId="0" applyAlignment="1" applyBorder="1" applyFill="1" applyFont="1">
      <alignment horizontal="center" shrinkToFit="0" wrapText="1"/>
    </xf>
    <xf borderId="38" fillId="0" fontId="5" numFmtId="0" xfId="0" applyAlignment="1" applyBorder="1" applyFont="1">
      <alignment readingOrder="0" shrinkToFit="0" wrapText="1"/>
    </xf>
    <xf borderId="38" fillId="0" fontId="28" numFmtId="0" xfId="0" applyAlignment="1" applyBorder="1" applyFont="1">
      <alignment readingOrder="0" shrinkToFit="0" vertical="bottom" wrapText="1"/>
    </xf>
    <xf borderId="0" fillId="0" fontId="25" numFmtId="0" xfId="0" applyAlignment="1" applyFont="1">
      <alignment horizontal="center"/>
    </xf>
    <xf borderId="2" fillId="4" fontId="7" numFmtId="0" xfId="0" applyAlignment="1" applyBorder="1" applyFont="1">
      <alignment readingOrder="0" shrinkToFit="0" vertical="bottom" wrapText="1"/>
    </xf>
    <xf borderId="5" fillId="4" fontId="7" numFmtId="0" xfId="0" applyAlignment="1" applyBorder="1" applyFont="1">
      <alignment readingOrder="0" shrinkToFit="0" vertical="bottom" wrapText="1"/>
    </xf>
    <xf borderId="5" fillId="4" fontId="7" numFmtId="0" xfId="0" applyAlignment="1" applyBorder="1" applyFont="1">
      <alignment horizontal="center" readingOrder="0" shrinkToFit="0" vertical="bottom" wrapText="1"/>
    </xf>
    <xf borderId="7" fillId="0" fontId="26" numFmtId="0" xfId="0" applyAlignment="1" applyBorder="1" applyFont="1">
      <alignment readingOrder="0" shrinkToFit="0" vertical="bottom" wrapText="1"/>
    </xf>
    <xf borderId="39" fillId="8" fontId="26" numFmtId="0" xfId="0" applyAlignment="1" applyBorder="1" applyFont="1">
      <alignment readingOrder="0" shrinkToFit="0" vertical="bottom" wrapText="1"/>
    </xf>
    <xf borderId="38" fillId="0" fontId="28" numFmtId="0" xfId="0" applyAlignment="1" applyBorder="1" applyFont="1">
      <alignment shrinkToFit="0" vertical="bottom" wrapText="1"/>
    </xf>
    <xf borderId="38" fillId="10" fontId="26" numFmtId="0" xfId="0" applyAlignment="1" applyBorder="1" applyFill="1" applyFont="1">
      <alignment readingOrder="0" shrinkToFit="0" vertical="bottom" wrapText="1"/>
    </xf>
    <xf borderId="38" fillId="0" fontId="26" numFmtId="0" xfId="0" applyAlignment="1" applyBorder="1" applyFont="1">
      <alignment horizontal="center" readingOrder="0" shrinkToFit="0" vertical="bottom" wrapText="1"/>
    </xf>
    <xf borderId="39" fillId="0" fontId="4" numFmtId="0" xfId="0" applyBorder="1" applyFont="1"/>
    <xf borderId="39" fillId="0" fontId="26" numFmtId="0" xfId="0" applyAlignment="1" applyBorder="1" applyFont="1">
      <alignment readingOrder="0" shrinkToFit="0" vertical="bottom" wrapText="1"/>
    </xf>
    <xf borderId="38" fillId="8" fontId="26" numFmtId="0" xfId="0" applyAlignment="1" applyBorder="1" applyFont="1">
      <alignment readingOrder="0" shrinkToFit="0" vertical="bottom" wrapText="1"/>
    </xf>
    <xf borderId="38" fillId="0" fontId="29" numFmtId="0" xfId="0" applyAlignment="1" applyBorder="1" applyFont="1">
      <alignment readingOrder="0" shrinkToFit="0" vertical="bottom" wrapText="1"/>
    </xf>
    <xf borderId="38" fillId="0" fontId="30" numFmtId="0" xfId="0" applyAlignment="1" applyBorder="1" applyFont="1">
      <alignment readingOrder="0" shrinkToFit="0" vertical="bottom" wrapText="1"/>
    </xf>
    <xf borderId="2" fillId="0" fontId="5" numFmtId="0" xfId="0" applyAlignment="1" applyBorder="1" applyFont="1">
      <alignment readingOrder="0" shrinkToFit="0" wrapText="1"/>
    </xf>
    <xf borderId="38" fillId="0" fontId="4" numFmtId="0" xfId="0" applyBorder="1" applyFont="1"/>
    <xf borderId="7" fillId="0" fontId="28" numFmtId="0" xfId="0" applyAlignment="1" applyBorder="1" applyFont="1">
      <alignment shrinkToFit="0" vertical="bottom" wrapText="1"/>
    </xf>
    <xf borderId="38" fillId="0" fontId="31" numFmtId="0" xfId="0" applyAlignment="1" applyBorder="1" applyFont="1">
      <alignment shrinkToFit="0" vertical="bottom" wrapText="1"/>
    </xf>
    <xf borderId="38" fillId="11" fontId="26" numFmtId="0" xfId="0" applyAlignment="1" applyBorder="1" applyFill="1" applyFont="1">
      <alignment readingOrder="0" shrinkToFit="0" vertical="bottom" wrapText="1"/>
    </xf>
    <xf borderId="38" fillId="0" fontId="26" numFmtId="0" xfId="0" applyAlignment="1" applyBorder="1" applyFont="1">
      <alignment shrinkToFit="0" vertical="bottom" wrapText="1"/>
    </xf>
    <xf borderId="38" fillId="0" fontId="32" numFmtId="0" xfId="0" applyAlignment="1" applyBorder="1" applyFont="1">
      <alignment readingOrder="0" shrinkToFit="0" vertical="bottom" wrapText="1"/>
    </xf>
    <xf borderId="39" fillId="0" fontId="26" numFmtId="0" xfId="0" applyAlignment="1" applyBorder="1" applyFont="1">
      <alignment shrinkToFit="0" vertical="bottom" wrapText="1"/>
    </xf>
    <xf borderId="38" fillId="0" fontId="5" numFmtId="0" xfId="0" applyAlignment="1" applyBorder="1" applyFont="1">
      <alignment readingOrder="0" shrinkToFit="0" vertical="bottom" wrapText="1"/>
    </xf>
    <xf borderId="0" fillId="0" fontId="26" numFmtId="0" xfId="0" applyAlignment="1" applyFont="1">
      <alignment readingOrder="0" shrinkToFit="0" vertical="bottom" wrapText="1"/>
    </xf>
    <xf borderId="39" fillId="0" fontId="33" numFmtId="0" xfId="0" applyAlignment="1" applyBorder="1" applyFont="1">
      <alignment readingOrder="0" shrinkToFit="0" vertical="bottom" wrapText="1"/>
    </xf>
    <xf borderId="40" fillId="0" fontId="26" numFmtId="0" xfId="0" applyAlignment="1" applyBorder="1" applyFont="1">
      <alignment readingOrder="0" shrinkToFit="0" vertical="bottom" wrapText="1"/>
    </xf>
    <xf borderId="2" fillId="0" fontId="28" numFmtId="0" xfId="0" applyAlignment="1" applyBorder="1" applyFont="1">
      <alignment readingOrder="0" shrinkToFit="0" vertical="bottom" wrapText="1"/>
    </xf>
    <xf borderId="1" fillId="0" fontId="28" numFmtId="0" xfId="0" applyAlignment="1" applyBorder="1" applyFont="1">
      <alignment readingOrder="0" shrinkToFit="0" vertical="bottom" wrapText="1"/>
    </xf>
    <xf borderId="2" fillId="0" fontId="28" numFmtId="0" xfId="0" applyAlignment="1" applyBorder="1" applyFont="1">
      <alignment shrinkToFit="0" vertical="bottom" wrapText="1"/>
    </xf>
    <xf borderId="2" fillId="0" fontId="26" numFmtId="0" xfId="0" applyAlignment="1" applyBorder="1" applyFont="1">
      <alignment readingOrder="0" shrinkToFit="0" vertical="bottom" wrapText="1"/>
    </xf>
    <xf borderId="2" fillId="10" fontId="26" numFmtId="0" xfId="0" applyAlignment="1" applyBorder="1" applyFont="1">
      <alignment readingOrder="0" shrinkToFit="0" vertical="bottom" wrapText="1"/>
    </xf>
    <xf borderId="2" fillId="0" fontId="26" numFmtId="0" xfId="0" applyAlignment="1" applyBorder="1" applyFont="1">
      <alignment horizontal="center" readingOrder="0" shrinkToFit="0" vertical="bottom" wrapText="1"/>
    </xf>
    <xf borderId="2" fillId="0" fontId="34" numFmtId="0" xfId="0" applyAlignment="1" applyBorder="1" applyFont="1">
      <alignment readingOrder="0" shrinkToFit="0" vertical="bottom" wrapText="1"/>
    </xf>
    <xf borderId="2" fillId="0" fontId="34" numFmtId="0" xfId="0" applyAlignment="1" applyBorder="1" applyFont="1">
      <alignment shrinkToFit="0" vertical="bottom" wrapText="1"/>
    </xf>
    <xf borderId="41" fillId="0" fontId="4" numFmtId="0" xfId="0" applyBorder="1" applyFont="1"/>
    <xf borderId="1" fillId="0" fontId="28" numFmtId="0" xfId="0" applyAlignment="1" applyBorder="1" applyFont="1">
      <alignment horizontal="center" readingOrder="0" shrinkToFit="0" vertical="bottom" wrapText="1"/>
    </xf>
    <xf borderId="2" fillId="11" fontId="26" numFmtId="0" xfId="0" applyAlignment="1" applyBorder="1" applyFont="1">
      <alignment readingOrder="0" shrinkToFit="0" vertical="bottom" wrapText="1"/>
    </xf>
    <xf borderId="2" fillId="0" fontId="35" numFmtId="0" xfId="0" applyAlignment="1" applyBorder="1" applyFont="1">
      <alignment readingOrder="0" shrinkToFit="0" vertical="bottom" wrapText="1"/>
    </xf>
    <xf borderId="2" fillId="8" fontId="28" numFmtId="0" xfId="0" applyAlignment="1" applyBorder="1" applyFont="1">
      <alignment readingOrder="0" shrinkToFit="0" vertical="bottom" wrapText="1"/>
    </xf>
    <xf borderId="2" fillId="8" fontId="28" numFmtId="0" xfId="0" applyAlignment="1" applyBorder="1" applyFont="1">
      <alignment shrinkToFit="0" vertical="bottom" wrapText="1"/>
    </xf>
    <xf borderId="1" fillId="0" fontId="36" numFmtId="0" xfId="0" applyAlignment="1" applyBorder="1" applyFont="1">
      <alignment readingOrder="0" shrinkToFit="0" vertical="bottom" wrapText="1"/>
    </xf>
    <xf borderId="2" fillId="0" fontId="36" numFmtId="0" xfId="0" applyAlignment="1" applyBorder="1" applyFont="1">
      <alignment readingOrder="0" shrinkToFit="0" vertical="bottom" wrapText="1"/>
    </xf>
    <xf borderId="2" fillId="8" fontId="37" numFmtId="0" xfId="0" applyAlignment="1" applyBorder="1" applyFont="1">
      <alignment readingOrder="0" shrinkToFit="0" vertical="bottom" wrapText="1"/>
    </xf>
    <xf borderId="2" fillId="8" fontId="38" numFmtId="0" xfId="0" applyAlignment="1" applyBorder="1" applyFont="1">
      <alignment readingOrder="0" shrinkToFit="0" vertical="bottom" wrapText="1"/>
    </xf>
    <xf borderId="2" fillId="8" fontId="39" numFmtId="0" xfId="0" applyAlignment="1" applyBorder="1" applyFont="1">
      <alignment readingOrder="0" shrinkToFit="0" vertical="bottom" wrapText="1"/>
    </xf>
    <xf borderId="2" fillId="0" fontId="40" numFmtId="0" xfId="0" applyAlignment="1" applyBorder="1" applyFont="1">
      <alignment readingOrder="0" shrinkToFit="0" vertical="bottom" wrapText="1"/>
    </xf>
    <xf borderId="2" fillId="0" fontId="40" numFmtId="0" xfId="0" applyAlignment="1" applyBorder="1" applyFont="1">
      <alignment shrinkToFit="0" vertical="bottom" wrapText="1"/>
    </xf>
    <xf borderId="2" fillId="0" fontId="41" numFmtId="0" xfId="0" applyAlignment="1" applyBorder="1" applyFont="1">
      <alignment readingOrder="0" shrinkToFit="0" vertical="bottom" wrapText="1"/>
    </xf>
    <xf borderId="2" fillId="0" fontId="42" numFmtId="0" xfId="0" applyAlignment="1" applyBorder="1" applyFont="1">
      <alignment shrinkToFit="0" vertical="bottom" wrapText="1"/>
    </xf>
    <xf borderId="2" fillId="0" fontId="43" numFmtId="0" xfId="0" applyAlignment="1" applyBorder="1" applyFont="1">
      <alignment readingOrder="0" shrinkToFit="0" vertical="bottom" wrapText="1"/>
    </xf>
    <xf borderId="2" fillId="8" fontId="44" numFmtId="0" xfId="0" applyAlignment="1" applyBorder="1" applyFont="1">
      <alignment shrinkToFit="0" vertical="bottom" wrapText="1"/>
    </xf>
    <xf borderId="2" fillId="0" fontId="34" numFmtId="0" xfId="0" applyAlignment="1" applyBorder="1" applyFont="1">
      <alignment horizontal="left" shrinkToFit="0" wrapText="1"/>
    </xf>
    <xf borderId="2" fillId="0" fontId="34" numFmtId="0" xfId="0" applyAlignment="1" applyBorder="1" applyFont="1">
      <alignment readingOrder="0" shrinkToFit="0" wrapText="1"/>
    </xf>
    <xf borderId="2" fillId="0" fontId="45" numFmtId="0" xfId="0" applyAlignment="1" applyBorder="1" applyFont="1">
      <alignment readingOrder="0" shrinkToFit="0" vertical="bottom" wrapText="1"/>
    </xf>
    <xf borderId="2" fillId="0" fontId="34" numFmtId="0" xfId="0" applyAlignment="1" applyBorder="1" applyFont="1">
      <alignment horizontal="left" shrinkToFit="0" vertical="bottom" wrapText="1"/>
    </xf>
    <xf borderId="2" fillId="0" fontId="34" numFmtId="0" xfId="0" applyAlignment="1" applyBorder="1" applyFont="1">
      <alignment horizontal="left" readingOrder="0" shrinkToFit="0" wrapText="1"/>
    </xf>
    <xf borderId="2" fillId="0" fontId="46" numFmtId="0" xfId="0" applyAlignment="1" applyBorder="1" applyFont="1">
      <alignment readingOrder="0" shrinkToFit="0" vertical="bottom" wrapText="1"/>
    </xf>
    <xf borderId="1" fillId="0" fontId="28" numFmtId="0" xfId="0" applyAlignment="1" applyBorder="1" applyFont="1">
      <alignment shrinkToFit="0" vertical="bottom" wrapText="1"/>
    </xf>
    <xf borderId="2" fillId="0" fontId="47" numFmtId="0" xfId="0" applyAlignment="1" applyBorder="1" applyFont="1">
      <alignment readingOrder="0" shrinkToFit="0" vertical="bottom" wrapText="1"/>
    </xf>
    <xf borderId="2" fillId="7" fontId="48" numFmtId="0" xfId="0" applyAlignment="1" applyBorder="1" applyFont="1">
      <alignment readingOrder="0" shrinkToFit="0" vertical="bottom" wrapText="1"/>
    </xf>
    <xf borderId="2" fillId="8" fontId="45" numFmtId="0" xfId="0" applyAlignment="1" applyBorder="1" applyFont="1">
      <alignment readingOrder="0" shrinkToFit="0" vertical="bottom" wrapText="1"/>
    </xf>
    <xf borderId="2" fillId="0" fontId="36" numFmtId="0" xfId="0" applyAlignment="1" applyBorder="1" applyFont="1">
      <alignment shrinkToFit="0" vertical="bottom" wrapText="1"/>
    </xf>
    <xf borderId="2" fillId="0" fontId="49" numFmtId="0" xfId="0" applyAlignment="1" applyBorder="1" applyFont="1">
      <alignment horizontal="left" readingOrder="0" shrinkToFit="0" vertical="bottom" wrapText="1"/>
    </xf>
    <xf borderId="2" fillId="0" fontId="50" numFmtId="0" xfId="0" applyAlignment="1" applyBorder="1" applyFont="1">
      <alignment readingOrder="0" shrinkToFit="0" vertical="bottom" wrapText="1"/>
    </xf>
    <xf borderId="1" fillId="0" fontId="50" numFmtId="0" xfId="0" applyAlignment="1" applyBorder="1" applyFont="1">
      <alignment horizontal="center" readingOrder="0" shrinkToFit="0" wrapText="1"/>
    </xf>
    <xf borderId="2" fillId="8" fontId="28" numFmtId="0" xfId="0" applyAlignment="1" applyBorder="1" applyFont="1">
      <alignment horizontal="center" readingOrder="0" shrinkToFit="0" vertical="bottom" wrapText="1"/>
    </xf>
    <xf borderId="1" fillId="0" fontId="28" numFmtId="0" xfId="0" applyAlignment="1" applyBorder="1" applyFont="1">
      <alignment horizontal="center" readingOrder="0" shrinkToFit="0" wrapText="1"/>
    </xf>
    <xf borderId="1" fillId="0" fontId="45" numFmtId="0" xfId="0" applyAlignment="1" applyBorder="1" applyFont="1">
      <alignment readingOrder="0" shrinkToFit="0" wrapText="1"/>
    </xf>
    <xf borderId="2" fillId="0" fontId="51" numFmtId="0" xfId="0" applyAlignment="1" applyBorder="1" applyFont="1">
      <alignment readingOrder="0" shrinkToFit="0" vertical="bottom" wrapText="1"/>
    </xf>
    <xf borderId="1" fillId="0" fontId="28" numFmtId="0" xfId="0" applyAlignment="1" applyBorder="1" applyFont="1">
      <alignment readingOrder="0" shrinkToFit="0" wrapText="1"/>
    </xf>
    <xf borderId="1" fillId="0" fontId="52" numFmtId="0" xfId="0" applyAlignment="1" applyBorder="1" applyFont="1">
      <alignment horizontal="center" readingOrder="0" shrinkToFit="0" wrapText="1"/>
    </xf>
    <xf borderId="2" fillId="0" fontId="53" numFmtId="0" xfId="0" applyAlignment="1" applyBorder="1" applyFont="1">
      <alignment readingOrder="0" shrinkToFit="0" vertical="bottom" wrapText="1"/>
    </xf>
    <xf borderId="2" fillId="0" fontId="34" numFmtId="0" xfId="0" applyAlignment="1" applyBorder="1" applyFont="1">
      <alignment horizontal="center" readingOrder="0" shrinkToFit="0" vertical="bottom" wrapText="1"/>
    </xf>
    <xf borderId="2" fillId="8" fontId="54" numFmtId="0" xfId="0" applyAlignment="1" applyBorder="1" applyFont="1">
      <alignment readingOrder="0" shrinkToFit="0" vertical="bottom" wrapText="1"/>
    </xf>
    <xf borderId="2" fillId="8" fontId="53" numFmtId="0" xfId="0" applyAlignment="1" applyBorder="1" applyFont="1">
      <alignment shrinkToFit="0" vertical="bottom" wrapText="1"/>
    </xf>
    <xf borderId="1" fillId="0" fontId="55" numFmtId="0" xfId="0" applyAlignment="1" applyBorder="1" applyFont="1">
      <alignment horizontal="center" readingOrder="0" shrinkToFit="0" wrapText="1"/>
    </xf>
    <xf borderId="1" fillId="0" fontId="46" numFmtId="0" xfId="0" applyAlignment="1" applyBorder="1" applyFont="1">
      <alignment horizontal="center" readingOrder="0" shrinkToFit="0" wrapText="1"/>
    </xf>
    <xf borderId="2" fillId="0" fontId="28" numFmtId="0" xfId="0" applyAlignment="1" applyBorder="1" applyFont="1">
      <alignment horizontal="center" shrinkToFit="0" wrapText="1"/>
    </xf>
    <xf borderId="42" fillId="0" fontId="28" numFmtId="0" xfId="0" applyAlignment="1" applyBorder="1" applyFont="1">
      <alignment shrinkToFit="0" vertical="bottom" wrapText="1"/>
    </xf>
    <xf borderId="0" fillId="0" fontId="28" numFmtId="0" xfId="0" applyAlignment="1" applyFont="1">
      <alignment shrinkToFit="0" vertical="bottom" wrapText="1"/>
    </xf>
    <xf borderId="42" fillId="0" fontId="28" numFmtId="0" xfId="0" applyAlignment="1" applyBorder="1" applyFont="1">
      <alignment shrinkToFit="0" vertical="bottom" wrapText="1"/>
    </xf>
    <xf borderId="0" fillId="0" fontId="28" numFmtId="0" xfId="0" applyAlignment="1" applyFont="1">
      <alignment shrinkToFit="0" vertical="bottom" wrapText="1"/>
    </xf>
    <xf borderId="43" fillId="0" fontId="28" numFmtId="0" xfId="0" applyAlignment="1" applyBorder="1" applyFont="1">
      <alignment shrinkToFit="0" vertical="bottom" wrapText="1"/>
    </xf>
    <xf borderId="40" fillId="0" fontId="28" numFmtId="0" xfId="0" applyAlignment="1" applyBorder="1" applyFont="1">
      <alignment shrinkToFit="0" vertical="bottom" wrapText="1"/>
    </xf>
    <xf borderId="0" fillId="0" fontId="24" numFmtId="0" xfId="0" applyAlignment="1" applyFont="1">
      <alignment shrinkToFit="0" wrapText="1"/>
    </xf>
    <xf borderId="2" fillId="4" fontId="27" numFmtId="0" xfId="0" applyBorder="1" applyFont="1"/>
    <xf borderId="0" fillId="0" fontId="28" numFmtId="0" xfId="0" applyAlignment="1" applyFont="1">
      <alignment readingOrder="0" shrinkToFit="0" vertical="bottom" wrapText="0"/>
    </xf>
    <xf borderId="44" fillId="12" fontId="27" numFmtId="0" xfId="0" applyAlignment="1" applyBorder="1" applyFill="1" applyFont="1">
      <alignment shrinkToFit="0" vertical="top" wrapText="1"/>
    </xf>
    <xf borderId="45" fillId="12" fontId="27" numFmtId="0" xfId="0" applyAlignment="1" applyBorder="1" applyFont="1">
      <alignment shrinkToFit="0" vertical="top" wrapText="1"/>
    </xf>
    <xf borderId="45" fillId="12" fontId="27" numFmtId="0" xfId="0" applyAlignment="1" applyBorder="1" applyFont="1">
      <alignment horizontal="center" shrinkToFit="0" vertical="top" wrapText="1"/>
    </xf>
    <xf borderId="45" fillId="8" fontId="5" numFmtId="0" xfId="0" applyAlignment="1" applyBorder="1" applyFont="1">
      <alignment shrinkToFit="0" vertical="top" wrapText="1"/>
    </xf>
    <xf borderId="45" fillId="8" fontId="5" numFmtId="0" xfId="0" applyAlignment="1" applyBorder="1" applyFont="1">
      <alignment shrinkToFit="0" vertical="center" wrapText="1"/>
    </xf>
    <xf borderId="45" fillId="8" fontId="5" numFmtId="0" xfId="0" applyAlignment="1" applyBorder="1" applyFont="1">
      <alignment shrinkToFit="0" wrapText="1"/>
    </xf>
    <xf borderId="46" fillId="8" fontId="5" numFmtId="0" xfId="0" applyAlignment="1" applyBorder="1" applyFont="1">
      <alignment shrinkToFit="0" wrapText="1"/>
    </xf>
    <xf borderId="47" fillId="8" fontId="5" numFmtId="0" xfId="0" applyAlignment="1" applyBorder="1" applyFont="1">
      <alignment shrinkToFit="0" wrapText="1"/>
    </xf>
    <xf borderId="48" fillId="8" fontId="5" numFmtId="0" xfId="0" applyAlignment="1" applyBorder="1" applyFont="1">
      <alignment shrinkToFit="0" wrapText="1"/>
    </xf>
    <xf borderId="49" fillId="13" fontId="14" numFmtId="0" xfId="0" applyAlignment="1" applyBorder="1" applyFill="1" applyFont="1">
      <alignment shrinkToFit="0" wrapText="1"/>
    </xf>
    <xf borderId="50" fillId="0" fontId="4" numFmtId="0" xfId="0" applyBorder="1" applyFont="1"/>
    <xf borderId="51" fillId="0" fontId="4" numFmtId="0" xfId="0" applyBorder="1" applyFont="1"/>
    <xf borderId="46" fillId="0" fontId="5" numFmtId="0" xfId="0" applyAlignment="1" applyBorder="1" applyFont="1">
      <alignment shrinkToFit="0" wrapText="1"/>
    </xf>
    <xf borderId="52" fillId="8" fontId="5" numFmtId="0" xfId="0" applyAlignment="1" applyBorder="1" applyFont="1">
      <alignment shrinkToFit="0" wrapText="1"/>
    </xf>
    <xf borderId="2" fillId="5" fontId="27" numFmtId="0" xfId="0" applyAlignment="1" applyBorder="1" applyFont="1">
      <alignment horizontal="center" shrinkToFit="0" wrapText="1"/>
    </xf>
    <xf borderId="2" fillId="5" fontId="27" numFmtId="0" xfId="0" applyAlignment="1" applyBorder="1" applyFont="1">
      <alignment shrinkToFit="0" wrapText="1"/>
    </xf>
    <xf borderId="2" fillId="5" fontId="56" numFmtId="0" xfId="0" applyAlignment="1" applyBorder="1" applyFont="1">
      <alignment horizontal="center" vertical="center"/>
    </xf>
    <xf borderId="53" fillId="0" fontId="5" numFmtId="0" xfId="0" applyAlignment="1" applyBorder="1" applyFont="1">
      <alignment shrinkToFit="0" wrapText="1"/>
    </xf>
    <xf borderId="2" fillId="0" fontId="57" numFmtId="0" xfId="0" applyBorder="1" applyFont="1"/>
    <xf borderId="2" fillId="0" fontId="5" numFmtId="0" xfId="0" applyAlignment="1" applyBorder="1" applyFont="1">
      <alignment shrinkToFit="0" wrapText="1"/>
    </xf>
    <xf borderId="2" fillId="0" fontId="58" numFmtId="0" xfId="0" applyBorder="1" applyFont="1"/>
    <xf borderId="2" fillId="8" fontId="59" numFmtId="0" xfId="0" applyAlignment="1" applyBorder="1" applyFont="1">
      <alignment shrinkToFit="0" wrapText="1"/>
    </xf>
    <xf borderId="2" fillId="8" fontId="60" numFmtId="0" xfId="0" applyAlignment="1" applyBorder="1" applyFont="1">
      <alignment shrinkToFit="0" wrapText="1"/>
    </xf>
    <xf borderId="0" fillId="0" fontId="61" numFmtId="0" xfId="0" applyFont="1"/>
    <xf borderId="54" fillId="8" fontId="60" numFmtId="0" xfId="0" applyAlignment="1" applyBorder="1" applyFont="1">
      <alignment shrinkToFit="0" wrapText="1"/>
    </xf>
    <xf borderId="22" fillId="13" fontId="14" numFmtId="0" xfId="0" applyAlignment="1" applyBorder="1" applyFont="1">
      <alignment shrinkToFit="0" wrapText="1"/>
    </xf>
    <xf borderId="55" fillId="5" fontId="27" numFmtId="0" xfId="0" applyAlignment="1" applyBorder="1" applyFont="1">
      <alignment horizontal="center" shrinkToFit="0" wrapText="1"/>
    </xf>
    <xf borderId="55" fillId="5" fontId="27" numFmtId="0" xfId="0" applyAlignment="1" applyBorder="1" applyFont="1">
      <alignment shrinkToFit="0" wrapText="1"/>
    </xf>
    <xf borderId="22" fillId="5" fontId="27" numFmtId="0" xfId="0" applyAlignment="1" applyBorder="1" applyFont="1">
      <alignment horizontal="center" shrinkToFit="0" wrapText="1"/>
    </xf>
    <xf borderId="0" fillId="0" fontId="62" numFmtId="0" xfId="0" applyAlignment="1" applyFont="1">
      <alignment shrinkToFit="0" wrapText="1"/>
    </xf>
    <xf borderId="2" fillId="8" fontId="63" numFmtId="0" xfId="0" applyBorder="1" applyFont="1"/>
    <xf borderId="56" fillId="8" fontId="63" numFmtId="0" xfId="0" applyAlignment="1" applyBorder="1" applyFont="1">
      <alignment shrinkToFit="0" wrapText="1"/>
    </xf>
    <xf borderId="56" fillId="8" fontId="63" numFmtId="0" xfId="0" applyBorder="1" applyFont="1"/>
    <xf borderId="54" fillId="8" fontId="5" numFmtId="0" xfId="0" applyBorder="1" applyFont="1"/>
    <xf borderId="8" fillId="8" fontId="34" numFmtId="0" xfId="0" applyAlignment="1" applyBorder="1" applyFont="1">
      <alignment horizontal="right"/>
    </xf>
    <xf borderId="57" fillId="8" fontId="34" numFmtId="0" xfId="0" applyAlignment="1" applyBorder="1" applyFont="1">
      <alignment shrinkToFit="0" wrapText="1"/>
    </xf>
    <xf borderId="57" fillId="8" fontId="34" numFmtId="0" xfId="0" applyBorder="1" applyFont="1"/>
    <xf borderId="8" fillId="14" fontId="34" numFmtId="0" xfId="0" applyAlignment="1" applyBorder="1" applyFill="1" applyFont="1">
      <alignment horizontal="right"/>
    </xf>
    <xf borderId="57" fillId="14" fontId="34" numFmtId="0" xfId="0" applyAlignment="1" applyBorder="1" applyFont="1">
      <alignment shrinkToFit="0" wrapText="1"/>
    </xf>
    <xf borderId="57" fillId="14" fontId="34" numFmtId="0" xfId="0" applyBorder="1" applyFont="1"/>
    <xf borderId="2" fillId="15" fontId="64" numFmtId="0" xfId="0" applyBorder="1" applyFill="1" applyFont="1"/>
    <xf borderId="2" fillId="8" fontId="27" numFmtId="0" xfId="0" applyBorder="1" applyFont="1"/>
    <xf borderId="2" fillId="8" fontId="34" numFmtId="0" xfId="0" applyAlignment="1" applyBorder="1" applyFont="1">
      <alignment shrinkToFit="0" wrapText="1"/>
    </xf>
    <xf borderId="2" fillId="8" fontId="64" numFmtId="0" xfId="0" applyBorder="1" applyFont="1"/>
    <xf borderId="2" fillId="8" fontId="5" numFmtId="0" xfId="0" applyAlignment="1" applyBorder="1" applyFont="1">
      <alignment shrinkToFit="0" wrapText="1"/>
    </xf>
    <xf borderId="8" fillId="16" fontId="34" numFmtId="0" xfId="0" applyAlignment="1" applyBorder="1" applyFill="1" applyFont="1">
      <alignment horizontal="right"/>
    </xf>
    <xf borderId="57" fillId="16" fontId="34" numFmtId="0" xfId="0" applyAlignment="1" applyBorder="1" applyFont="1">
      <alignment shrinkToFit="0" wrapText="1"/>
    </xf>
    <xf borderId="57" fillId="16" fontId="34" numFmtId="0" xfId="0" applyBorder="1" applyFont="1"/>
    <xf borderId="2" fillId="16" fontId="56" numFmtId="0" xfId="0" applyBorder="1" applyFont="1"/>
    <xf borderId="54" fillId="16" fontId="5" numFmtId="0" xfId="0" applyBorder="1" applyFont="1"/>
    <xf borderId="7" fillId="0" fontId="34" numFmtId="0" xfId="0" applyAlignment="1" applyBorder="1" applyFont="1">
      <alignment horizontal="right"/>
    </xf>
    <xf borderId="38" fillId="0" fontId="34" numFmtId="0" xfId="0" applyAlignment="1" applyBorder="1" applyFont="1">
      <alignment shrinkToFit="0" wrapText="1"/>
    </xf>
    <xf borderId="38" fillId="0" fontId="34" numFmtId="0" xfId="0" applyBorder="1" applyFont="1"/>
    <xf borderId="2" fillId="14" fontId="34" numFmtId="0" xfId="0" applyBorder="1" applyFont="1"/>
    <xf borderId="2" fillId="0" fontId="64" numFmtId="0" xfId="0" applyBorder="1" applyFont="1"/>
    <xf borderId="2" fillId="8" fontId="56" numFmtId="0" xfId="0" applyBorder="1" applyFont="1"/>
    <xf borderId="2" fillId="0" fontId="56" numFmtId="0" xfId="0" applyBorder="1" applyFont="1"/>
    <xf borderId="2" fillId="13" fontId="5" numFmtId="0" xfId="0" applyAlignment="1" applyBorder="1" applyFont="1">
      <alignment shrinkToFit="0" wrapText="1"/>
    </xf>
    <xf borderId="8" fillId="17" fontId="34" numFmtId="0" xfId="0" applyAlignment="1" applyBorder="1" applyFill="1" applyFont="1">
      <alignment horizontal="right"/>
    </xf>
    <xf borderId="57" fillId="17" fontId="34" numFmtId="0" xfId="0" applyAlignment="1" applyBorder="1" applyFont="1">
      <alignment shrinkToFit="0" wrapText="1"/>
    </xf>
    <xf borderId="57" fillId="17" fontId="34" numFmtId="0" xfId="0" applyBorder="1" applyFont="1"/>
    <xf borderId="54" fillId="17" fontId="5" numFmtId="0" xfId="0" applyBorder="1" applyFont="1"/>
    <xf borderId="54" fillId="17" fontId="5" numFmtId="0" xfId="0" applyAlignment="1" applyBorder="1" applyFont="1">
      <alignment shrinkToFit="0" wrapText="1"/>
    </xf>
    <xf borderId="54" fillId="8" fontId="5" numFmtId="0" xfId="0" applyAlignment="1" applyBorder="1" applyFont="1">
      <alignment shrinkToFit="0" wrapText="1"/>
    </xf>
    <xf borderId="54" fillId="16" fontId="5" numFmtId="0" xfId="0" applyAlignment="1" applyBorder="1" applyFont="1">
      <alignment shrinkToFit="0" wrapText="1"/>
    </xf>
    <xf borderId="2" fillId="18" fontId="63" numFmtId="0" xfId="0" applyBorder="1" applyFill="1" applyFont="1"/>
    <xf borderId="2" fillId="18" fontId="14" numFmtId="0" xfId="0" applyBorder="1" applyFont="1"/>
    <xf borderId="2" fillId="19" fontId="34" numFmtId="0" xfId="0" applyBorder="1" applyFill="1" applyFont="1"/>
    <xf borderId="2" fillId="19" fontId="5" numFmtId="0" xfId="0" applyBorder="1" applyFont="1"/>
    <xf borderId="2" fillId="18" fontId="5" numFmtId="0" xfId="0" applyBorder="1" applyFont="1"/>
    <xf borderId="2" fillId="19" fontId="34" numFmtId="0" xfId="0" applyAlignment="1" applyBorder="1" applyFont="1">
      <alignment horizontal="left"/>
    </xf>
    <xf borderId="2" fillId="19" fontId="5" numFmtId="0" xfId="0" applyAlignment="1" applyBorder="1" applyFont="1">
      <alignment shrinkToFit="0" wrapText="1"/>
    </xf>
    <xf borderId="8" fillId="20" fontId="34" numFmtId="0" xfId="0" applyBorder="1" applyFill="1" applyFont="1"/>
    <xf borderId="2" fillId="0" fontId="34" numFmtId="0" xfId="0" applyBorder="1" applyFont="1"/>
    <xf borderId="0" fillId="0" fontId="34" numFmtId="0" xfId="0" applyFont="1"/>
    <xf borderId="57" fillId="20" fontId="34" numFmtId="0" xfId="0" applyBorder="1" applyFont="1"/>
    <xf borderId="58" fillId="21" fontId="34" numFmtId="0" xfId="0" applyBorder="1" applyFill="1" applyFont="1"/>
    <xf borderId="59" fillId="21" fontId="34" numFmtId="0" xfId="0" applyBorder="1" applyFont="1"/>
    <xf borderId="2" fillId="20" fontId="34" numFmtId="0" xfId="0" applyBorder="1" applyFont="1"/>
    <xf borderId="5" fillId="0" fontId="34" numFmtId="0" xfId="0" applyBorder="1" applyFont="1"/>
    <xf borderId="8" fillId="18" fontId="34" numFmtId="0" xfId="0" applyBorder="1" applyFont="1"/>
    <xf borderId="57" fillId="18" fontId="34" numFmtId="0" xfId="0" applyBorder="1" applyFont="1"/>
    <xf borderId="7" fillId="0" fontId="34" numFmtId="0" xfId="0" applyBorder="1" applyFont="1"/>
    <xf borderId="41" fillId="0" fontId="34" numFmtId="0" xfId="0" applyBorder="1" applyFont="1"/>
    <xf borderId="60" fillId="18" fontId="34"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mosip.atlassian.net/browse/INJIWEB-122" TargetMode="External"/><Relationship Id="rId190" Type="http://schemas.openxmlformats.org/officeDocument/2006/relationships/hyperlink" Target="https://mosip.atlassian.net/browse/INJIWEB-1804" TargetMode="External"/><Relationship Id="rId42" Type="http://schemas.openxmlformats.org/officeDocument/2006/relationships/hyperlink" Target="https://mosip.atlassian.net/browse/INJIVER-709" TargetMode="External"/><Relationship Id="rId41" Type="http://schemas.openxmlformats.org/officeDocument/2006/relationships/hyperlink" Target="https://mosip.atlassian.net/browse/INJIWEB-625" TargetMode="External"/><Relationship Id="rId44" Type="http://schemas.openxmlformats.org/officeDocument/2006/relationships/hyperlink" Target="https://datashare-inji.qa-inji.mosip.net/v1/datashare/get/static-policyid/static-subscriberid/" TargetMode="External"/><Relationship Id="rId194" Type="http://schemas.openxmlformats.org/officeDocument/2006/relationships/hyperlink" Target="https://mosip.atlassian.net/browse/INJIWEB-1828" TargetMode="External"/><Relationship Id="rId43" Type="http://schemas.openxmlformats.org/officeDocument/2006/relationships/hyperlink" Target="https://mosip.atlassian.net/browse/INJIWEB-590" TargetMode="External"/><Relationship Id="rId193" Type="http://schemas.openxmlformats.org/officeDocument/2006/relationships/hyperlink" Target="https://mosip.atlassian.net/browse/INJIWEB-1833" TargetMode="External"/><Relationship Id="rId46" Type="http://schemas.openxmlformats.org/officeDocument/2006/relationships/hyperlink" Target="https://datashare-inji.qa-inji.mosip.net/v1/datashare/get/static-policyid/static-subscriberid/" TargetMode="External"/><Relationship Id="rId192" Type="http://schemas.openxmlformats.org/officeDocument/2006/relationships/hyperlink" Target="https://mosip.atlassian.net/browse/INJIWEB-1809" TargetMode="External"/><Relationship Id="rId45" Type="http://schemas.openxmlformats.org/officeDocument/2006/relationships/hyperlink" Target="https://datashare-inji.qa-inji.mosip.net/v1/datashare/get/static-policyid/static-subscriberid/" TargetMode="External"/><Relationship Id="rId191" Type="http://schemas.openxmlformats.org/officeDocument/2006/relationships/hyperlink" Target="https://mosip.atlassian.net/browse/INJIWEB-1805" TargetMode="External"/><Relationship Id="rId48" Type="http://schemas.openxmlformats.org/officeDocument/2006/relationships/hyperlink" Target="https://mosip.atlassian.net/browse/ES-1361" TargetMode="External"/><Relationship Id="rId187" Type="http://schemas.openxmlformats.org/officeDocument/2006/relationships/hyperlink" Target="https://mosip.atlassian.net/browse/INJIWEB-1854" TargetMode="External"/><Relationship Id="rId47" Type="http://schemas.openxmlformats.org/officeDocument/2006/relationships/hyperlink" Target="https://mosip.atlassian.net/browse/INJIWEB-842" TargetMode="External"/><Relationship Id="rId186" Type="http://schemas.openxmlformats.org/officeDocument/2006/relationships/hyperlink" Target="https://mosip.atlassian.net/browse/INJIWEB-1834" TargetMode="External"/><Relationship Id="rId185" Type="http://schemas.openxmlformats.org/officeDocument/2006/relationships/hyperlink" Target="https://mosip.atlassian.net/browse/INJIWEB-1802" TargetMode="External"/><Relationship Id="rId49" Type="http://schemas.openxmlformats.org/officeDocument/2006/relationships/hyperlink" Target="https://mosip.atlassian.net/browse/ES-1360" TargetMode="External"/><Relationship Id="rId184" Type="http://schemas.openxmlformats.org/officeDocument/2006/relationships/hyperlink" Target="https://mosip.atlassian.net/browse/INJIWEB-1674" TargetMode="External"/><Relationship Id="rId189" Type="http://schemas.openxmlformats.org/officeDocument/2006/relationships/hyperlink" Target="https://mosip.atlassian.net/browse/INJIWEB-1806" TargetMode="External"/><Relationship Id="rId188" Type="http://schemas.openxmlformats.org/officeDocument/2006/relationships/hyperlink" Target="https://mosip.atlassian.net/browse/INJIWEB-1678" TargetMode="External"/><Relationship Id="rId31" Type="http://schemas.openxmlformats.org/officeDocument/2006/relationships/hyperlink" Target="https://mosip.atlassian.net/browse/INJIWEB-570" TargetMode="External"/><Relationship Id="rId30" Type="http://schemas.openxmlformats.org/officeDocument/2006/relationships/hyperlink" Target="https://mosip.atlassian.net/browse/ES-1691" TargetMode="External"/><Relationship Id="rId33" Type="http://schemas.openxmlformats.org/officeDocument/2006/relationships/hyperlink" Target="https://mosip.atlassian.net/browse/INJIWEB-1500" TargetMode="External"/><Relationship Id="rId183" Type="http://schemas.openxmlformats.org/officeDocument/2006/relationships/hyperlink" Target="https://mosip.atlassian.net/browse/INJIWEB-1676" TargetMode="External"/><Relationship Id="rId32" Type="http://schemas.openxmlformats.org/officeDocument/2006/relationships/hyperlink" Target="https://mosip.atlassian.net/browse/INJIWEB-568" TargetMode="External"/><Relationship Id="rId182" Type="http://schemas.openxmlformats.org/officeDocument/2006/relationships/hyperlink" Target="https://mosip.atlassian.net/browse/INJIWEB-1677" TargetMode="External"/><Relationship Id="rId35" Type="http://schemas.openxmlformats.org/officeDocument/2006/relationships/hyperlink" Target="https://mosip.atlassian.net/browse/INJIWEB-290" TargetMode="External"/><Relationship Id="rId181" Type="http://schemas.openxmlformats.org/officeDocument/2006/relationships/hyperlink" Target="https://mosip.atlassian.net/browse/INJIWEB-1727" TargetMode="External"/><Relationship Id="rId34" Type="http://schemas.openxmlformats.org/officeDocument/2006/relationships/hyperlink" Target="https://mosip.atlassian.net/browse/INJIWEB-291" TargetMode="External"/><Relationship Id="rId180" Type="http://schemas.openxmlformats.org/officeDocument/2006/relationships/hyperlink" Target="https://mosip.atlassian.net/browse/INJIWEB-1649" TargetMode="External"/><Relationship Id="rId37" Type="http://schemas.openxmlformats.org/officeDocument/2006/relationships/hyperlink" Target="https://mosip.atlassian.net/browse/INJIWEB-243" TargetMode="External"/><Relationship Id="rId176" Type="http://schemas.openxmlformats.org/officeDocument/2006/relationships/hyperlink" Target="https://mosip.atlassian.net/browse/INJIWEB-1739" TargetMode="External"/><Relationship Id="rId36" Type="http://schemas.openxmlformats.org/officeDocument/2006/relationships/hyperlink" Target="https://mosip.atlassian.net/browse/ES-1213" TargetMode="External"/><Relationship Id="rId175" Type="http://schemas.openxmlformats.org/officeDocument/2006/relationships/hyperlink" Target="https://mosip.atlassian.net/browse/INJIWEB-1740" TargetMode="External"/><Relationship Id="rId39" Type="http://schemas.openxmlformats.org/officeDocument/2006/relationships/hyperlink" Target="https://mosip.atlassian.net/browse/INJIWEB-132" TargetMode="External"/><Relationship Id="rId174" Type="http://schemas.openxmlformats.org/officeDocument/2006/relationships/hyperlink" Target="https://mosip.atlassian.net/browse/INJIWEB-1732" TargetMode="External"/><Relationship Id="rId38" Type="http://schemas.openxmlformats.org/officeDocument/2006/relationships/hyperlink" Target="https://mosip.atlassian.net/browse/INJIWEB-180" TargetMode="External"/><Relationship Id="rId173" Type="http://schemas.openxmlformats.org/officeDocument/2006/relationships/hyperlink" Target="https://mosip.atlassian.net/browse/INJIWEB-1731" TargetMode="External"/><Relationship Id="rId179" Type="http://schemas.openxmlformats.org/officeDocument/2006/relationships/hyperlink" Target="https://mosip.atlassian.net/browse/INJIWEB-1736" TargetMode="External"/><Relationship Id="rId178" Type="http://schemas.openxmlformats.org/officeDocument/2006/relationships/hyperlink" Target="https://mosip.atlassian.net/browse/INJIWEB-1737" TargetMode="External"/><Relationship Id="rId177" Type="http://schemas.openxmlformats.org/officeDocument/2006/relationships/hyperlink" Target="https://mosip.atlassian.net/browse/INJIWEB-1738" TargetMode="External"/><Relationship Id="rId20" Type="http://schemas.openxmlformats.org/officeDocument/2006/relationships/hyperlink" Target="https://mosip.atlassian.net/browse/INJIWEB-125" TargetMode="External"/><Relationship Id="rId22" Type="http://schemas.openxmlformats.org/officeDocument/2006/relationships/hyperlink" Target="https://mosip.atlassian.net/browse/INJIWEB-130" TargetMode="External"/><Relationship Id="rId21" Type="http://schemas.openxmlformats.org/officeDocument/2006/relationships/hyperlink" Target="https://mosip.atlassian.net/browse/INJIWEB-128" TargetMode="External"/><Relationship Id="rId24" Type="http://schemas.openxmlformats.org/officeDocument/2006/relationships/hyperlink" Target="https://mosip.atlassian.net/browse/INJIWEB-125" TargetMode="External"/><Relationship Id="rId23" Type="http://schemas.openxmlformats.org/officeDocument/2006/relationships/hyperlink" Target="https://mosip.atlassian.net/browse/INJIWEB-130" TargetMode="External"/><Relationship Id="rId26" Type="http://schemas.openxmlformats.org/officeDocument/2006/relationships/hyperlink" Target="https://mosip.atlassian.net/browse/INJIWEB-128" TargetMode="External"/><Relationship Id="rId25" Type="http://schemas.openxmlformats.org/officeDocument/2006/relationships/hyperlink" Target="https://mosip.atlassian.net/browse/INJIWEB-128" TargetMode="External"/><Relationship Id="rId28" Type="http://schemas.openxmlformats.org/officeDocument/2006/relationships/hyperlink" Target="https://mosip.atlassian.net/browse/INJIWEB-131" TargetMode="External"/><Relationship Id="rId27" Type="http://schemas.openxmlformats.org/officeDocument/2006/relationships/hyperlink" Target="https://mosip.atlassian.net/browse/INJIWEB-131" TargetMode="External"/><Relationship Id="rId29" Type="http://schemas.openxmlformats.org/officeDocument/2006/relationships/hyperlink" Target="https://mosip.atlassian.net/browse/INJIWEB-594" TargetMode="External"/><Relationship Id="rId11" Type="http://schemas.openxmlformats.org/officeDocument/2006/relationships/hyperlink" Target="https://mosip.atlassian.net/browse/INJIWEB-290" TargetMode="External"/><Relationship Id="rId10" Type="http://schemas.openxmlformats.org/officeDocument/2006/relationships/hyperlink" Target="https://mosip.atlassian.net/browse/INJIWEB-291" TargetMode="External"/><Relationship Id="rId13" Type="http://schemas.openxmlformats.org/officeDocument/2006/relationships/hyperlink" Target="https://mosip.atlassian.net/browse/INJIWEB-243" TargetMode="External"/><Relationship Id="rId12" Type="http://schemas.openxmlformats.org/officeDocument/2006/relationships/hyperlink" Target="https://mosip.atlassian.net/browse/ES-1213" TargetMode="External"/><Relationship Id="rId15" Type="http://schemas.openxmlformats.org/officeDocument/2006/relationships/hyperlink" Target="https://mosip.atlassian.net/browse/INJIWEB-132" TargetMode="External"/><Relationship Id="rId198" Type="http://schemas.openxmlformats.org/officeDocument/2006/relationships/hyperlink" Target="https://mosip.atlassian.net/browse/INJIWEB-1832" TargetMode="External"/><Relationship Id="rId14" Type="http://schemas.openxmlformats.org/officeDocument/2006/relationships/hyperlink" Target="https://mosip.atlassian.net/browse/INJIWEB-180" TargetMode="External"/><Relationship Id="rId197" Type="http://schemas.openxmlformats.org/officeDocument/2006/relationships/hyperlink" Target="https://mosip.atlassian.net/browse/INJIWEB-1694" TargetMode="External"/><Relationship Id="rId17" Type="http://schemas.openxmlformats.org/officeDocument/2006/relationships/hyperlink" Target="https://mosip.atlassian.net/browse/INJIWEB-130" TargetMode="External"/><Relationship Id="rId196" Type="http://schemas.openxmlformats.org/officeDocument/2006/relationships/hyperlink" Target="https://mosip.atlassian.net/browse/INJIWEB-1757" TargetMode="External"/><Relationship Id="rId16" Type="http://schemas.openxmlformats.org/officeDocument/2006/relationships/hyperlink" Target="https://mosip.atlassian.net/browse/ES-1215" TargetMode="External"/><Relationship Id="rId195" Type="http://schemas.openxmlformats.org/officeDocument/2006/relationships/hyperlink" Target="https://mosip.atlassian.net/browse/INJIWEB-1590" TargetMode="External"/><Relationship Id="rId19" Type="http://schemas.openxmlformats.org/officeDocument/2006/relationships/hyperlink" Target="https://mosip.atlassian.net/browse/INJIWEB-130" TargetMode="External"/><Relationship Id="rId18" Type="http://schemas.openxmlformats.org/officeDocument/2006/relationships/hyperlink" Target="https://mosip.atlassian.net/browse/INJIWEB-130" TargetMode="External"/><Relationship Id="rId199" Type="http://schemas.openxmlformats.org/officeDocument/2006/relationships/hyperlink" Target="https://mosip.atlassian.net/browse/INJIWEB-1199" TargetMode="External"/><Relationship Id="rId84" Type="http://schemas.openxmlformats.org/officeDocument/2006/relationships/hyperlink" Target="https://mosip.atlassian.net/browse/INJIWEB-1569" TargetMode="External"/><Relationship Id="rId83" Type="http://schemas.openxmlformats.org/officeDocument/2006/relationships/hyperlink" Target="https://mosip.atlassian.net/browse/INJIWEB-1585" TargetMode="External"/><Relationship Id="rId86" Type="http://schemas.openxmlformats.org/officeDocument/2006/relationships/hyperlink" Target="https://mosip.atlassian.net/browse/INJIWEB-1583" TargetMode="External"/><Relationship Id="rId85" Type="http://schemas.openxmlformats.org/officeDocument/2006/relationships/hyperlink" Target="https://mosip.atlassian.net/browse/INJIWEB-1570" TargetMode="External"/><Relationship Id="rId88" Type="http://schemas.openxmlformats.org/officeDocument/2006/relationships/hyperlink" Target="https://mosip.atlassian.net/browse/INJIWEB-1667" TargetMode="External"/><Relationship Id="rId150" Type="http://schemas.openxmlformats.org/officeDocument/2006/relationships/hyperlink" Target="https://mosip.atlassian.net/browse/INJIWEB-1165" TargetMode="External"/><Relationship Id="rId87" Type="http://schemas.openxmlformats.org/officeDocument/2006/relationships/hyperlink" Target="https://mosip.atlassian.net/browse/INJIWEB-1667" TargetMode="External"/><Relationship Id="rId89" Type="http://schemas.openxmlformats.org/officeDocument/2006/relationships/hyperlink" Target="https://mosip.atlassian.net/browse/INJIWEB-1667" TargetMode="External"/><Relationship Id="rId80" Type="http://schemas.openxmlformats.org/officeDocument/2006/relationships/hyperlink" Target="https://mosip.atlassian.net/browse/INJIWEB-1581" TargetMode="External"/><Relationship Id="rId82" Type="http://schemas.openxmlformats.org/officeDocument/2006/relationships/hyperlink" Target="https://mosip.atlassian.net/browse/INJIWEB-1584" TargetMode="External"/><Relationship Id="rId81" Type="http://schemas.openxmlformats.org/officeDocument/2006/relationships/hyperlink" Target="https://mosip.atlassian.net/browse/INJIWEB-1582" TargetMode="External"/><Relationship Id="rId1" Type="http://schemas.openxmlformats.org/officeDocument/2006/relationships/hyperlink" Target="https://mosip.atlassian.net/browse/INJIWEB-130" TargetMode="External"/><Relationship Id="rId2" Type="http://schemas.openxmlformats.org/officeDocument/2006/relationships/hyperlink" Target="https://mosip.atlassian.net/browse/INJIWEB-130" TargetMode="External"/><Relationship Id="rId3" Type="http://schemas.openxmlformats.org/officeDocument/2006/relationships/hyperlink" Target="https://mosip.atlassian.net/browse/INJIWEB-130" TargetMode="External"/><Relationship Id="rId149" Type="http://schemas.openxmlformats.org/officeDocument/2006/relationships/hyperlink" Target="https://mosip.atlassian.net/browse/INJIWEB-1632" TargetMode="External"/><Relationship Id="rId4" Type="http://schemas.openxmlformats.org/officeDocument/2006/relationships/hyperlink" Target="https://mosip.atlassian.net/browse/INJIWEB-125" TargetMode="External"/><Relationship Id="rId148" Type="http://schemas.openxmlformats.org/officeDocument/2006/relationships/hyperlink" Target="https://mosip.atlassian.net/browse/INJIWEB-824" TargetMode="External"/><Relationship Id="rId9" Type="http://schemas.openxmlformats.org/officeDocument/2006/relationships/hyperlink" Target="https://mosip.atlassian.net/browse/INJIWEB-131" TargetMode="External"/><Relationship Id="rId143" Type="http://schemas.openxmlformats.org/officeDocument/2006/relationships/hyperlink" Target="https://mosip.atlassian.net/browse/INJIWEB-1575" TargetMode="External"/><Relationship Id="rId142" Type="http://schemas.openxmlformats.org/officeDocument/2006/relationships/hyperlink" Target="https://mosip.atlassian.net/browse/INJIWEB-1657" TargetMode="External"/><Relationship Id="rId141" Type="http://schemas.openxmlformats.org/officeDocument/2006/relationships/hyperlink" Target="https://mosip.atlassian.net/browse/INJIWEB-1656" TargetMode="External"/><Relationship Id="rId140" Type="http://schemas.openxmlformats.org/officeDocument/2006/relationships/hyperlink" Target="https://mosip.atlassian.net/browse/INJIWEB-1652" TargetMode="External"/><Relationship Id="rId5" Type="http://schemas.openxmlformats.org/officeDocument/2006/relationships/hyperlink" Target="https://mosip.atlassian.net/browse/ES-1215" TargetMode="External"/><Relationship Id="rId147" Type="http://schemas.openxmlformats.org/officeDocument/2006/relationships/hyperlink" Target="https://mosip.atlassian.net/browse/INJIWEB-823" TargetMode="External"/><Relationship Id="rId6" Type="http://schemas.openxmlformats.org/officeDocument/2006/relationships/hyperlink" Target="https://mosip.atlassian.net/browse/INJIWEB-130" TargetMode="External"/><Relationship Id="rId146" Type="http://schemas.openxmlformats.org/officeDocument/2006/relationships/hyperlink" Target="https://mosip.atlassian.net/browse/INJIWEB-1166" TargetMode="External"/><Relationship Id="rId7" Type="http://schemas.openxmlformats.org/officeDocument/2006/relationships/hyperlink" Target="https://mosip.atlassian.net/browse/INJIWEB-130" TargetMode="External"/><Relationship Id="rId145" Type="http://schemas.openxmlformats.org/officeDocument/2006/relationships/hyperlink" Target="https://mosip.atlassian.net/browse/INJIWEB-1719" TargetMode="External"/><Relationship Id="rId8" Type="http://schemas.openxmlformats.org/officeDocument/2006/relationships/hyperlink" Target="https://mosip.atlassian.net/browse/INJIWEB-131" TargetMode="External"/><Relationship Id="rId144" Type="http://schemas.openxmlformats.org/officeDocument/2006/relationships/hyperlink" Target="https://mosip.atlassian.net/browse/INJIWEB-1672" TargetMode="External"/><Relationship Id="rId73" Type="http://schemas.openxmlformats.org/officeDocument/2006/relationships/hyperlink" Target="https://mosip.atlassian.net/browse/INJIWEB-1139" TargetMode="External"/><Relationship Id="rId72" Type="http://schemas.openxmlformats.org/officeDocument/2006/relationships/hyperlink" Target="https://mosip.atlassian.net/browse/INJIWEB-1140" TargetMode="External"/><Relationship Id="rId75" Type="http://schemas.openxmlformats.org/officeDocument/2006/relationships/hyperlink" Target="https://mosip.atlassian.net/browse/INJIWEB-1496" TargetMode="External"/><Relationship Id="rId74" Type="http://schemas.openxmlformats.org/officeDocument/2006/relationships/hyperlink" Target="https://mosip.atlassian.net/browse/INJIWEB-1496" TargetMode="External"/><Relationship Id="rId77" Type="http://schemas.openxmlformats.org/officeDocument/2006/relationships/hyperlink" Target="https://mosip.atlassian.net/browse/INJIWEB-1574" TargetMode="External"/><Relationship Id="rId76" Type="http://schemas.openxmlformats.org/officeDocument/2006/relationships/hyperlink" Target="https://mosip.atlassian.net/browse/INJIWEB-1574" TargetMode="External"/><Relationship Id="rId79" Type="http://schemas.openxmlformats.org/officeDocument/2006/relationships/hyperlink" Target="https://mosip.atlassian.net/browse/INJIWEB-1568" TargetMode="External"/><Relationship Id="rId78" Type="http://schemas.openxmlformats.org/officeDocument/2006/relationships/hyperlink" Target="https://mosip.atlassian.net/browse/INJIWEB-1576" TargetMode="External"/><Relationship Id="rId71" Type="http://schemas.openxmlformats.org/officeDocument/2006/relationships/hyperlink" Target="https://mosip.atlassian.net/browse/INJIWEB-1141" TargetMode="External"/><Relationship Id="rId70" Type="http://schemas.openxmlformats.org/officeDocument/2006/relationships/hyperlink" Target="https://mosip.atlassian.net/browse/INJIWEB-1145" TargetMode="External"/><Relationship Id="rId139" Type="http://schemas.openxmlformats.org/officeDocument/2006/relationships/hyperlink" Target="https://mosip.atlassian.net/browse/INJIWEB-1677" TargetMode="External"/><Relationship Id="rId138" Type="http://schemas.openxmlformats.org/officeDocument/2006/relationships/hyperlink" Target="https://mosip.atlassian.net/browse/INJIWEB-1682" TargetMode="External"/><Relationship Id="rId137" Type="http://schemas.openxmlformats.org/officeDocument/2006/relationships/hyperlink" Target="https://mosip.atlassian.net/browse/INJIWEB-1681" TargetMode="External"/><Relationship Id="rId132" Type="http://schemas.openxmlformats.org/officeDocument/2006/relationships/hyperlink" Target="https://mosip.atlassian.net/browse/INJIWEB-1671" TargetMode="External"/><Relationship Id="rId131" Type="http://schemas.openxmlformats.org/officeDocument/2006/relationships/hyperlink" Target="https://mosip.atlassian.net/browse/INJIWEB-1607" TargetMode="External"/><Relationship Id="rId130" Type="http://schemas.openxmlformats.org/officeDocument/2006/relationships/hyperlink" Target="https://mosip.atlassian.net/browse/INJIWEB-1604" TargetMode="External"/><Relationship Id="rId136" Type="http://schemas.openxmlformats.org/officeDocument/2006/relationships/hyperlink" Target="https://mosip.atlassian.net/browse/INJIWEB-1679" TargetMode="External"/><Relationship Id="rId135" Type="http://schemas.openxmlformats.org/officeDocument/2006/relationships/hyperlink" Target="https://mosip.atlassian.net/browse/INJIWEB-1678" TargetMode="External"/><Relationship Id="rId134" Type="http://schemas.openxmlformats.org/officeDocument/2006/relationships/hyperlink" Target="https://mosip.atlassian.net/browse/INJIWEB-1680" TargetMode="External"/><Relationship Id="rId133" Type="http://schemas.openxmlformats.org/officeDocument/2006/relationships/hyperlink" Target="https://mosip.atlassian.net/browse/INJIWEB-1683" TargetMode="External"/><Relationship Id="rId62" Type="http://schemas.openxmlformats.org/officeDocument/2006/relationships/hyperlink" Target="https://mosip.atlassian.net/browse/INJIWEB-1192" TargetMode="External"/><Relationship Id="rId61" Type="http://schemas.openxmlformats.org/officeDocument/2006/relationships/hyperlink" Target="https://mosip.atlassian.net/browse/INJIWEB-1196" TargetMode="External"/><Relationship Id="rId64" Type="http://schemas.openxmlformats.org/officeDocument/2006/relationships/hyperlink" Target="https://mosip.atlassian.net/browse/INJIWEB-1189" TargetMode="External"/><Relationship Id="rId63" Type="http://schemas.openxmlformats.org/officeDocument/2006/relationships/hyperlink" Target="https://mosip.atlassian.net/browse/INJIWEB-1191" TargetMode="External"/><Relationship Id="rId66" Type="http://schemas.openxmlformats.org/officeDocument/2006/relationships/hyperlink" Target="https://mosip.atlassian.net/browse/INJIWEB-1187" TargetMode="External"/><Relationship Id="rId172" Type="http://schemas.openxmlformats.org/officeDocument/2006/relationships/hyperlink" Target="https://mosip.atlassian.net/browse/INJIWEB-1741" TargetMode="External"/><Relationship Id="rId65" Type="http://schemas.openxmlformats.org/officeDocument/2006/relationships/hyperlink" Target="https://mosip.atlassian.net/browse/INJIWEB-1188" TargetMode="External"/><Relationship Id="rId171" Type="http://schemas.openxmlformats.org/officeDocument/2006/relationships/hyperlink" Target="https://mosip.atlassian.net/browse/INJIWEB-1733" TargetMode="External"/><Relationship Id="rId68" Type="http://schemas.openxmlformats.org/officeDocument/2006/relationships/hyperlink" Target="https://mosip.atlassian.net/browse/INJIWEB-1147" TargetMode="External"/><Relationship Id="rId170" Type="http://schemas.openxmlformats.org/officeDocument/2006/relationships/hyperlink" Target="https://mosip.atlassian.net/browse/INJIWEB-1776" TargetMode="External"/><Relationship Id="rId67" Type="http://schemas.openxmlformats.org/officeDocument/2006/relationships/hyperlink" Target="https://mosip.atlassian.net/browse/INJIWEB-1150" TargetMode="External"/><Relationship Id="rId60" Type="http://schemas.openxmlformats.org/officeDocument/2006/relationships/hyperlink" Target="https://api.qa-inji.mosip.net/v1/mimoto/swagger-ui/index.html" TargetMode="External"/><Relationship Id="rId165" Type="http://schemas.openxmlformats.org/officeDocument/2006/relationships/hyperlink" Target="https://mosip.atlassian.net/browse/INJIWEB-1787" TargetMode="External"/><Relationship Id="rId69" Type="http://schemas.openxmlformats.org/officeDocument/2006/relationships/hyperlink" Target="https://mosip.atlassian.net/browse/INJIWEB-1146" TargetMode="External"/><Relationship Id="rId164" Type="http://schemas.openxmlformats.org/officeDocument/2006/relationships/hyperlink" Target="https://mosip.atlassian.net/browse/INJIWEB-1789" TargetMode="External"/><Relationship Id="rId163" Type="http://schemas.openxmlformats.org/officeDocument/2006/relationships/hyperlink" Target="https://mosip.atlassian.net/browse/INJIWEB-1691" TargetMode="External"/><Relationship Id="rId162" Type="http://schemas.openxmlformats.org/officeDocument/2006/relationships/hyperlink" Target="https://mosip.atlassian.net/browse/INJIWEB-1748" TargetMode="External"/><Relationship Id="rId169" Type="http://schemas.openxmlformats.org/officeDocument/2006/relationships/hyperlink" Target="https://mosip.atlassian.net/browse/INJIWEB-1775" TargetMode="External"/><Relationship Id="rId168" Type="http://schemas.openxmlformats.org/officeDocument/2006/relationships/hyperlink" Target="https://mosip.atlassian.net/browse/INJIWEB-1774" TargetMode="External"/><Relationship Id="rId167" Type="http://schemas.openxmlformats.org/officeDocument/2006/relationships/hyperlink" Target="https://mosip.atlassian.net/browse/INJIWEB-1728" TargetMode="External"/><Relationship Id="rId166" Type="http://schemas.openxmlformats.org/officeDocument/2006/relationships/hyperlink" Target="https://mosip.atlassian.net/browse/INJIWEB-1755" TargetMode="External"/><Relationship Id="rId51" Type="http://schemas.openxmlformats.org/officeDocument/2006/relationships/hyperlink" Target="https://mosip.atlassian.net/browse/ES-1215" TargetMode="External"/><Relationship Id="rId50" Type="http://schemas.openxmlformats.org/officeDocument/2006/relationships/hyperlink" Target="https://mosip.atlassian.net/browse/ES-1358" TargetMode="External"/><Relationship Id="rId53" Type="http://schemas.openxmlformats.org/officeDocument/2006/relationships/hyperlink" Target="https://mosip.atlassian.net/browse/ES-1213" TargetMode="External"/><Relationship Id="rId52" Type="http://schemas.openxmlformats.org/officeDocument/2006/relationships/hyperlink" Target="https://mosip.atlassian.net/browse/ES-1214" TargetMode="External"/><Relationship Id="rId55" Type="http://schemas.openxmlformats.org/officeDocument/2006/relationships/hyperlink" Target="https://mosip.atlassian.net/browse/ES-1211" TargetMode="External"/><Relationship Id="rId161" Type="http://schemas.openxmlformats.org/officeDocument/2006/relationships/hyperlink" Target="https://mosip.atlassian.net/browse/INJIWEB-1792" TargetMode="External"/><Relationship Id="rId54" Type="http://schemas.openxmlformats.org/officeDocument/2006/relationships/hyperlink" Target="https://mosip.atlassian.net/browse/ES-1212" TargetMode="External"/><Relationship Id="rId160" Type="http://schemas.openxmlformats.org/officeDocument/2006/relationships/hyperlink" Target="https://mosip.atlassian.net/browse/INJIWEB-1782" TargetMode="External"/><Relationship Id="rId57" Type="http://schemas.openxmlformats.org/officeDocument/2006/relationships/hyperlink" Target="https://api.qa-inji.mosip.net/v1/mimoto/swagger-ui/index.html" TargetMode="External"/><Relationship Id="rId56" Type="http://schemas.openxmlformats.org/officeDocument/2006/relationships/hyperlink" Target="https://mosip.atlassian.net/browse/ES-1206" TargetMode="External"/><Relationship Id="rId159" Type="http://schemas.openxmlformats.org/officeDocument/2006/relationships/hyperlink" Target="https://mosip.atlassian.net/browse/INJIWEB-1767" TargetMode="External"/><Relationship Id="rId59" Type="http://schemas.openxmlformats.org/officeDocument/2006/relationships/hyperlink" Target="https://api.qa-inji.mosip.net/v1/mimoto/swagger-ui/index.html" TargetMode="External"/><Relationship Id="rId154" Type="http://schemas.openxmlformats.org/officeDocument/2006/relationships/hyperlink" Target="https://mosip.atlassian.net/browse/INJIWEB-1764" TargetMode="External"/><Relationship Id="rId58" Type="http://schemas.openxmlformats.org/officeDocument/2006/relationships/hyperlink" Target="https://api.qa-inji.mosip.net/v1/mimoto/swagger-ui/index.html" TargetMode="External"/><Relationship Id="rId153" Type="http://schemas.openxmlformats.org/officeDocument/2006/relationships/hyperlink" Target="https://mosip.atlassian.net/browse/INJIWEB-1761" TargetMode="External"/><Relationship Id="rId152" Type="http://schemas.openxmlformats.org/officeDocument/2006/relationships/hyperlink" Target="https://mosip.atlassian.net/browse/INJIVER-1103" TargetMode="External"/><Relationship Id="rId151" Type="http://schemas.openxmlformats.org/officeDocument/2006/relationships/hyperlink" Target="https://mosip.atlassian.net/browse/INJIWEB-1201" TargetMode="External"/><Relationship Id="rId158" Type="http://schemas.openxmlformats.org/officeDocument/2006/relationships/hyperlink" Target="https://mosip.atlassian.net/browse/INJIWEB-1762" TargetMode="External"/><Relationship Id="rId157" Type="http://schemas.openxmlformats.org/officeDocument/2006/relationships/hyperlink" Target="https://mosip.atlassian.net/browse/INJIWEB-1763" TargetMode="External"/><Relationship Id="rId156" Type="http://schemas.openxmlformats.org/officeDocument/2006/relationships/hyperlink" Target="http://2.no/" TargetMode="External"/><Relationship Id="rId155" Type="http://schemas.openxmlformats.org/officeDocument/2006/relationships/hyperlink" Target="https://mosip.atlassian.net/browse/INJIWEB-1765" TargetMode="External"/><Relationship Id="rId107" Type="http://schemas.openxmlformats.org/officeDocument/2006/relationships/hyperlink" Target="https://mosip.atlassian.net/browse/INJIWEB-1652" TargetMode="External"/><Relationship Id="rId106" Type="http://schemas.openxmlformats.org/officeDocument/2006/relationships/hyperlink" Target="https://mosip.atlassian.net/browse/INJIWEB-1655" TargetMode="External"/><Relationship Id="rId105" Type="http://schemas.openxmlformats.org/officeDocument/2006/relationships/hyperlink" Target="https://mosip.atlassian.net/browse/INJIWEB-1657" TargetMode="External"/><Relationship Id="rId104" Type="http://schemas.openxmlformats.org/officeDocument/2006/relationships/hyperlink" Target="https://mosip.atlassian.net/browse/INJIWEB-1658" TargetMode="External"/><Relationship Id="rId109" Type="http://schemas.openxmlformats.org/officeDocument/2006/relationships/hyperlink" Target="https://mosip.atlassian.net/browse/INJIWEB-1640" TargetMode="External"/><Relationship Id="rId108" Type="http://schemas.openxmlformats.org/officeDocument/2006/relationships/hyperlink" Target="https://mosip.atlassian.net/browse/INJIWEB-1646" TargetMode="External"/><Relationship Id="rId103" Type="http://schemas.openxmlformats.org/officeDocument/2006/relationships/hyperlink" Target="https://mosip.atlassian.net/browse/INJIWEB-1660" TargetMode="External"/><Relationship Id="rId102" Type="http://schemas.openxmlformats.org/officeDocument/2006/relationships/hyperlink" Target="https://mosip.atlassian.net/browse/INJIWEB-1661" TargetMode="External"/><Relationship Id="rId101" Type="http://schemas.openxmlformats.org/officeDocument/2006/relationships/hyperlink" Target="https://mosip.atlassian.net/browse/INJIWEB-1595" TargetMode="External"/><Relationship Id="rId100" Type="http://schemas.openxmlformats.org/officeDocument/2006/relationships/hyperlink" Target="https://mosip.atlassian.net/browse/INJIWEB-1595" TargetMode="External"/><Relationship Id="rId129" Type="http://schemas.openxmlformats.org/officeDocument/2006/relationships/hyperlink" Target="https://mosip.atlassian.net/browse/INJIWEB-1606" TargetMode="External"/><Relationship Id="rId128" Type="http://schemas.openxmlformats.org/officeDocument/2006/relationships/hyperlink" Target="https://mosip.atlassian.net/browse/INJIWEB-1566" TargetMode="External"/><Relationship Id="rId127" Type="http://schemas.openxmlformats.org/officeDocument/2006/relationships/hyperlink" Target="https://mosip.atlassian.net/browse/INJIWEB-1561" TargetMode="External"/><Relationship Id="rId126" Type="http://schemas.openxmlformats.org/officeDocument/2006/relationships/hyperlink" Target="https://mosip.atlassian.net/browse/INJIWEB-1560" TargetMode="External"/><Relationship Id="rId121" Type="http://schemas.openxmlformats.org/officeDocument/2006/relationships/hyperlink" Target="https://mosip.atlassian.net/browse/INJIWEB-1417" TargetMode="External"/><Relationship Id="rId120" Type="http://schemas.openxmlformats.org/officeDocument/2006/relationships/hyperlink" Target="https://mosip.atlassian.net/browse/INJIWEB-1417" TargetMode="External"/><Relationship Id="rId125" Type="http://schemas.openxmlformats.org/officeDocument/2006/relationships/hyperlink" Target="https://mosip.atlassian.net/browse/INJIWEB-1503" TargetMode="External"/><Relationship Id="rId124" Type="http://schemas.openxmlformats.org/officeDocument/2006/relationships/hyperlink" Target="https://mosip.atlassian.net/browse/INJIWEB-1508" TargetMode="External"/><Relationship Id="rId123" Type="http://schemas.openxmlformats.org/officeDocument/2006/relationships/hyperlink" Target="https://mosip.atlassian.net/browse/INJIWEB-1498" TargetMode="External"/><Relationship Id="rId122" Type="http://schemas.openxmlformats.org/officeDocument/2006/relationships/hyperlink" Target="https://mosip.atlassian.net/browse/INJIWEB-1417" TargetMode="External"/><Relationship Id="rId95" Type="http://schemas.openxmlformats.org/officeDocument/2006/relationships/hyperlink" Target="https://mosip.atlassian.net/browse/INJIWEB-1619" TargetMode="External"/><Relationship Id="rId94" Type="http://schemas.openxmlformats.org/officeDocument/2006/relationships/hyperlink" Target="https://mosip.atlassian.net/browse/INJIWEB-1619" TargetMode="External"/><Relationship Id="rId97" Type="http://schemas.openxmlformats.org/officeDocument/2006/relationships/hyperlink" Target="https://mosip.atlassian.net/browse/INJIWEB-1626" TargetMode="External"/><Relationship Id="rId96" Type="http://schemas.openxmlformats.org/officeDocument/2006/relationships/hyperlink" Target="https://mosip.atlassian.net/browse/INJIWEB-1629" TargetMode="External"/><Relationship Id="rId99" Type="http://schemas.openxmlformats.org/officeDocument/2006/relationships/hyperlink" Target="https://mosip.atlassian.net/browse/INJIWEB-1624" TargetMode="External"/><Relationship Id="rId98" Type="http://schemas.openxmlformats.org/officeDocument/2006/relationships/hyperlink" Target="https://mosip.atlassian.net/browse/INJIWEB-1595" TargetMode="External"/><Relationship Id="rId91" Type="http://schemas.openxmlformats.org/officeDocument/2006/relationships/hyperlink" Target="https://mosip.atlassian.net/browse/INJIWEB-1593" TargetMode="External"/><Relationship Id="rId90" Type="http://schemas.openxmlformats.org/officeDocument/2006/relationships/hyperlink" Target="https://mosip.atlassian.net/browse/INJIWEB-1592" TargetMode="External"/><Relationship Id="rId93" Type="http://schemas.openxmlformats.org/officeDocument/2006/relationships/hyperlink" Target="https://mosip.atlassian.net/browse/INJIWEB-1667" TargetMode="External"/><Relationship Id="rId92" Type="http://schemas.openxmlformats.org/officeDocument/2006/relationships/hyperlink" Target="https://mosip.atlassian.net/browse/INJIWEB-1667" TargetMode="External"/><Relationship Id="rId118" Type="http://schemas.openxmlformats.org/officeDocument/2006/relationships/hyperlink" Target="https://mosip.atlassian.net/browse/INJIWEB-1244" TargetMode="External"/><Relationship Id="rId117" Type="http://schemas.openxmlformats.org/officeDocument/2006/relationships/hyperlink" Target="https://mosip.atlassian.net/browse/INJIWEB-1586" TargetMode="External"/><Relationship Id="rId116" Type="http://schemas.openxmlformats.org/officeDocument/2006/relationships/hyperlink" Target="https://mosip.atlassian.net/browse/INJIWEB-1589" TargetMode="External"/><Relationship Id="rId115" Type="http://schemas.openxmlformats.org/officeDocument/2006/relationships/hyperlink" Target="https://mosip.atlassian.net/browse/INJIWEB-1594" TargetMode="External"/><Relationship Id="rId119" Type="http://schemas.openxmlformats.org/officeDocument/2006/relationships/hyperlink" Target="https://mosip.atlassian.net/browse/INJIWEB-1348" TargetMode="External"/><Relationship Id="rId110" Type="http://schemas.openxmlformats.org/officeDocument/2006/relationships/hyperlink" Target="https://mosip.atlassian.net/browse/INJIWEB-1635" TargetMode="External"/><Relationship Id="rId114" Type="http://schemas.openxmlformats.org/officeDocument/2006/relationships/hyperlink" Target="https://mosip.atlassian.net/browse/INJIWEB-1616" TargetMode="External"/><Relationship Id="rId113" Type="http://schemas.openxmlformats.org/officeDocument/2006/relationships/hyperlink" Target="https://mosip.atlassian.net/browse/INJIWEB-1617" TargetMode="External"/><Relationship Id="rId112" Type="http://schemas.openxmlformats.org/officeDocument/2006/relationships/hyperlink" Target="https://mosip.atlassian.net/browse/INJIWEB-1618" TargetMode="External"/><Relationship Id="rId111" Type="http://schemas.openxmlformats.org/officeDocument/2006/relationships/hyperlink" Target="https://mosip.atlassian.net/browse/INJIWEB-1634" TargetMode="External"/><Relationship Id="rId20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8.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9.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9.71"/>
    <col customWidth="1" min="4" max="4" width="7.14"/>
    <col customWidth="1" min="5" max="5" width="11.43"/>
    <col customWidth="1" min="6" max="6" width="10.71"/>
    <col customWidth="1" min="7" max="7" width="4.86"/>
    <col customWidth="1" min="8" max="8" width="4.0"/>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63.86"/>
  </cols>
  <sheetData>
    <row r="1" ht="14.25" customHeight="1"/>
    <row r="2">
      <c r="B2" s="1" t="s">
        <v>0</v>
      </c>
      <c r="C2" s="2" t="s">
        <v>1</v>
      </c>
      <c r="D2" s="3" t="s">
        <v>2</v>
      </c>
      <c r="E2" s="4"/>
      <c r="F2" s="5"/>
      <c r="G2" s="3" t="s">
        <v>3</v>
      </c>
      <c r="H2" s="4"/>
      <c r="I2" s="5"/>
      <c r="J2" s="6"/>
      <c r="K2" s="7" t="s">
        <v>4</v>
      </c>
      <c r="L2" s="4"/>
      <c r="M2" s="4"/>
      <c r="N2" s="4"/>
      <c r="O2" s="5"/>
      <c r="P2" s="8"/>
      <c r="Q2" s="9" t="s">
        <v>5</v>
      </c>
      <c r="R2" s="8"/>
      <c r="S2" s="9" t="s">
        <v>6</v>
      </c>
    </row>
    <row r="3" ht="14.25" customHeight="1">
      <c r="B3" s="10"/>
      <c r="C3" s="11" t="s">
        <v>7</v>
      </c>
      <c r="D3" s="12" t="s">
        <v>7</v>
      </c>
      <c r="E3" s="12" t="s">
        <v>8</v>
      </c>
      <c r="F3" s="12" t="s">
        <v>9</v>
      </c>
      <c r="G3" s="13" t="s">
        <v>10</v>
      </c>
      <c r="H3" s="13" t="s">
        <v>11</v>
      </c>
      <c r="I3" s="13" t="s">
        <v>12</v>
      </c>
      <c r="J3" s="6"/>
      <c r="K3" s="14" t="s">
        <v>13</v>
      </c>
      <c r="L3" s="15" t="s">
        <v>14</v>
      </c>
      <c r="M3" s="4"/>
      <c r="N3" s="4"/>
      <c r="O3" s="5"/>
      <c r="Q3" s="16" t="s">
        <v>15</v>
      </c>
      <c r="R3" s="17"/>
      <c r="S3" s="18" t="s">
        <v>16</v>
      </c>
    </row>
    <row r="4" ht="14.25" customHeight="1">
      <c r="B4" s="19" t="s">
        <v>17</v>
      </c>
      <c r="C4" s="20">
        <f>IFERROR(__xludf.DUMMYFUNCTION("COUNTUNIQUE('Inji - Web - Test Cases'!A2:A2335)"),123.0)</f>
        <v>123</v>
      </c>
      <c r="D4" s="21">
        <f>COUNTA('Inji - Web - Test Cases'!C2:C2300)</f>
        <v>1125</v>
      </c>
      <c r="E4" s="21">
        <f>SUM(L4:L50)</f>
        <v>601</v>
      </c>
      <c r="F4" s="21">
        <f>D4-E4</f>
        <v>524</v>
      </c>
      <c r="G4" s="22">
        <f>COUNTIF('Inji - Web - Test Cases'!J2:J3152, "Pass")</f>
        <v>1036</v>
      </c>
      <c r="H4" s="23">
        <f>COUNTIF('Inji - Web - Test Cases'!J2:J3152, "Fail")</f>
        <v>89</v>
      </c>
      <c r="I4" s="24">
        <f>D4-(G4+H4)</f>
        <v>0</v>
      </c>
      <c r="J4" s="6"/>
      <c r="K4" s="25" t="str">
        <f>IFERROR(__xludf.DUMMYFUNCTION("UNIQUE(FILTER('Inji - Web - Test Cases'!A2:A1887, 'Inji - Web - Test Cases'!A2:A1887&lt;&gt;""""))"),"INJIWEB-36")</f>
        <v>INJIWEB-36</v>
      </c>
      <c r="L4" s="26">
        <f>COUNTIFS('Inji - Web - Test Cases'!A1:A1700,K4,'Inji - Web - Test Cases'!C1:C1700,"&lt;&gt;"&amp;"")</f>
        <v>13</v>
      </c>
      <c r="M4" s="22">
        <f>COUNTIFS('Inji - Web - Test Cases'!A2:A1697,K4,'Inji - Web - Test Cases'!C2:C1697,"&lt;&gt;"&amp;"",'Inji - Web - Test Cases'!J2:J1697,"Pass")</f>
        <v>13</v>
      </c>
      <c r="N4" s="23">
        <f>COUNTIFS('Inji - Web - Test Cases'!A2:A1697,K4,'Inji - Web - Test Cases'!C2:C1697,"&lt;&gt;"&amp;"",'Inji - Web - Test Cases'!J2:J1697,"Fail")</f>
        <v>0</v>
      </c>
      <c r="O4" s="24">
        <f>COUNTIFS('Inji - Web - Test Cases'!A2:A1697,K4,'Inji - Web - Test Cases'!C2:C1697,"&lt;&gt;"&amp;"",'Inji - Web - Test Cases'!J2:J1697,"NA")</f>
        <v>0</v>
      </c>
      <c r="Q4" s="16" t="s">
        <v>18</v>
      </c>
      <c r="R4" s="17"/>
      <c r="S4" s="18" t="s">
        <v>19</v>
      </c>
    </row>
    <row r="5" ht="14.25" customHeight="1">
      <c r="B5" s="27"/>
      <c r="C5" s="20"/>
      <c r="D5" s="21"/>
      <c r="E5" s="21"/>
      <c r="F5" s="21"/>
      <c r="G5" s="28"/>
      <c r="H5" s="29"/>
      <c r="I5" s="30"/>
      <c r="J5" s="6"/>
      <c r="K5" s="31" t="str">
        <f>IFERROR(__xludf.DUMMYFUNCTION("""COMPUTED_VALUE"""),"INJIWEB-37")</f>
        <v>INJIWEB-37</v>
      </c>
      <c r="L5" s="26">
        <f>COUNTIFS('Inji - Web - Test Cases'!A2:A1701,K5,'Inji - Web - Test Cases'!C2:C1701,"&lt;&gt;"&amp;"")</f>
        <v>7</v>
      </c>
      <c r="M5" s="22">
        <f>COUNTIFS('Inji - Web - Test Cases'!A3:A1698,K5,'Inji - Web - Test Cases'!C3:C1698,"&lt;&gt;"&amp;"",'Inji - Web - Test Cases'!J3:J1698,"Pass")</f>
        <v>7</v>
      </c>
      <c r="N5" s="23">
        <f>COUNTIFS('Inji - Web - Test Cases'!A3:A1698,K5,'Inji - Web - Test Cases'!C3:C1698,"&lt;&gt;"&amp;"",'Inji - Web - Test Cases'!J3:J1698,"Fail")</f>
        <v>0</v>
      </c>
      <c r="O5" s="24">
        <f>COUNTIFS('Inji - Web - Test Cases'!A3:A1698,K5,'Inji - Web - Test Cases'!C3:C1698,"&lt;&gt;"&amp;"",'Inji - Web - Test Cases'!J3:J1698,"NA")</f>
        <v>0</v>
      </c>
      <c r="Q5" s="16" t="s">
        <v>20</v>
      </c>
      <c r="R5" s="17"/>
      <c r="S5" s="18" t="s">
        <v>21</v>
      </c>
    </row>
    <row r="6" ht="14.25" customHeight="1">
      <c r="B6" s="32" t="s">
        <v>7</v>
      </c>
      <c r="C6" s="26">
        <f t="shared" ref="C6:I6" si="1">SUM(C3:C5)</f>
        <v>123</v>
      </c>
      <c r="D6" s="26">
        <f t="shared" si="1"/>
        <v>1125</v>
      </c>
      <c r="E6" s="26">
        <f t="shared" si="1"/>
        <v>601</v>
      </c>
      <c r="F6" s="26">
        <f t="shared" si="1"/>
        <v>524</v>
      </c>
      <c r="G6" s="33">
        <f t="shared" si="1"/>
        <v>1036</v>
      </c>
      <c r="H6" s="34">
        <f t="shared" si="1"/>
        <v>89</v>
      </c>
      <c r="I6" s="35">
        <f t="shared" si="1"/>
        <v>0</v>
      </c>
      <c r="J6" s="6"/>
      <c r="K6" s="31" t="str">
        <f>IFERROR(__xludf.DUMMYFUNCTION("""COMPUTED_VALUE"""),"INJIWEB-44")</f>
        <v>INJIWEB-44</v>
      </c>
      <c r="L6" s="26">
        <f>COUNTIFS('Inji - Web - Test Cases'!A3:A1702,K6,'Inji - Web - Test Cases'!C3:C1702,"&lt;&gt;"&amp;"")</f>
        <v>11</v>
      </c>
      <c r="M6" s="22">
        <f>COUNTIFS('Inji - Web - Test Cases'!A4:A1699,K6,'Inji - Web - Test Cases'!C4:C1699,"&lt;&gt;"&amp;"",'Inji - Web - Test Cases'!J4:J1699,"Pass")</f>
        <v>11</v>
      </c>
      <c r="N6" s="23">
        <f>COUNTIFS('Inji - Web - Test Cases'!A4:A1699,K6,'Inji - Web - Test Cases'!C4:C1699,"&lt;&gt;"&amp;"",'Inji - Web - Test Cases'!J4:J1699,"Fail")</f>
        <v>0</v>
      </c>
      <c r="O6" s="24">
        <f>COUNTIFS('Inji - Web - Test Cases'!A4:A1699,K6,'Inji - Web - Test Cases'!C4:C1699,"&lt;&gt;"&amp;"",'Inji - Web - Test Cases'!J4:J1699,"NA")</f>
        <v>0</v>
      </c>
      <c r="Q6" s="16" t="s">
        <v>22</v>
      </c>
      <c r="R6" s="17"/>
      <c r="S6" s="18" t="s">
        <v>23</v>
      </c>
    </row>
    <row r="7" ht="14.25" customHeight="1">
      <c r="B7" s="36"/>
      <c r="C7" s="37"/>
      <c r="D7" s="37"/>
      <c r="E7" s="37"/>
      <c r="F7" s="37"/>
      <c r="G7" s="38"/>
      <c r="H7" s="39"/>
      <c r="I7" s="40"/>
      <c r="J7" s="6"/>
      <c r="K7" s="25" t="str">
        <f>IFERROR(__xludf.DUMMYFUNCTION("""COMPUTED_VALUE"""),"INJIWEB-45")</f>
        <v>INJIWEB-45</v>
      </c>
      <c r="L7" s="26">
        <f>COUNTIFS('Inji - Web - Test Cases'!A4:A1703,K7,'Inji - Web - Test Cases'!C4:C1703,"&lt;&gt;"&amp;"")</f>
        <v>19</v>
      </c>
      <c r="M7" s="22">
        <f>COUNTIFS('Inji - Web - Test Cases'!A4:A1700,K7,'Inji - Web - Test Cases'!C4:C1700,"&lt;&gt;"&amp;"",'Inji - Web - Test Cases'!J4:J1700,"Pass")</f>
        <v>19</v>
      </c>
      <c r="N7" s="23">
        <f>COUNTIFS('Inji - Web - Test Cases'!A4:A1700,K7,'Inji - Web - Test Cases'!C4:C1700,"&lt;&gt;"&amp;"",'Inji - Web - Test Cases'!J4:J1700,"Fail")</f>
        <v>0</v>
      </c>
      <c r="O7" s="24">
        <f>COUNTIFS('Inji - Web - Test Cases'!A4:A1700,K7,'Inji - Web - Test Cases'!C4:C1700,"&lt;&gt;"&amp;"",'Inji - Web - Test Cases'!J4:J1700,"NA")</f>
        <v>0</v>
      </c>
      <c r="Q7" s="17"/>
      <c r="R7" s="17"/>
    </row>
    <row r="8" ht="14.25" customHeight="1">
      <c r="I8" s="41"/>
      <c r="J8" s="42"/>
      <c r="K8" s="25" t="str">
        <f>IFERROR(__xludf.DUMMYFUNCTION("""COMPUTED_VALUE"""),"INJIWEB-47")</f>
        <v>INJIWEB-47</v>
      </c>
      <c r="L8" s="26">
        <f>COUNTIFS('Inji - Web - Test Cases'!A4:A1704,K8,'Inji - Web - Test Cases'!C4:C1704,"&lt;&gt;"&amp;"")</f>
        <v>6</v>
      </c>
      <c r="M8" s="22">
        <f>COUNTIFS('Inji - Web - Test Cases'!A4:A1701,K8,'Inji - Web - Test Cases'!C4:C1701,"&lt;&gt;"&amp;"",'Inji - Web - Test Cases'!J4:J1701,"Pass")</f>
        <v>6</v>
      </c>
      <c r="N8" s="23">
        <f>COUNTIFS('Inji - Web - Test Cases'!A4:A1701,K8,'Inji - Web - Test Cases'!C4:C1701,"&lt;&gt;"&amp;"",'Inji - Web - Test Cases'!J4:J1701,"Fail")</f>
        <v>0</v>
      </c>
      <c r="O8" s="24">
        <f>COUNTIFS('Inji - Web - Test Cases'!A4:A1701,K8,'Inji - Web - Test Cases'!C4:C1701,"&lt;&gt;"&amp;"",'Inji - Web - Test Cases'!J4:J1701,"NA")</f>
        <v>0</v>
      </c>
      <c r="Q8" s="43"/>
      <c r="R8" s="17"/>
    </row>
    <row r="9" ht="14.25" customHeight="1">
      <c r="I9" s="41"/>
      <c r="J9" s="42"/>
      <c r="K9" s="25" t="str">
        <f>IFERROR(__xludf.DUMMYFUNCTION("""COMPUTED_VALUE"""),"INJIWEB-48")</f>
        <v>INJIWEB-48</v>
      </c>
      <c r="L9" s="26">
        <f>COUNTIFS('Inji - Web - Test Cases'!A4:A1705,K9,'Inji - Web - Test Cases'!C4:C1705,"&lt;&gt;"&amp;"")</f>
        <v>4</v>
      </c>
      <c r="M9" s="22">
        <f>COUNTIFS('Inji - Web - Test Cases'!A4:A1702,K9,'Inji - Web - Test Cases'!C4:C1702,"&lt;&gt;"&amp;"",'Inji - Web - Test Cases'!J4:J1702,"Pass")</f>
        <v>4</v>
      </c>
      <c r="N9" s="23">
        <f>COUNTIFS('Inji - Web - Test Cases'!A4:A1702,K9,'Inji - Web - Test Cases'!C4:C1702,"&lt;&gt;"&amp;"",'Inji - Web - Test Cases'!J4:J1702,"Fail")</f>
        <v>0</v>
      </c>
      <c r="O9" s="24">
        <f>COUNTIFS('Inji - Web - Test Cases'!A4:A1702,K9,'Inji - Web - Test Cases'!C4:C1702,"&lt;&gt;"&amp;"",'Inji - Web - Test Cases'!J4:J1702,"NA")</f>
        <v>0</v>
      </c>
      <c r="Q9" s="17"/>
      <c r="R9" s="17"/>
    </row>
    <row r="10" ht="14.25" customHeight="1">
      <c r="B10" s="44" t="str">
        <f>"Functional Testing - Stories Verified : " &amp; C6</f>
        <v>Functional Testing - Stories Verified : 123</v>
      </c>
      <c r="C10" s="45"/>
      <c r="D10" s="45"/>
      <c r="E10" s="45"/>
      <c r="F10" s="45"/>
      <c r="G10" s="45"/>
      <c r="H10" s="45"/>
      <c r="I10" s="46"/>
      <c r="J10" s="42"/>
      <c r="K10" s="25" t="str">
        <f>IFERROR(__xludf.DUMMYFUNCTION("""COMPUTED_VALUE"""),"INJIWEB-49")</f>
        <v>INJIWEB-49</v>
      </c>
      <c r="L10" s="26">
        <f>COUNTIFS('Inji - Web - Test Cases'!A4:A1706,K10,'Inji - Web - Test Cases'!C4:C1706,"&lt;&gt;"&amp;"")</f>
        <v>6</v>
      </c>
      <c r="M10" s="22">
        <f>COUNTIFS('Inji - Web - Test Cases'!A5:A1703,K10,'Inji - Web - Test Cases'!C5:C1703,"&lt;&gt;"&amp;"",'Inji - Web - Test Cases'!J5:J1703,"Pass")</f>
        <v>6</v>
      </c>
      <c r="N10" s="23">
        <f>COUNTIFS('Inji - Web - Test Cases'!A5:A1703,K10,'Inji - Web - Test Cases'!C5:C1703,"&lt;&gt;"&amp;"",'Inji - Web - Test Cases'!J5:J1703,"Fail")</f>
        <v>0</v>
      </c>
      <c r="O10" s="24">
        <f>COUNTIFS('Inji - Web - Test Cases'!A5:A1703,K10,'Inji - Web - Test Cases'!C5:C1703,"&lt;&gt;"&amp;"",'Inji - Web - Test Cases'!J5:J1703,"NA")</f>
        <v>0</v>
      </c>
      <c r="Q10" s="17"/>
      <c r="R10" s="17"/>
    </row>
    <row r="11" ht="14.25" customHeight="1">
      <c r="B11" s="47" t="str">
        <f>"Test cases : " &amp; D6 &amp; "      Passed : "&amp; G6 &amp; "     Failed : " &amp; H6 &amp; "    Skipped : " &amp; I6</f>
        <v>Test cases : 1125      Passed : 1036     Failed : 89    Skipped : 0</v>
      </c>
      <c r="C11" s="48"/>
      <c r="D11" s="48"/>
      <c r="E11" s="48"/>
      <c r="F11" s="48"/>
      <c r="G11" s="48"/>
      <c r="H11" s="48"/>
      <c r="I11" s="49"/>
      <c r="J11" s="42"/>
      <c r="K11" s="25" t="str">
        <f>IFERROR(__xludf.DUMMYFUNCTION("""COMPUTED_VALUE"""),"INJIWEB-50")</f>
        <v>INJIWEB-50</v>
      </c>
      <c r="L11" s="26">
        <f>COUNTIFS('Inji - Web - Test Cases'!A5:A1707,K11,'Inji - Web - Test Cases'!C5:C1707,"&lt;&gt;"&amp;"")</f>
        <v>8</v>
      </c>
      <c r="M11" s="22">
        <f>COUNTIFS('Inji - Web - Test Cases'!A6:A1704,K11,'Inji - Web - Test Cases'!C6:C1704,"&lt;&gt;"&amp;"",'Inji - Web - Test Cases'!J6:J1704,"Pass")</f>
        <v>8</v>
      </c>
      <c r="N11" s="23">
        <f>COUNTIFS('Inji - Web - Test Cases'!A6:A1704,K11,'Inji - Web - Test Cases'!C6:C1704,"&lt;&gt;"&amp;"",'Inji - Web - Test Cases'!J6:J1704,"Fail")</f>
        <v>0</v>
      </c>
      <c r="O11" s="24">
        <f>COUNTIFS('Inji - Web - Test Cases'!A6:A1704,K11,'Inji - Web - Test Cases'!C6:C1704,"&lt;&gt;"&amp;"",'Inji - Web - Test Cases'!J6:J1704,"NA")</f>
        <v>0</v>
      </c>
      <c r="Q11" s="17"/>
      <c r="R11" s="17"/>
    </row>
    <row r="12" ht="14.25" customHeight="1">
      <c r="B12" s="50" t="str">
        <f>"Test Rate : " &amp; INT((((G6+H6)/D6)*100)) &amp; "%     With Pass Rate : " &amp; INT((G6/(G6+H6))*100)  &amp; "%"</f>
        <v>Test Rate : 100%     With Pass Rate : 92%</v>
      </c>
      <c r="C12" s="51"/>
      <c r="D12" s="51"/>
      <c r="E12" s="51"/>
      <c r="F12" s="51"/>
      <c r="G12" s="51"/>
      <c r="H12" s="51"/>
      <c r="I12" s="52"/>
      <c r="J12" s="42"/>
      <c r="K12" s="25" t="str">
        <f>IFERROR(__xludf.DUMMYFUNCTION("""COMPUTED_VALUE"""),"INJIWEB-51")</f>
        <v>INJIWEB-51</v>
      </c>
      <c r="L12" s="26">
        <f>COUNTIFS('Inji - Web - Test Cases'!A6:A1708,K12,'Inji - Web - Test Cases'!C6:C1708,"&lt;&gt;"&amp;"")</f>
        <v>5</v>
      </c>
      <c r="M12" s="22">
        <f>COUNTIFS('Inji - Web - Test Cases'!A7:A1705,K12,'Inji - Web - Test Cases'!C7:C1705,"&lt;&gt;"&amp;"",'Inji - Web - Test Cases'!J7:J1705,"Pass")</f>
        <v>5</v>
      </c>
      <c r="N12" s="23">
        <f>COUNTIFS('Inji - Web - Test Cases'!A7:A1705,K12,'Inji - Web - Test Cases'!C7:C1705,"&lt;&gt;"&amp;"",'Inji - Web - Test Cases'!J7:J1705,"Fail")</f>
        <v>0</v>
      </c>
      <c r="O12" s="24">
        <f>COUNTIFS('Inji - Web - Test Cases'!A7:A1705,K12,'Inji - Web - Test Cases'!C7:C1705,"&lt;&gt;"&amp;"",'Inji - Web - Test Cases'!J7:J1705,"NA")</f>
        <v>0</v>
      </c>
      <c r="Q12" s="17"/>
      <c r="R12" s="17"/>
    </row>
    <row r="13" ht="14.25" customHeight="1">
      <c r="B13" s="53"/>
      <c r="C13" s="53"/>
      <c r="D13" s="53"/>
      <c r="E13" s="53"/>
      <c r="F13" s="53"/>
      <c r="G13" s="53"/>
      <c r="H13" s="53"/>
      <c r="I13" s="53"/>
      <c r="J13" s="42"/>
      <c r="K13" s="25" t="str">
        <f>IFERROR(__xludf.DUMMYFUNCTION("""COMPUTED_VALUE"""),"INJIWEB-247")</f>
        <v>INJIWEB-247</v>
      </c>
      <c r="L13" s="26">
        <f>COUNTIFS('Inji - Web - Test Cases'!A7:A1709,K13,'Inji - Web - Test Cases'!C7:C1709,"&lt;&gt;"&amp;"")</f>
        <v>15</v>
      </c>
      <c r="M13" s="22">
        <f>COUNTIFS('Inji - Web - Test Cases'!A8:A1706,K13,'Inji - Web - Test Cases'!C8:C1706,"&lt;&gt;"&amp;"",'Inji - Web - Test Cases'!J8:J1706,"Pass")</f>
        <v>15</v>
      </c>
      <c r="N13" s="23">
        <f>COUNTIFS('Inji - Web - Test Cases'!A8:A1706,K13,'Inji - Web - Test Cases'!C8:C1706,"&lt;&gt;"&amp;"",'Inji - Web - Test Cases'!J8:J1706,"Fail")</f>
        <v>0</v>
      </c>
      <c r="O13" s="24">
        <f>COUNTIFS('Inji - Web - Test Cases'!A8:A1706,K13,'Inji - Web - Test Cases'!C8:C1706,"&lt;&gt;"&amp;"",'Inji - Web - Test Cases'!J8:J1706,"NA")</f>
        <v>0</v>
      </c>
      <c r="Q13" s="17"/>
      <c r="R13" s="17"/>
    </row>
    <row r="14" ht="14.25" customHeight="1">
      <c r="K14" s="25" t="str">
        <f>IFERROR(__xludf.DUMMYFUNCTION("""COMPUTED_VALUE"""),"INJIWEB-257")</f>
        <v>INJIWEB-257</v>
      </c>
      <c r="L14" s="26">
        <f>COUNTIFS('Inji - Web - Test Cases'!A8:A1710,K14,'Inji - Web - Test Cases'!C8:C1710,"&lt;&gt;"&amp;"")</f>
        <v>3</v>
      </c>
      <c r="M14" s="22">
        <f>COUNTIFS('Inji - Web - Test Cases'!A9:A1707,K14,'Inji - Web - Test Cases'!C9:C1707,"&lt;&gt;"&amp;"",'Inji - Web - Test Cases'!J9:J1707,"Pass")</f>
        <v>3</v>
      </c>
      <c r="N14" s="23">
        <f>COUNTIFS('Inji - Web - Test Cases'!A9:A1707,K14,'Inji - Web - Test Cases'!C9:C1707,"&lt;&gt;"&amp;"",'Inji - Web - Test Cases'!J9:J1707,"Fail")</f>
        <v>0</v>
      </c>
      <c r="O14" s="24">
        <f>COUNTIFS('Inji - Web - Test Cases'!A9:A1707,K14,'Inji - Web - Test Cases'!C9:C1707,"&lt;&gt;"&amp;"",'Inji - Web - Test Cases'!J9:J1707,"NA")</f>
        <v>0</v>
      </c>
      <c r="Q14" s="17"/>
      <c r="R14" s="17"/>
    </row>
    <row r="15" ht="14.25" customHeight="1">
      <c r="K15" s="25" t="str">
        <f>IFERROR(__xludf.DUMMYFUNCTION("""COMPUTED_VALUE"""),"INJIWEB-278")</f>
        <v>INJIWEB-278</v>
      </c>
      <c r="L15" s="26">
        <f>COUNTIFS('Inji - Web - Test Cases'!A9:A1711,K15,'Inji - Web - Test Cases'!C9:C1711,"&lt;&gt;"&amp;"")</f>
        <v>7</v>
      </c>
      <c r="M15" s="22">
        <f>COUNTIFS('Inji - Web - Test Cases'!A10:A1708,K15,'Inji - Web - Test Cases'!C10:C1708,"&lt;&gt;"&amp;"",'Inji - Web - Test Cases'!J10:J1708,"Pass")</f>
        <v>7</v>
      </c>
      <c r="N15" s="23">
        <f>COUNTIFS('Inji - Web - Test Cases'!A10:A1708,K15,'Inji - Web - Test Cases'!C10:C1708,"&lt;&gt;"&amp;"",'Inji - Web - Test Cases'!J10:J1708,"Fail")</f>
        <v>0</v>
      </c>
      <c r="O15" s="24">
        <f>COUNTIFS('Inji - Web - Test Cases'!A10:A1708,K15,'Inji - Web - Test Cases'!C10:C1708,"&lt;&gt;"&amp;"",'Inji - Web - Test Cases'!J10:J1708,"NA")</f>
        <v>0</v>
      </c>
      <c r="Q15" s="17"/>
      <c r="R15" s="17"/>
    </row>
    <row r="16">
      <c r="K16" s="25" t="str">
        <f>IFERROR(__xludf.DUMMYFUNCTION("""COMPUTED_VALUE"""),"INJIWEB-232")</f>
        <v>INJIWEB-232</v>
      </c>
      <c r="L16" s="26">
        <f>COUNTIFS('Inji - Web - Test Cases'!A10:A1712,K16,'Inji - Web - Test Cases'!C10:C1712,"&lt;&gt;"&amp;"")</f>
        <v>9</v>
      </c>
      <c r="M16" s="22">
        <f>COUNTIFS('Inji - Web - Test Cases'!A11:A1709,K16,'Inji - Web - Test Cases'!C11:C1709,"&lt;&gt;"&amp;"",'Inji - Web - Test Cases'!J11:J1709,"Pass")</f>
        <v>9</v>
      </c>
      <c r="N16" s="23">
        <f>COUNTIFS('Inji - Web - Test Cases'!A11:A1709,K16,'Inji - Web - Test Cases'!C11:C1709,"&lt;&gt;"&amp;"",'Inji - Web - Test Cases'!J11:J1709,"Fail")</f>
        <v>0</v>
      </c>
      <c r="O16" s="24">
        <f>COUNTIFS('Inji - Web - Test Cases'!A11:A1709,K16,'Inji - Web - Test Cases'!C11:C1709,"&lt;&gt;"&amp;"",'Inji - Web - Test Cases'!J11:J1709,"NA")</f>
        <v>0</v>
      </c>
      <c r="Q16" s="17"/>
      <c r="R16" s="17"/>
    </row>
    <row r="17">
      <c r="K17" s="25" t="str">
        <f>IFERROR(__xludf.DUMMYFUNCTION("""COMPUTED_VALUE"""),"INJIWEB-479")</f>
        <v>INJIWEB-479</v>
      </c>
      <c r="L17" s="26">
        <f>COUNTIFS('Inji - Web - Test Cases'!A11:A1713,K17,'Inji - Web - Test Cases'!C11:C1713,"&lt;&gt;"&amp;"")</f>
        <v>6</v>
      </c>
      <c r="M17" s="22">
        <f>COUNTIFS('Inji - Web - Test Cases'!A12:A1710,K17,'Inji - Web - Test Cases'!C12:C1710,"&lt;&gt;"&amp;"",'Inji - Web - Test Cases'!J12:J1710,"Pass")</f>
        <v>6</v>
      </c>
      <c r="N17" s="23">
        <f>COUNTIFS('Inji - Web - Test Cases'!A12:A1710,K17,'Inji - Web - Test Cases'!C12:C1710,"&lt;&gt;"&amp;"",'Inji - Web - Test Cases'!J12:J1710,"Fail")</f>
        <v>0</v>
      </c>
      <c r="O17" s="24">
        <f>COUNTIFS('Inji - Web - Test Cases'!A12:A1710,K17,'Inji - Web - Test Cases'!C12:C1710,"&lt;&gt;"&amp;"",'Inji - Web - Test Cases'!J12:J1710,"NA")</f>
        <v>0</v>
      </c>
      <c r="Q17" s="17"/>
      <c r="R17" s="17"/>
    </row>
    <row r="18" ht="14.25" customHeight="1">
      <c r="K18" s="25" t="str">
        <f>IFERROR(__xludf.DUMMYFUNCTION("""COMPUTED_VALUE"""),"INJIWEB-192")</f>
        <v>INJIWEB-192</v>
      </c>
      <c r="L18" s="26">
        <f>COUNTIFS('Inji - Web - Test Cases'!A12:A1714,K18,'Inji - Web - Test Cases'!C12:C1714,"&lt;&gt;"&amp;"")</f>
        <v>18</v>
      </c>
      <c r="M18" s="22">
        <f>COUNTIFS('Inji - Web - Test Cases'!A13:A1711,K18,'Inji - Web - Test Cases'!C13:C1711,"&lt;&gt;"&amp;"",'Inji - Web - Test Cases'!J13:J1711,"Pass")</f>
        <v>18</v>
      </c>
      <c r="N18" s="23">
        <f>COUNTIFS('Inji - Web - Test Cases'!A13:A1711,K18,'Inji - Web - Test Cases'!C13:C1711,"&lt;&gt;"&amp;"",'Inji - Web - Test Cases'!J13:J1711,"Fail")</f>
        <v>0</v>
      </c>
      <c r="O18" s="24">
        <f>COUNTIFS('Inji - Web - Test Cases'!A13:A1711,K18,'Inji - Web - Test Cases'!C13:C1711,"&lt;&gt;"&amp;"",'Inji - Web - Test Cases'!J13:J1711,"NA")</f>
        <v>0</v>
      </c>
      <c r="Q18" s="17"/>
      <c r="R18" s="17"/>
    </row>
    <row r="19" ht="14.25" customHeight="1">
      <c r="K19" s="25" t="str">
        <f>IFERROR(__xludf.DUMMYFUNCTION("""COMPUTED_VALUE"""),"INJIWEB-597")</f>
        <v>INJIWEB-597</v>
      </c>
      <c r="L19" s="26">
        <f>COUNTIFS('Inji - Web - Test Cases'!A13:A1715,K19,'Inji - Web - Test Cases'!C13:C1715,"&lt;&gt;"&amp;"")</f>
        <v>8</v>
      </c>
      <c r="M19" s="22">
        <f>COUNTIFS('Inji - Web - Test Cases'!A14:A1712,K19,'Inji - Web - Test Cases'!C14:C1712,"&lt;&gt;"&amp;"",'Inji - Web - Test Cases'!J14:J1712,"Pass")</f>
        <v>8</v>
      </c>
      <c r="N19" s="23">
        <f>COUNTIFS('Inji - Web - Test Cases'!A14:A1712,K19,'Inji - Web - Test Cases'!C14:C1712,"&lt;&gt;"&amp;"",'Inji - Web - Test Cases'!J14:J1712,"Fail")</f>
        <v>0</v>
      </c>
      <c r="O19" s="24">
        <f>COUNTIFS('Inji - Web - Test Cases'!A14:A1712,K19,'Inji - Web - Test Cases'!C14:C1712,"&lt;&gt;"&amp;"",'Inji - Web - Test Cases'!J14:J1712,"NA")</f>
        <v>0</v>
      </c>
      <c r="Q19" s="17"/>
      <c r="R19" s="17"/>
    </row>
    <row r="20" ht="14.25" customHeight="1">
      <c r="K20" s="25" t="str">
        <f>IFERROR(__xludf.DUMMYFUNCTION("""COMPUTED_VALUE"""),"INJIWEB-639")</f>
        <v>INJIWEB-639</v>
      </c>
      <c r="L20" s="26">
        <f>COUNTIFS('Inji - Web - Test Cases'!A14:A1716,K20,'Inji - Web - Test Cases'!C14:C1716,"&lt;&gt;"&amp;"")</f>
        <v>17</v>
      </c>
      <c r="M20" s="22">
        <f>COUNTIFS('Inji - Web - Test Cases'!A15:A1713,K20,'Inji - Web - Test Cases'!C15:C1713,"&lt;&gt;"&amp;"",'Inji - Web - Test Cases'!J15:J1713,"Pass")</f>
        <v>17</v>
      </c>
      <c r="N20" s="23">
        <f>COUNTIFS('Inji - Web - Test Cases'!A15:A1713,K20,'Inji - Web - Test Cases'!C15:C1713,"&lt;&gt;"&amp;"",'Inji - Web - Test Cases'!J15:J1713,"Fail")</f>
        <v>0</v>
      </c>
      <c r="O20" s="24">
        <f>COUNTIFS('Inji - Web - Test Cases'!A15:A1713,K20,'Inji - Web - Test Cases'!C15:C1713,"&lt;&gt;"&amp;"",'Inji - Web - Test Cases'!J15:J1713,"NA")</f>
        <v>0</v>
      </c>
      <c r="Q20" s="17"/>
      <c r="R20" s="17"/>
    </row>
    <row r="21" ht="14.25" customHeight="1">
      <c r="K21" s="25" t="str">
        <f>IFERROR(__xludf.DUMMYFUNCTION("""COMPUTED_VALUE"""),"INJIWEB-649")</f>
        <v>INJIWEB-649</v>
      </c>
      <c r="L21" s="26">
        <f>COUNTIFS('Inji - Web - Test Cases'!A15:A1717,K21,'Inji - Web - Test Cases'!C15:C1717,"&lt;&gt;"&amp;"")</f>
        <v>20</v>
      </c>
      <c r="M21" s="22">
        <f>COUNTIFS('Inji - Web - Test Cases'!A16:A1714,K21,'Inji - Web - Test Cases'!C16:C1714,"&lt;&gt;"&amp;"",'Inji - Web - Test Cases'!J16:J1714,"Pass")</f>
        <v>20</v>
      </c>
      <c r="N21" s="23">
        <f>COUNTIFS('Inji - Web - Test Cases'!A16:A1714,K21,'Inji - Web - Test Cases'!C16:C1714,"&lt;&gt;"&amp;"",'Inji - Web - Test Cases'!J16:J1714,"Fail")</f>
        <v>0</v>
      </c>
      <c r="O21" s="24">
        <f>COUNTIFS('Inji - Web - Test Cases'!A16:A1714,K21,'Inji - Web - Test Cases'!C16:C1714,"&lt;&gt;"&amp;"",'Inji - Web - Test Cases'!J16:J1714,"NA")</f>
        <v>0</v>
      </c>
      <c r="Q21" s="17"/>
      <c r="R21" s="17"/>
    </row>
    <row r="22" ht="14.25" customHeight="1">
      <c r="K22" s="25" t="str">
        <f>IFERROR(__xludf.DUMMYFUNCTION("""COMPUTED_VALUE"""),"INJIWEB-665")</f>
        <v>INJIWEB-665</v>
      </c>
      <c r="L22" s="26">
        <f>COUNTIFS('Inji - Web - Test Cases'!A16:A1718,K22,'Inji - Web - Test Cases'!C16:C1718,"&lt;&gt;"&amp;"")</f>
        <v>10</v>
      </c>
      <c r="M22" s="22">
        <f>COUNTIFS('Inji - Web - Test Cases'!A17:A1715,K22,'Inji - Web - Test Cases'!C17:C1715,"&lt;&gt;"&amp;"",'Inji - Web - Test Cases'!J17:J1715,"Pass")</f>
        <v>10</v>
      </c>
      <c r="N22" s="23">
        <f>COUNTIFS('Inji - Web - Test Cases'!A17:A1715,K22,'Inji - Web - Test Cases'!C17:C1715,"&lt;&gt;"&amp;"",'Inji - Web - Test Cases'!J17:J1715,"Fail")</f>
        <v>0</v>
      </c>
      <c r="O22" s="24">
        <f>COUNTIFS('Inji - Web - Test Cases'!A17:A1715,K22,'Inji - Web - Test Cases'!C17:C1715,"&lt;&gt;"&amp;"",'Inji - Web - Test Cases'!J17:J1715,"NA")</f>
        <v>0</v>
      </c>
      <c r="Q22" s="17"/>
      <c r="R22" s="17"/>
    </row>
    <row r="23" ht="14.25" customHeight="1">
      <c r="K23" s="25" t="str">
        <f>IFERROR(__xludf.DUMMYFUNCTION("""COMPUTED_VALUE"""),"INJIWEB-679")</f>
        <v>INJIWEB-679</v>
      </c>
      <c r="L23" s="26">
        <f>COUNTIFS('Inji - Web - Test Cases'!A17:A1719,K23,'Inji - Web - Test Cases'!C17:C1719,"&lt;&gt;"&amp;"")</f>
        <v>22</v>
      </c>
      <c r="M23" s="22">
        <f>COUNTIFS('Inji - Web - Test Cases'!A18:A1716,K23,'Inji - Web - Test Cases'!C18:C1716,"&lt;&gt;"&amp;"",'Inji - Web - Test Cases'!J18:J1716,"Pass")</f>
        <v>22</v>
      </c>
      <c r="N23" s="23">
        <f>COUNTIFS('Inji - Web - Test Cases'!A18:A1716,K23,'Inji - Web - Test Cases'!C18:C1716,"&lt;&gt;"&amp;"",'Inji - Web - Test Cases'!J18:J1716,"Fail")</f>
        <v>0</v>
      </c>
      <c r="O23" s="24">
        <f>COUNTIFS('Inji - Web - Test Cases'!A18:A1716,K23,'Inji - Web - Test Cases'!C18:C1716,"&lt;&gt;"&amp;"",'Inji - Web - Test Cases'!J18:J1716,"NA")</f>
        <v>0</v>
      </c>
      <c r="Q23" s="17"/>
      <c r="R23" s="17"/>
    </row>
    <row r="24" ht="14.25" customHeight="1">
      <c r="K24" s="25" t="str">
        <f>IFERROR(__xludf.DUMMYFUNCTION("""COMPUTED_VALUE"""),"INJIWEB-880")</f>
        <v>INJIWEB-880</v>
      </c>
      <c r="L24" s="26">
        <f>COUNTIFS('Inji - Web - Test Cases'!A18:A1720,K24,'Inji - Web - Test Cases'!C18:C1720,"&lt;&gt;"&amp;"")</f>
        <v>4</v>
      </c>
      <c r="M24" s="22">
        <f>COUNTIFS('Inji - Web - Test Cases'!A19:A1717,K24,'Inji - Web - Test Cases'!C19:C1717,"&lt;&gt;"&amp;"",'Inji - Web - Test Cases'!J19:J1717,"Pass")</f>
        <v>4</v>
      </c>
      <c r="N24" s="23">
        <f>COUNTIFS('Inji - Web - Test Cases'!A19:A1717,K24,'Inji - Web - Test Cases'!C19:C1717,"&lt;&gt;"&amp;"",'Inji - Web - Test Cases'!J19:J1717,"Fail")</f>
        <v>0</v>
      </c>
      <c r="O24" s="24">
        <f>COUNTIFS('Inji - Web - Test Cases'!A19:A1717,K24,'Inji - Web - Test Cases'!C19:C1717,"&lt;&gt;"&amp;"",'Inji - Web - Test Cases'!J19:J1717,"NA")</f>
        <v>0</v>
      </c>
      <c r="Q24" s="17"/>
      <c r="R24" s="17"/>
    </row>
    <row r="25" ht="14.25" customHeight="1">
      <c r="K25" s="25" t="str">
        <f>IFERROR(__xludf.DUMMYFUNCTION("""COMPUTED_VALUE"""),"INJIWEB-268")</f>
        <v>INJIWEB-268</v>
      </c>
      <c r="L25" s="26">
        <f>COUNTIFS('Inji - Web - Test Cases'!A19:A1721,K25,'Inji - Web - Test Cases'!C19:C1721,"&lt;&gt;"&amp;"")</f>
        <v>14</v>
      </c>
      <c r="M25" s="22">
        <f>COUNTIFS('Inji - Web - Test Cases'!A20:A1718,K25,'Inji - Web - Test Cases'!C20:C1718,"&lt;&gt;"&amp;"",'Inji - Web - Test Cases'!J20:J1718,"Pass")</f>
        <v>14</v>
      </c>
      <c r="N25" s="23">
        <f>COUNTIFS('Inji - Web - Test Cases'!A20:A1718,K25,'Inji - Web - Test Cases'!C20:C1718,"&lt;&gt;"&amp;"",'Inji - Web - Test Cases'!J20:J1718,"Fail")</f>
        <v>0</v>
      </c>
      <c r="O25" s="24">
        <f>COUNTIFS('Inji - Web - Test Cases'!A20:A1718,K25,'Inji - Web - Test Cases'!C20:C1718,"&lt;&gt;"&amp;"",'Inji - Web - Test Cases'!J20:J1718,"NA")</f>
        <v>0</v>
      </c>
      <c r="Q25" s="17"/>
      <c r="R25" s="17"/>
    </row>
    <row r="26" ht="14.25" customHeight="1">
      <c r="K26" s="25" t="str">
        <f>IFERROR(__xludf.DUMMYFUNCTION("""COMPUTED_VALUE"""),"INJIWEB-424")</f>
        <v>INJIWEB-424</v>
      </c>
      <c r="L26" s="26">
        <f>COUNTIFS('Inji - Web - Test Cases'!A20:A1722,K26,'Inji - Web - Test Cases'!C20:C1722,"&lt;&gt;"&amp;"")</f>
        <v>13</v>
      </c>
      <c r="M26" s="22">
        <f>COUNTIFS('Inji - Web - Test Cases'!A21:A1719,K26,'Inji - Web - Test Cases'!C21:C1719,"&lt;&gt;"&amp;"",'Inji - Web - Test Cases'!J21:J1719,"Pass")</f>
        <v>13</v>
      </c>
      <c r="N26" s="23">
        <f>COUNTIFS('Inji - Web - Test Cases'!A21:A1719,K26,'Inji - Web - Test Cases'!C21:C1719,"&lt;&gt;"&amp;"",'Inji - Web - Test Cases'!J21:J1719,"Fail")</f>
        <v>0</v>
      </c>
      <c r="O26" s="24">
        <f>COUNTIFS('Inji - Web - Test Cases'!A21:A1719,K26,'Inji - Web - Test Cases'!C21:C1719,"&lt;&gt;"&amp;"",'Inji - Web - Test Cases'!J21:J1719,"NA")</f>
        <v>0</v>
      </c>
      <c r="Q26" s="17"/>
      <c r="R26" s="17"/>
    </row>
    <row r="27" ht="14.25" customHeight="1">
      <c r="K27" s="25" t="str">
        <f>IFERROR(__xludf.DUMMYFUNCTION("""COMPUTED_VALUE"""),"INJIWEB-511")</f>
        <v>INJIWEB-511</v>
      </c>
      <c r="L27" s="26">
        <f>COUNTIFS('Inji - Web - Test Cases'!A21:A1723,K27,'Inji - Web - Test Cases'!C21:C1723,"&lt;&gt;"&amp;"")</f>
        <v>54</v>
      </c>
      <c r="M27" s="22">
        <f>COUNTIFS('Inji - Web - Test Cases'!A22:A1720,K27,'Inji - Web - Test Cases'!C22:C1720,"&lt;&gt;"&amp;"",'Inji - Web - Test Cases'!J22:J1720,"Pass")</f>
        <v>54</v>
      </c>
      <c r="N27" s="23">
        <f>COUNTIFS('Inji - Web - Test Cases'!A22:A1720,K27,'Inji - Web - Test Cases'!C22:C1720,"&lt;&gt;"&amp;"",'Inji - Web - Test Cases'!J22:J1720,"Fail")</f>
        <v>0</v>
      </c>
      <c r="O27" s="24">
        <f>COUNTIFS('Inji - Web - Test Cases'!A22:A1720,K27,'Inji - Web - Test Cases'!C22:C1720,"&lt;&gt;"&amp;"",'Inji - Web - Test Cases'!J22:J1720,"NA")</f>
        <v>0</v>
      </c>
      <c r="Q27" s="17"/>
      <c r="R27" s="17"/>
    </row>
    <row r="28" ht="14.25" customHeight="1">
      <c r="K28" s="25" t="str">
        <f>IFERROR(__xludf.DUMMYFUNCTION("""COMPUTED_VALUE"""),"INJIWEB-758")</f>
        <v>INJIWEB-758</v>
      </c>
      <c r="L28" s="26">
        <f>COUNTIFS('Inji - Web - Test Cases'!A22:A1724,K28,'Inji - Web - Test Cases'!C22:C1724,"&lt;&gt;"&amp;"")</f>
        <v>4</v>
      </c>
      <c r="M28" s="22">
        <f>COUNTIFS('Inji - Web - Test Cases'!A23:A1721,K28,'Inji - Web - Test Cases'!C23:C1721,"&lt;&gt;"&amp;"",'Inji - Web - Test Cases'!J23:J1721,"Pass")</f>
        <v>4</v>
      </c>
      <c r="N28" s="23">
        <f>COUNTIFS('Inji - Web - Test Cases'!A23:A1721,K28,'Inji - Web - Test Cases'!C23:C1721,"&lt;&gt;"&amp;"",'Inji - Web - Test Cases'!J23:J1721,"Fail")</f>
        <v>0</v>
      </c>
      <c r="O28" s="24">
        <f>COUNTIFS('Inji - Web - Test Cases'!A23:A1721,K28,'Inji - Web - Test Cases'!C23:C1721,"&lt;&gt;"&amp;"",'Inji - Web - Test Cases'!J23:J1721,"NA")</f>
        <v>0</v>
      </c>
      <c r="Q28" s="17"/>
      <c r="R28" s="17"/>
    </row>
    <row r="29" ht="14.25" customHeight="1">
      <c r="K29" s="25" t="str">
        <f>IFERROR(__xludf.DUMMYFUNCTION("""COMPUTED_VALUE"""),"INJIWEB-700")</f>
        <v>INJIWEB-700</v>
      </c>
      <c r="L29" s="26">
        <f>COUNTIFS('Inji - Web - Test Cases'!A23:A1725,K29,'Inji - Web - Test Cases'!C23:C1725,"&lt;&gt;"&amp;"")</f>
        <v>26</v>
      </c>
      <c r="M29" s="22">
        <f>COUNTIFS('Inji - Web - Test Cases'!A24:A1722,K29,'Inji - Web - Test Cases'!C24:C1722,"&lt;&gt;"&amp;"",'Inji - Web - Test Cases'!J24:J1722,"Pass")</f>
        <v>26</v>
      </c>
      <c r="N29" s="23">
        <f>COUNTIFS('Inji - Web - Test Cases'!A24:A1722,K29,'Inji - Web - Test Cases'!C24:C1722,"&lt;&gt;"&amp;"",'Inji - Web - Test Cases'!J24:J1722,"Fail")</f>
        <v>0</v>
      </c>
      <c r="O29" s="24">
        <f>COUNTIFS('Inji - Web - Test Cases'!A24:A1722,K29,'Inji - Web - Test Cases'!C24:C1722,"&lt;&gt;"&amp;"",'Inji - Web - Test Cases'!J24:J1722,"NA")</f>
        <v>0</v>
      </c>
      <c r="Q29" s="17"/>
      <c r="R29" s="17"/>
    </row>
    <row r="30" ht="14.25" customHeight="1">
      <c r="K30" s="25" t="str">
        <f>IFERROR(__xludf.DUMMYFUNCTION("""COMPUTED_VALUE"""),"INJIWEB-980")</f>
        <v>INJIWEB-980</v>
      </c>
      <c r="L30" s="26">
        <f>COUNTIFS('Inji - Web - Test Cases'!A24:A1726,K30,'Inji - Web - Test Cases'!C24:C1726,"&lt;&gt;"&amp;"")</f>
        <v>27</v>
      </c>
      <c r="M30" s="22">
        <f>COUNTIFS('Inji - Web - Test Cases'!A25:A1723,K30,'Inji - Web - Test Cases'!C25:C1723,"&lt;&gt;"&amp;"",'Inji - Web - Test Cases'!J25:J1723,"Pass")</f>
        <v>27</v>
      </c>
      <c r="N30" s="23">
        <f>COUNTIFS('Inji - Web - Test Cases'!A25:A1723,K30,'Inji - Web - Test Cases'!C25:C1723,"&lt;&gt;"&amp;"",'Inji - Web - Test Cases'!J25:J1723,"Fail")</f>
        <v>0</v>
      </c>
      <c r="O30" s="24">
        <f>COUNTIFS('Inji - Web - Test Cases'!A25:A1723,K30,'Inji - Web - Test Cases'!C25:C1723,"&lt;&gt;"&amp;"",'Inji - Web - Test Cases'!J25:J1723,"NA")</f>
        <v>0</v>
      </c>
      <c r="Q30" s="17"/>
      <c r="R30" s="17"/>
    </row>
    <row r="31" ht="14.25" customHeight="1">
      <c r="K31" s="25" t="str">
        <f>IFERROR(__xludf.DUMMYFUNCTION("""COMPUTED_VALUE"""),"INJIWEB-910")</f>
        <v>INJIWEB-910</v>
      </c>
      <c r="L31" s="26">
        <f>COUNTIFS('Inji - Web - Test Cases'!A25:A1727,K31,'Inji - Web - Test Cases'!C25:C1727,"&lt;&gt;"&amp;"")</f>
        <v>19</v>
      </c>
      <c r="M31" s="22">
        <f>COUNTIFS('Inji - Web - Test Cases'!A26:A1724,K31,'Inji - Web - Test Cases'!C26:C1724,"&lt;&gt;"&amp;"",'Inji - Web - Test Cases'!J26:J1724,"Pass")</f>
        <v>19</v>
      </c>
      <c r="N31" s="23">
        <f>COUNTIFS('Inji - Web - Test Cases'!A26:A1724,K31,'Inji - Web - Test Cases'!C26:C1724,"&lt;&gt;"&amp;"",'Inji - Web - Test Cases'!J26:J1724,"Fail")</f>
        <v>0</v>
      </c>
      <c r="O31" s="24">
        <f>COUNTIFS('Inji - Web - Test Cases'!A26:A1724,K31,'Inji - Web - Test Cases'!C26:C1724,"&lt;&gt;"&amp;"",'Inji - Web - Test Cases'!J26:J1724,"NA")</f>
        <v>0</v>
      </c>
      <c r="Q31" s="17"/>
      <c r="R31" s="17"/>
    </row>
    <row r="32" ht="14.25" customHeight="1">
      <c r="K32" s="25" t="str">
        <f>IFERROR(__xludf.DUMMYFUNCTION("""COMPUTED_VALUE"""),"INJIWEB-920")</f>
        <v>INJIWEB-920</v>
      </c>
      <c r="L32" s="26">
        <f>COUNTIFS('Inji - Web - Test Cases'!A26:A1728,K32,'Inji - Web - Test Cases'!C26:C1728,"&lt;&gt;"&amp;"")</f>
        <v>11</v>
      </c>
      <c r="M32" s="22">
        <f>COUNTIFS('Inji - Web - Test Cases'!A26:A1725,K32,'Inji - Web - Test Cases'!C26:C1725,"&lt;&gt;"&amp;"",'Inji - Web - Test Cases'!J26:J1725,"Pass")</f>
        <v>11</v>
      </c>
      <c r="N32" s="23">
        <f>COUNTIFS('Inji - Web - Test Cases'!A26:A1725,K32,'Inji - Web - Test Cases'!C26:C1725,"&lt;&gt;"&amp;"",'Inji - Web - Test Cases'!J26:J1725,"Fail")</f>
        <v>0</v>
      </c>
      <c r="O32" s="24">
        <f>COUNTIFS('Inji - Web - Test Cases'!A26:A1725,K32,'Inji - Web - Test Cases'!C26:C1725,"&lt;&gt;"&amp;"",'Inji - Web - Test Cases'!J26:J1725,"NA")</f>
        <v>0</v>
      </c>
      <c r="Q32" s="17"/>
      <c r="R32" s="17"/>
    </row>
    <row r="33" ht="14.25" customHeight="1">
      <c r="K33" s="25" t="str">
        <f>IFERROR(__xludf.DUMMYFUNCTION("""COMPUTED_VALUE"""),"INJIWEB-1036")</f>
        <v>INJIWEB-1036</v>
      </c>
      <c r="L33" s="26">
        <f>COUNTIFS('Inji - Web - Test Cases'!A26:A1729,K33,'Inji - Web - Test Cases'!C26:C1729,"&lt;&gt;"&amp;"")</f>
        <v>12</v>
      </c>
      <c r="M33" s="22">
        <f>COUNTIFS('Inji - Web - Test Cases'!A27:A1726,K33,'Inji - Web - Test Cases'!C27:C1726,"&lt;&gt;"&amp;"",'Inji - Web - Test Cases'!J27:J1726,"Pass")</f>
        <v>12</v>
      </c>
      <c r="N33" s="23">
        <f>COUNTIFS('Inji - Web - Test Cases'!A27:A1726,K33,'Inji - Web - Test Cases'!C27:C1726,"&lt;&gt;"&amp;"",'Inji - Web - Test Cases'!J27:J1726,"Fail")</f>
        <v>0</v>
      </c>
      <c r="O33" s="24">
        <f>COUNTIFS('Inji - Web - Test Cases'!A27:A1726,K33,'Inji - Web - Test Cases'!C27:C1726,"&lt;&gt;"&amp;"",'Inji - Web - Test Cases'!J27:J1726,"NA")</f>
        <v>0</v>
      </c>
      <c r="Q33" s="17"/>
      <c r="R33" s="17"/>
    </row>
    <row r="34" ht="14.25" customHeight="1">
      <c r="K34" s="25" t="str">
        <f>IFERROR(__xludf.DUMMYFUNCTION("""COMPUTED_VALUE"""),"INJIWEB-1203")</f>
        <v>INJIWEB-1203</v>
      </c>
      <c r="L34" s="26">
        <f>COUNTIFS('Inji - Web - Test Cases'!A27:A1730,K34,'Inji - Web - Test Cases'!C27:C1730,"&lt;&gt;"&amp;"")</f>
        <v>12</v>
      </c>
      <c r="M34" s="22">
        <f>COUNTIFS('Inji - Web - Test Cases'!A27:A1727,K34,'Inji - Web - Test Cases'!C27:C1727,"&lt;&gt;"&amp;"",'Inji - Web - Test Cases'!J27:J1727,"Pass")</f>
        <v>12</v>
      </c>
      <c r="N34" s="23">
        <f>COUNTIFS('Inji - Web - Test Cases'!A27:A1727,K34,'Inji - Web - Test Cases'!C27:C1727,"&lt;&gt;"&amp;"",'Inji - Web - Test Cases'!J27:J1727,"Fail")</f>
        <v>0</v>
      </c>
      <c r="O34" s="24">
        <f>COUNTIFS('Inji - Web - Test Cases'!A27:A1727,K34,'Inji - Web - Test Cases'!C27:C1727,"&lt;&gt;"&amp;"",'Inji - Web - Test Cases'!J27:J1727,"NA")</f>
        <v>0</v>
      </c>
      <c r="Q34" s="17"/>
      <c r="R34" s="17"/>
    </row>
    <row r="35" ht="14.25" customHeight="1">
      <c r="K35" s="25" t="str">
        <f>IFERROR(__xludf.DUMMYFUNCTION("""COMPUTED_VALUE"""),"INJIWEB-1167")</f>
        <v>INJIWEB-1167</v>
      </c>
      <c r="L35" s="26">
        <f>COUNTIFS('Inji - Web - Test Cases'!A27:A1731,K35,'Inji - Web - Test Cases'!C27:C1731,"&lt;&gt;"&amp;"")</f>
        <v>10</v>
      </c>
      <c r="M35" s="22">
        <f>COUNTIFS('Inji - Web - Test Cases'!A28:A1728,K35,'Inji - Web - Test Cases'!C28:C1728,"&lt;&gt;"&amp;"",'Inji - Web - Test Cases'!J28:J1728,"Pass")</f>
        <v>9</v>
      </c>
      <c r="N35" s="23">
        <f>COUNTIFS('Inji - Web - Test Cases'!A28:A1728,K35,'Inji - Web - Test Cases'!C28:C1728,"&lt;&gt;"&amp;"",'Inji - Web - Test Cases'!J28:J1728,"Fail")</f>
        <v>1</v>
      </c>
      <c r="O35" s="24">
        <f>COUNTIFS('Inji - Web - Test Cases'!A28:A1728,K35,'Inji - Web - Test Cases'!C28:C1728,"&lt;&gt;"&amp;"",'Inji - Web - Test Cases'!J28:J1728,"NA")</f>
        <v>0</v>
      </c>
      <c r="Q35" s="17"/>
      <c r="R35" s="17"/>
    </row>
    <row r="36" ht="14.25" customHeight="1">
      <c r="K36" s="25" t="str">
        <f>IFERROR(__xludf.DUMMYFUNCTION("""COMPUTED_VALUE"""),"INJIWEB-1246")</f>
        <v>INJIWEB-1246</v>
      </c>
      <c r="L36" s="26">
        <f>COUNTIFS('Inji - Web - Test Cases'!A28:A1732,K36,'Inji - Web - Test Cases'!C28:C1732,"&lt;&gt;"&amp;"")</f>
        <v>21</v>
      </c>
      <c r="M36" s="22">
        <f>COUNTIFS('Inji - Web - Test Cases'!A28:A1729,K36,'Inji - Web - Test Cases'!C28:C1729,"&lt;&gt;"&amp;"",'Inji - Web - Test Cases'!J28:J1729,"Pass")</f>
        <v>21</v>
      </c>
      <c r="N36" s="23">
        <f>COUNTIFS('Inji - Web - Test Cases'!A28:A1729,K36,'Inji - Web - Test Cases'!C28:C1729,"&lt;&gt;"&amp;"",'Inji - Web - Test Cases'!J28:J1729,"Fail")</f>
        <v>0</v>
      </c>
      <c r="O36" s="24">
        <f>COUNTIFS('Inji - Web - Test Cases'!A28:A1729,K36,'Inji - Web - Test Cases'!C28:C1729,"&lt;&gt;"&amp;"",'Inji - Web - Test Cases'!J28:J1729,"NA")</f>
        <v>0</v>
      </c>
      <c r="Q36" s="17"/>
      <c r="R36" s="17"/>
    </row>
    <row r="37" ht="14.25" customHeight="1">
      <c r="K37" s="31" t="str">
        <f>IFERROR(__xludf.DUMMYFUNCTION("""COMPUTED_VALUE"""),"INJIWEB-1117")</f>
        <v>INJIWEB-1117</v>
      </c>
      <c r="L37" s="26">
        <f>COUNTIFS('Inji - Web - Test Cases'!A28:A1733,K37,'Inji - Web - Test Cases'!C28:C1733,"&lt;&gt;"&amp;"")</f>
        <v>29</v>
      </c>
      <c r="M37" s="22">
        <f>COUNTIFS('Inji - Web - Test Cases'!A29:A1730,K37,'Inji - Web - Test Cases'!C29:C1730,"&lt;&gt;"&amp;"",'Inji - Web - Test Cases'!J29:J1730,"Pass")</f>
        <v>28</v>
      </c>
      <c r="N37" s="23">
        <f>COUNTIFS('Inji - Web - Test Cases'!A29:A1730,K37,'Inji - Web - Test Cases'!C29:C1730,"&lt;&gt;"&amp;"",'Inji - Web - Test Cases'!J29:J1730,"Fail")</f>
        <v>1</v>
      </c>
      <c r="O37" s="24">
        <f>COUNTIFS('Inji - Web - Test Cases'!A29:A1730,K37,'Inji - Web - Test Cases'!C29:C1730,"&lt;&gt;"&amp;"",'Inji - Web - Test Cases'!J29:J1730,"NA")</f>
        <v>0</v>
      </c>
      <c r="Q37" s="17"/>
      <c r="R37" s="17"/>
    </row>
    <row r="38" ht="14.25" customHeight="1">
      <c r="K38" s="31" t="str">
        <f>IFERROR(__xludf.DUMMYFUNCTION("""COMPUTED_VALUE"""),"INJIWEB-1513")</f>
        <v>INJIWEB-1513</v>
      </c>
      <c r="L38" s="26">
        <f>COUNTIFS('Inji - Web - Test Cases'!A29:A1734,K38,'Inji - Web - Test Cases'!C29:C1734,"&lt;&gt;"&amp;"")</f>
        <v>12</v>
      </c>
      <c r="M38" s="22">
        <f>COUNTIFS('Inji - Web - Test Cases'!A30:A1731,K38,'Inji - Web - Test Cases'!C30:C1731,"&lt;&gt;"&amp;"",'Inji - Web - Test Cases'!J30:J1731,"Pass")</f>
        <v>12</v>
      </c>
      <c r="N38" s="23">
        <f>COUNTIFS('Inji - Web - Test Cases'!A30:A1731,K38,'Inji - Web - Test Cases'!C30:C1731,"&lt;&gt;"&amp;"",'Inji - Web - Test Cases'!J30:J1731,"Fail")</f>
        <v>0</v>
      </c>
      <c r="O38" s="24">
        <f>COUNTIFS('Inji - Web - Test Cases'!A30:A1731,K38,'Inji - Web - Test Cases'!C30:C1731,"&lt;&gt;"&amp;"",'Inji - Web - Test Cases'!J30:J1731,"NA")</f>
        <v>0</v>
      </c>
      <c r="Q38" s="17"/>
      <c r="R38" s="17"/>
    </row>
    <row r="39" ht="14.25" customHeight="1">
      <c r="K39" s="31" t="str">
        <f>IFERROR(__xludf.DUMMYFUNCTION("""COMPUTED_VALUE"""),"INJIWEB-1522")</f>
        <v>INJIWEB-1522</v>
      </c>
      <c r="L39" s="26">
        <f>COUNTIFS('Inji - Web - Test Cases'!A30:A1735,K39,'Inji - Web - Test Cases'!C30:C1735,"&lt;&gt;"&amp;"")</f>
        <v>22</v>
      </c>
      <c r="M39" s="22">
        <f>COUNTIFS('Inji - Web - Test Cases'!A31:A1732,K39,'Inji - Web - Test Cases'!C31:C1732,"&lt;&gt;"&amp;"",'Inji - Web - Test Cases'!J31:J1732,"Pass")</f>
        <v>21</v>
      </c>
      <c r="N39" s="23">
        <f>COUNTIFS('Inji - Web - Test Cases'!A31:A1732,K39,'Inji - Web - Test Cases'!C31:C1732,"&lt;&gt;"&amp;"",'Inji - Web - Test Cases'!J31:J1732,"Fail")</f>
        <v>1</v>
      </c>
      <c r="O39" s="24">
        <f>COUNTIFS('Inji - Web - Test Cases'!A31:A1732,K39,'Inji - Web - Test Cases'!C31:C1732,"&lt;&gt;"&amp;"",'Inji - Web - Test Cases'!J31:J1732,"NA")</f>
        <v>0</v>
      </c>
      <c r="Q39" s="17"/>
      <c r="R39" s="17"/>
    </row>
    <row r="40" ht="14.25" customHeight="1">
      <c r="K40" s="31" t="str">
        <f>IFERROR(__xludf.DUMMYFUNCTION("""COMPUTED_VALUE"""),"INJIWEB-1533")</f>
        <v>INJIWEB-1533</v>
      </c>
      <c r="L40" s="26">
        <f>COUNTIFS('Inji - Web - Test Cases'!A31:A1736,K40,'Inji - Web - Test Cases'!C31:C1736,"&lt;&gt;"&amp;"")</f>
        <v>14</v>
      </c>
      <c r="M40" s="22">
        <f>COUNTIFS('Inji - Web - Test Cases'!A32:A1733,K40,'Inji - Web - Test Cases'!C32:C1733,"&lt;&gt;"&amp;"",'Inji - Web - Test Cases'!J32:J1733,"Pass")</f>
        <v>11</v>
      </c>
      <c r="N40" s="23">
        <f>COUNTIFS('Inji - Web - Test Cases'!A32:A1733,K40,'Inji - Web - Test Cases'!C32:C1733,"&lt;&gt;"&amp;"",'Inji - Web - Test Cases'!J32:J1733,"Fail")</f>
        <v>3</v>
      </c>
      <c r="O40" s="24">
        <f>COUNTIFS('Inji - Web - Test Cases'!A32:A1733,K40,'Inji - Web - Test Cases'!C32:C1733,"&lt;&gt;"&amp;"",'Inji - Web - Test Cases'!J32:J1733,"NA")</f>
        <v>0</v>
      </c>
      <c r="Q40" s="17"/>
      <c r="R40" s="17"/>
    </row>
    <row r="41" ht="14.25" customHeight="1">
      <c r="K41" s="31" t="str">
        <f>IFERROR(__xludf.DUMMYFUNCTION("""COMPUTED_VALUE"""),"INJIWEB-1520")</f>
        <v>INJIWEB-1520</v>
      </c>
      <c r="L41" s="26">
        <f>COUNTIFS('Inji - Web - Test Cases'!A32:A1737,K41,'Inji - Web - Test Cases'!C32:C1737,"&lt;&gt;"&amp;"")</f>
        <v>13</v>
      </c>
      <c r="M41" s="22">
        <f>COUNTIFS('Inji - Web - Test Cases'!A33:A1734,K41,'Inji - Web - Test Cases'!C33:C1734,"&lt;&gt;"&amp;"",'Inji - Web - Test Cases'!J33:J1734,"Pass")</f>
        <v>13</v>
      </c>
      <c r="N41" s="23">
        <f>COUNTIFS('Inji - Web - Test Cases'!A33:A1734,K41,'Inji - Web - Test Cases'!C33:C1734,"&lt;&gt;"&amp;"",'Inji - Web - Test Cases'!J33:J1734,"Fail")</f>
        <v>0</v>
      </c>
      <c r="O41" s="24">
        <f>COUNTIFS('Inji - Web - Test Cases'!A33:A1734,K41,'Inji - Web - Test Cases'!C33:C1734,"&lt;&gt;"&amp;"",'Inji - Web - Test Cases'!J33:J1734,"NA")</f>
        <v>0</v>
      </c>
      <c r="Q41" s="17"/>
      <c r="R41" s="17"/>
    </row>
    <row r="42" ht="14.25" customHeight="1">
      <c r="K42" s="31" t="str">
        <f>IFERROR(__xludf.DUMMYFUNCTION("""COMPUTED_VALUE"""),"INJIWEB-1563")</f>
        <v>INJIWEB-1563</v>
      </c>
      <c r="L42" s="26">
        <f>COUNTIFS('Inji - Web - Test Cases'!A33:A1738,K42,'Inji - Web - Test Cases'!C33:C1738,"&lt;&gt;"&amp;"")</f>
        <v>8</v>
      </c>
      <c r="M42" s="22">
        <f>COUNTIFS('Inji - Web - Test Cases'!A34:A1735,K42,'Inji - Web - Test Cases'!C34:C1735,"&lt;&gt;"&amp;"",'Inji - Web - Test Cases'!J34:J1735,"Pass")</f>
        <v>8</v>
      </c>
      <c r="N42" s="23">
        <f>COUNTIFS('Inji - Web - Test Cases'!A34:A1735,K42,'Inji - Web - Test Cases'!C34:C1735,"&lt;&gt;"&amp;"",'Inji - Web - Test Cases'!J34:J1735,"Fail")</f>
        <v>0</v>
      </c>
      <c r="O42" s="24">
        <f>COUNTIFS('Inji - Web - Test Cases'!A34:A1735,K42,'Inji - Web - Test Cases'!C34:C1735,"&lt;&gt;"&amp;"",'Inji - Web - Test Cases'!J34:J1735,"NA")</f>
        <v>0</v>
      </c>
      <c r="Q42" s="17"/>
      <c r="R42" s="17"/>
    </row>
    <row r="43" ht="14.25" customHeight="1">
      <c r="K43" s="31" t="str">
        <f>IFERROR(__xludf.DUMMYFUNCTION("""COMPUTED_VALUE"""),"INJIWEB-1557")</f>
        <v>INJIWEB-1557</v>
      </c>
      <c r="L43" s="26">
        <f>COUNTIFS('Inji - Web - Test Cases'!A34:A1739,K43,'Inji - Web - Test Cases'!C34:C1739,"&lt;&gt;"&amp;"")</f>
        <v>14</v>
      </c>
      <c r="M43" s="22">
        <f>COUNTIFS('Inji - Web - Test Cases'!A35:A1736,K43,'Inji - Web - Test Cases'!C35:C1736,"&lt;&gt;"&amp;"",'Inji - Web - Test Cases'!J35:J1736,"Pass")</f>
        <v>10</v>
      </c>
      <c r="N43" s="23">
        <f>COUNTIFS('Inji - Web - Test Cases'!A35:A1736,K43,'Inji - Web - Test Cases'!C35:C1736,"&lt;&gt;"&amp;"",'Inji - Web - Test Cases'!J35:J1736,"Fail")</f>
        <v>4</v>
      </c>
      <c r="O43" s="24">
        <f>COUNTIFS('Inji - Web - Test Cases'!A35:A1736,K43,'Inji - Web - Test Cases'!C35:C1736,"&lt;&gt;"&amp;"",'Inji - Web - Test Cases'!J35:J1736,"NA")</f>
        <v>0</v>
      </c>
      <c r="Q43" s="17"/>
      <c r="R43" s="17"/>
    </row>
    <row r="44" ht="14.25" customHeight="1">
      <c r="K44" s="31" t="str">
        <f>IFERROR(__xludf.DUMMYFUNCTION("""COMPUTED_VALUE"""),"INJIWEB-1519")</f>
        <v>INJIWEB-1519</v>
      </c>
      <c r="L44" s="26">
        <f>COUNTIFS('Inji - Web - Test Cases'!A35:A1740,K44,'Inji - Web - Test Cases'!C35:C1740,"&lt;&gt;"&amp;"")</f>
        <v>14</v>
      </c>
      <c r="M44" s="22">
        <f>COUNTIFS('Inji - Web - Test Cases'!A36:A1737,K44,'Inji - Web - Test Cases'!C36:C1737,"&lt;&gt;"&amp;"",'Inji - Web - Test Cases'!J36:J1737,"Pass")</f>
        <v>11</v>
      </c>
      <c r="N44" s="23">
        <f>COUNTIFS('Inji - Web - Test Cases'!A36:A1737,K44,'Inji - Web - Test Cases'!C36:C1737,"&lt;&gt;"&amp;"",'Inji - Web - Test Cases'!J36:J1737,"Fail")</f>
        <v>3</v>
      </c>
      <c r="O44" s="24">
        <f>COUNTIFS('Inji - Web - Test Cases'!A36:A1737,K44,'Inji - Web - Test Cases'!C36:C1737,"&lt;&gt;"&amp;"",'Inji - Web - Test Cases'!J36:J1737,"NA")</f>
        <v>0</v>
      </c>
      <c r="Q44" s="17"/>
      <c r="R44" s="17"/>
    </row>
    <row r="45" ht="14.25" customHeight="1">
      <c r="K45" s="31" t="str">
        <f>IFERROR(__xludf.DUMMYFUNCTION("""COMPUTED_VALUE"""),"INJIWEB-1564")</f>
        <v>INJIWEB-1564</v>
      </c>
      <c r="L45" s="26">
        <f>COUNTIFS('Inji - Web - Test Cases'!A36:A1741,K45,'Inji - Web - Test Cases'!C36:C1741,"&lt;&gt;"&amp;"")</f>
        <v>20</v>
      </c>
      <c r="M45" s="22">
        <f>COUNTIFS('Inji - Web - Test Cases'!A37:A1738,K45,'Inji - Web - Test Cases'!C37:C1738,"&lt;&gt;"&amp;"",'Inji - Web - Test Cases'!J37:J1738,"Pass")</f>
        <v>20</v>
      </c>
      <c r="N45" s="23">
        <f>COUNTIFS('Inji - Web - Test Cases'!A37:A1738,K45,'Inji - Web - Test Cases'!C37:C1738,"&lt;&gt;"&amp;"",'Inji - Web - Test Cases'!J37:J1738,"Fail")</f>
        <v>0</v>
      </c>
      <c r="O45" s="24">
        <f>COUNTIFS('Inji - Web - Test Cases'!A37:A1738,K45,'Inji - Web - Test Cases'!C37:C1738,"&lt;&gt;"&amp;"",'Inji - Web - Test Cases'!J37:J1738,"NA")</f>
        <v>0</v>
      </c>
      <c r="Q45" s="17"/>
      <c r="R45" s="17"/>
    </row>
    <row r="46" ht="14.25" customHeight="1">
      <c r="K46" s="31" t="str">
        <f>IFERROR(__xludf.DUMMYFUNCTION("""COMPUTED_VALUE"""),"INJIWEB_1418")</f>
        <v>INJIWEB_1418</v>
      </c>
      <c r="L46" s="26">
        <f>COUNTIFS('Inji - Web - Test Cases'!A37:A1742,K46,'Inji - Web - Test Cases'!C37:C1742,"&lt;&gt;"&amp;"")</f>
        <v>8</v>
      </c>
      <c r="M46" s="22">
        <f>COUNTIFS('Inji - Web - Test Cases'!A38:A1739,K46,'Inji - Web - Test Cases'!C38:C1739,"&lt;&gt;"&amp;"",'Inji - Web - Test Cases'!J38:J1739,"Pass")</f>
        <v>8</v>
      </c>
      <c r="N46" s="23">
        <f>COUNTIFS('Inji - Web - Test Cases'!A38:A1739,K46,'Inji - Web - Test Cases'!C38:C1739,"&lt;&gt;"&amp;"",'Inji - Web - Test Cases'!J38:J1739,"Fail")</f>
        <v>0</v>
      </c>
      <c r="O46" s="24">
        <f>COUNTIFS('Inji - Web - Test Cases'!A38:A1739,K46,'Inji - Web - Test Cases'!C38:C1739,"&lt;&gt;"&amp;"",'Inji - Web - Test Cases'!J38:J1739,"NA")</f>
        <v>0</v>
      </c>
      <c r="Q46" s="17"/>
      <c r="R46" s="17"/>
    </row>
    <row r="47" ht="14.25" customHeight="1">
      <c r="K47" s="31" t="str">
        <f>IFERROR(__xludf.DUMMYFUNCTION("""COMPUTED_VALUE"""),"INJIWEB-1392")</f>
        <v>INJIWEB-1392</v>
      </c>
      <c r="L47" s="26">
        <f>COUNTIFS('Inji - Web - Test Cases'!A38:A1743,K47,'Inji - Web - Test Cases'!C38:C1743,"&lt;&gt;"&amp;"")</f>
        <v>1</v>
      </c>
      <c r="M47" s="22">
        <f>COUNTIFS('Inji - Web - Test Cases'!A39:A1740,K47,'Inji - Web - Test Cases'!C39:C1740,"&lt;&gt;"&amp;"",'Inji - Web - Test Cases'!J39:J1740,"Pass")</f>
        <v>1</v>
      </c>
      <c r="N47" s="23">
        <f>COUNTIFS('Inji - Web - Test Cases'!A39:A1740,K47,'Inji - Web - Test Cases'!C39:C1740,"&lt;&gt;"&amp;"",'Inji - Web - Test Cases'!J39:J1740,"Fail")</f>
        <v>0</v>
      </c>
      <c r="O47" s="24">
        <f>COUNTIFS('Inji - Web - Test Cases'!A39:A1740,K47,'Inji - Web - Test Cases'!C39:C1740,"&lt;&gt;"&amp;"",'Inji - Web - Test Cases'!J39:J1740,"NA")</f>
        <v>0</v>
      </c>
      <c r="Q47" s="17"/>
      <c r="R47" s="17"/>
    </row>
    <row r="48" ht="14.25" customHeight="1">
      <c r="K48" s="31" t="str">
        <f>IFERROR(__xludf.DUMMYFUNCTION("""COMPUTED_VALUE"""),"INJIWEB-1511")</f>
        <v>INJIWEB-1511</v>
      </c>
      <c r="L48" s="26">
        <f>COUNTIFS('Inji - Web - Test Cases'!A39:A1744,K48,'Inji - Web - Test Cases'!C39:C1744,"&lt;&gt;"&amp;"")</f>
        <v>1</v>
      </c>
      <c r="M48" s="22">
        <f>COUNTIFS('Inji - Web - Test Cases'!A40:A1741,K48,'Inji - Web - Test Cases'!C40:C1741,"&lt;&gt;"&amp;"",'Inji - Web - Test Cases'!J40:J1741,"Pass")</f>
        <v>1</v>
      </c>
      <c r="N48" s="23">
        <f>COUNTIFS('Inji - Web - Test Cases'!A40:A1741,K48,'Inji - Web - Test Cases'!C40:C1741,"&lt;&gt;"&amp;"",'Inji - Web - Test Cases'!J40:J1741,"Fail")</f>
        <v>0</v>
      </c>
      <c r="O48" s="24">
        <f>COUNTIFS('Inji - Web - Test Cases'!A40:A1741,K48,'Inji - Web - Test Cases'!C40:C1741,"&lt;&gt;"&amp;"",'Inji - Web - Test Cases'!J40:J1741,"NA")</f>
        <v>0</v>
      </c>
      <c r="Q48" s="17"/>
      <c r="R48" s="17"/>
    </row>
    <row r="49" ht="14.25" customHeight="1">
      <c r="K49" s="31" t="str">
        <f>IFERROR(__xludf.DUMMYFUNCTION("""COMPUTED_VALUE"""),"INJIWEB-1370")</f>
        <v>INJIWEB-1370</v>
      </c>
      <c r="L49" s="26">
        <f>COUNTIFS('Inji - Web - Test Cases'!A40:A1745,K49,'Inji - Web - Test Cases'!C40:C1745,"&lt;&gt;"&amp;"")</f>
        <v>3</v>
      </c>
      <c r="M49" s="22">
        <f>COUNTIFS('Inji - Web - Test Cases'!A41:A1742,K49,'Inji - Web - Test Cases'!C41:C1742,"&lt;&gt;"&amp;"",'Inji - Web - Test Cases'!J41:J1742,"Pass")</f>
        <v>3</v>
      </c>
      <c r="N49" s="23">
        <f>COUNTIFS('Inji - Web - Test Cases'!A41:A1742,K49,'Inji - Web - Test Cases'!C41:C1742,"&lt;&gt;"&amp;"",'Inji - Web - Test Cases'!J41:J1742,"Fail")</f>
        <v>0</v>
      </c>
      <c r="O49" s="24">
        <f>COUNTIFS('Inji - Web - Test Cases'!A41:A1742,K49,'Inji - Web - Test Cases'!C41:C1742,"&lt;&gt;"&amp;"",'Inji - Web - Test Cases'!J41:J1742,"NA")</f>
        <v>0</v>
      </c>
      <c r="Q49" s="17"/>
      <c r="R49" s="17"/>
    </row>
    <row r="50" ht="14.25" customHeight="1">
      <c r="K50" s="31" t="str">
        <f>IFERROR(__xludf.DUMMYFUNCTION("""COMPUTED_VALUE"""),"INJIWEB-1521")</f>
        <v>INJIWEB-1521</v>
      </c>
      <c r="L50" s="26">
        <f>COUNTIFS('Inji - Web - Test Cases'!A41:A1746,K50,'Inji - Web - Test Cases'!C41:C1746,"&lt;&gt;"&amp;"")</f>
        <v>1</v>
      </c>
      <c r="M50" s="22">
        <f>COUNTIFS('Inji - Web - Test Cases'!A42:A1743,K50,'Inji - Web - Test Cases'!C42:C1743,"&lt;&gt;"&amp;"",'Inji - Web - Test Cases'!J42:J1743,"Pass")</f>
        <v>1</v>
      </c>
      <c r="N50" s="23">
        <f>COUNTIFS('Inji - Web - Test Cases'!A42:A1743,K50,'Inji - Web - Test Cases'!C42:C1743,"&lt;&gt;"&amp;"",'Inji - Web - Test Cases'!J42:J1743,"Fail")</f>
        <v>0</v>
      </c>
      <c r="O50" s="24">
        <f>COUNTIFS('Inji - Web - Test Cases'!A42:A1743,K50,'Inji - Web - Test Cases'!C42:C1743,"&lt;&gt;"&amp;"",'Inji - Web - Test Cases'!J42:J1743,"NA")</f>
        <v>0</v>
      </c>
      <c r="Q50" s="17"/>
      <c r="R50" s="17"/>
    </row>
    <row r="51" ht="14.25" customHeight="1">
      <c r="K51" s="31" t="str">
        <f>IFERROR(__xludf.DUMMYFUNCTION("""COMPUTED_VALUE"""),"INJIWEB-1660")</f>
        <v>INJIWEB-1660</v>
      </c>
      <c r="L51" s="26">
        <f>COUNTIFS('Inji - Web - Test Cases'!A42:A1747,K51,'Inji - Web - Test Cases'!C42:C1747,"&lt;&gt;"&amp;"")</f>
        <v>1</v>
      </c>
      <c r="M51" s="22">
        <f>COUNTIFS('Inji - Web - Test Cases'!A43:A1744,K51,'Inji - Web - Test Cases'!C43:C1744,"&lt;&gt;"&amp;"",'Inji - Web - Test Cases'!J43:J1744,"Pass")</f>
        <v>0</v>
      </c>
      <c r="N51" s="23">
        <f>COUNTIFS('Inji - Web - Test Cases'!A43:A1744,K51,'Inji - Web - Test Cases'!C43:C1744,"&lt;&gt;"&amp;"",'Inji - Web - Test Cases'!J43:J1744,"Fail")</f>
        <v>1</v>
      </c>
      <c r="O51" s="24">
        <f>COUNTIFS('Inji - Web - Test Cases'!A43:A1744,K51,'Inji - Web - Test Cases'!C43:C1744,"&lt;&gt;"&amp;"",'Inji - Web - Test Cases'!J43:J1744,"NA")</f>
        <v>0</v>
      </c>
      <c r="Q51" s="17"/>
      <c r="R51" s="17"/>
    </row>
    <row r="52" ht="14.25" customHeight="1">
      <c r="K52" s="31" t="str">
        <f>IFERROR(__xludf.DUMMYFUNCTION("""COMPUTED_VALUE"""),"INJIWEB-1658")</f>
        <v>INJIWEB-1658</v>
      </c>
      <c r="L52" s="26">
        <f>COUNTIFS('Inji - Web - Test Cases'!A43:A1748,K52,'Inji - Web - Test Cases'!C43:C1748,"&lt;&gt;"&amp;"")</f>
        <v>1</v>
      </c>
      <c r="M52" s="22">
        <f>COUNTIFS('Inji - Web - Test Cases'!A44:A1745,K52,'Inji - Web - Test Cases'!C44:C1745,"&lt;&gt;"&amp;"",'Inji - Web - Test Cases'!J44:J1745,"Pass")</f>
        <v>0</v>
      </c>
      <c r="N52" s="23">
        <f>COUNTIFS('Inji - Web - Test Cases'!A44:A1745,K52,'Inji - Web - Test Cases'!C44:C1745,"&lt;&gt;"&amp;"",'Inji - Web - Test Cases'!J44:J1745,"Fail")</f>
        <v>1</v>
      </c>
      <c r="O52" s="24">
        <f>COUNTIFS('Inji - Web - Test Cases'!A44:A1745,K52,'Inji - Web - Test Cases'!C44:C1745,"&lt;&gt;"&amp;"",'Inji - Web - Test Cases'!J44:J1745,"NA")</f>
        <v>0</v>
      </c>
      <c r="Q52" s="17"/>
      <c r="R52" s="17"/>
    </row>
    <row r="53" ht="14.25" customHeight="1">
      <c r="K53" s="31" t="str">
        <f>IFERROR(__xludf.DUMMYFUNCTION("""COMPUTED_VALUE"""),"INJIWEB-1647")</f>
        <v>INJIWEB-1647</v>
      </c>
      <c r="L53" s="26">
        <f>COUNTIFS('Inji - Web - Test Cases'!A44:A1749,K53,'Inji - Web - Test Cases'!C44:C1749,"&lt;&gt;"&amp;"")</f>
        <v>11</v>
      </c>
      <c r="M53" s="22">
        <f>COUNTIFS('Inji - Web - Test Cases'!A45:A1746,K53,'Inji - Web - Test Cases'!C45:C1746,"&lt;&gt;"&amp;"",'Inji - Web - Test Cases'!J45:J1746,"Pass")</f>
        <v>11</v>
      </c>
      <c r="N53" s="23">
        <f>COUNTIFS('Inji - Web - Test Cases'!A45:A1746,K53,'Inji - Web - Test Cases'!C45:C1746,"&lt;&gt;"&amp;"",'Inji - Web - Test Cases'!J45:J1746,"Fail")</f>
        <v>0</v>
      </c>
      <c r="O53" s="24">
        <f>COUNTIFS('Inji - Web - Test Cases'!A45:A1746,K53,'Inji - Web - Test Cases'!C45:C1746,"&lt;&gt;"&amp;"",'Inji - Web - Test Cases'!J45:J1746,"NA")</f>
        <v>0</v>
      </c>
      <c r="Q53" s="17"/>
      <c r="R53" s="17"/>
    </row>
    <row r="54" ht="14.25" customHeight="1">
      <c r="K54" s="31" t="str">
        <f>IFERROR(__xludf.DUMMYFUNCTION("""COMPUTED_VALUE"""),"INJIWEB-1684")</f>
        <v>INJIWEB-1684</v>
      </c>
      <c r="L54" s="26">
        <f>COUNTIFS('Inji - Web - Test Cases'!A45:A1750,K54,'Inji - Web - Test Cases'!C45:C1750,"&lt;&gt;"&amp;"")</f>
        <v>13</v>
      </c>
      <c r="M54" s="22">
        <f>COUNTIFS('Inji - Web - Test Cases'!A46:A1747,K54,'Inji - Web - Test Cases'!C46:C1747,"&lt;&gt;"&amp;"",'Inji - Web - Test Cases'!J46:J1747,"Pass")</f>
        <v>13</v>
      </c>
      <c r="N54" s="23">
        <f>COUNTIFS('Inji - Web - Test Cases'!A46:A1747,K54,'Inji - Web - Test Cases'!C46:C1747,"&lt;&gt;"&amp;"",'Inji - Web - Test Cases'!J46:J1747,"Fail")</f>
        <v>0</v>
      </c>
      <c r="O54" s="24">
        <f>COUNTIFS('Inji - Web - Test Cases'!A46:A1747,K54,'Inji - Web - Test Cases'!C46:C1747,"&lt;&gt;"&amp;"",'Inji - Web - Test Cases'!J46:J1747,"NA")</f>
        <v>0</v>
      </c>
      <c r="Q54" s="17"/>
      <c r="R54" s="17"/>
    </row>
    <row r="55" ht="14.25" customHeight="1">
      <c r="K55" s="31" t="str">
        <f>IFERROR(__xludf.DUMMYFUNCTION("""COMPUTED_VALUE"""),"INJIWEB-1699")</f>
        <v>INJIWEB-1699</v>
      </c>
      <c r="L55" s="26">
        <f>COUNTIFS('Inji - Web - Test Cases'!A46:A1751,K55,'Inji - Web - Test Cases'!C46:C1751,"&lt;&gt;"&amp;"")</f>
        <v>12</v>
      </c>
      <c r="M55" s="22">
        <f>COUNTIFS('Inji - Web - Test Cases'!A47:A1748,K55,'Inji - Web - Test Cases'!C47:C1748,"&lt;&gt;"&amp;"",'Inji - Web - Test Cases'!J47:J1748,"Pass")</f>
        <v>12</v>
      </c>
      <c r="N55" s="23">
        <f>COUNTIFS('Inji - Web - Test Cases'!A47:A1748,K55,'Inji - Web - Test Cases'!C47:C1748,"&lt;&gt;"&amp;"",'Inji - Web - Test Cases'!J47:J1748,"Fail")</f>
        <v>0</v>
      </c>
      <c r="O55" s="24">
        <f>COUNTIFS('Inji - Web - Test Cases'!A47:A1748,K55,'Inji - Web - Test Cases'!C47:C1748,"&lt;&gt;"&amp;"",'Inji - Web - Test Cases'!J47:J1748,"NA")</f>
        <v>0</v>
      </c>
      <c r="Q55" s="17"/>
      <c r="R55" s="17"/>
    </row>
    <row r="56" ht="14.25" customHeight="1">
      <c r="K56" s="31" t="str">
        <f>IFERROR(__xludf.DUMMYFUNCTION("""COMPUTED_VALUE"""),"INJIWEB-1654")</f>
        <v>INJIWEB-1654</v>
      </c>
      <c r="L56" s="26">
        <f>COUNTIFS('Inji - Web - Test Cases'!A47:A1752,K56,'Inji - Web - Test Cases'!C47:C1752,"&lt;&gt;"&amp;"")</f>
        <v>18</v>
      </c>
      <c r="M56" s="22">
        <f>COUNTIFS('Inji - Web - Test Cases'!A48:A1749,K56,'Inji - Web - Test Cases'!C48:C1749,"&lt;&gt;"&amp;"",'Inji - Web - Test Cases'!J48:J1749,"Pass")</f>
        <v>18</v>
      </c>
      <c r="N56" s="23">
        <f>COUNTIFS('Inji - Web - Test Cases'!A48:A1749,K56,'Inji - Web - Test Cases'!C48:C1749,"&lt;&gt;"&amp;"",'Inji - Web - Test Cases'!J48:J1749,"Fail")</f>
        <v>0</v>
      </c>
      <c r="O56" s="24">
        <f>COUNTIFS('Inji - Web - Test Cases'!A48:A1749,K56,'Inji - Web - Test Cases'!C48:C1749,"&lt;&gt;"&amp;"",'Inji - Web - Test Cases'!J48:J1749,"NA")</f>
        <v>0</v>
      </c>
      <c r="Q56" s="17"/>
      <c r="R56" s="17"/>
    </row>
    <row r="57" ht="14.25" customHeight="1">
      <c r="K57" s="31" t="str">
        <f>IFERROR(__xludf.DUMMYFUNCTION("""COMPUTED_VALUE"""),"INJIWEB-1642")</f>
        <v>INJIWEB-1642</v>
      </c>
      <c r="L57" s="26">
        <f>COUNTIFS('Inji - Web - Test Cases'!A48:A1753,K57,'Inji - Web - Test Cases'!C48:C1753,"&lt;&gt;"&amp;"")</f>
        <v>14</v>
      </c>
      <c r="M57" s="22">
        <f>COUNTIFS('Inji - Web - Test Cases'!A49:A1750,K57,'Inji - Web - Test Cases'!C49:C1750,"&lt;&gt;"&amp;"",'Inji - Web - Test Cases'!J49:J1750,"Pass")</f>
        <v>14</v>
      </c>
      <c r="N57" s="23">
        <f>COUNTIFS('Inji - Web - Test Cases'!A49:A1750,K57,'Inji - Web - Test Cases'!C49:C1750,"&lt;&gt;"&amp;"",'Inji - Web - Test Cases'!J49:J1750,"Fail")</f>
        <v>0</v>
      </c>
      <c r="O57" s="24">
        <f>COUNTIFS('Inji - Web - Test Cases'!A49:A1750,K57,'Inji - Web - Test Cases'!C49:C1750,"&lt;&gt;"&amp;"",'Inji - Web - Test Cases'!J49:J1750,"NA")</f>
        <v>0</v>
      </c>
      <c r="Q57" s="17"/>
      <c r="R57" s="17"/>
    </row>
    <row r="58" ht="14.25" customHeight="1">
      <c r="K58" s="31" t="str">
        <f>IFERROR(__xludf.DUMMYFUNCTION("""COMPUTED_VALUE"""),"INJIWEB-1665")</f>
        <v>INJIWEB-1665</v>
      </c>
      <c r="L58" s="26">
        <f>COUNTIFS('Inji - Web - Test Cases'!A49:A1754,K58,'Inji - Web - Test Cases'!C49:C1754,"&lt;&gt;"&amp;"")</f>
        <v>13</v>
      </c>
      <c r="M58" s="22">
        <f>COUNTIFS('Inji - Web - Test Cases'!A50:A1751,K58,'Inji - Web - Test Cases'!C50:C1751,"&lt;&gt;"&amp;"",'Inji - Web - Test Cases'!J50:J1751,"Pass")</f>
        <v>13</v>
      </c>
      <c r="N58" s="23">
        <f>COUNTIFS('Inji - Web - Test Cases'!A50:A1751,K58,'Inji - Web - Test Cases'!C50:C1751,"&lt;&gt;"&amp;"",'Inji - Web - Test Cases'!J50:J1751,"Fail")</f>
        <v>0</v>
      </c>
      <c r="O58" s="24">
        <f>COUNTIFS('Inji - Web - Test Cases'!A50:A1751,K58,'Inji - Web - Test Cases'!C50:C1751,"&lt;&gt;"&amp;"",'Inji - Web - Test Cases'!J50:J1751,"NA")</f>
        <v>0</v>
      </c>
      <c r="Q58" s="17"/>
      <c r="R58" s="17"/>
    </row>
    <row r="59" ht="14.25" customHeight="1">
      <c r="K59" s="31" t="str">
        <f>IFERROR(__xludf.DUMMYFUNCTION("""COMPUTED_VALUE"""),"INJIWEB-1708")</f>
        <v>INJIWEB-1708</v>
      </c>
      <c r="L59" s="26">
        <f>COUNTIFS('Inji - Web - Test Cases'!A50:A1755,K59,'Inji - Web - Test Cases'!C50:C1755,"&lt;&gt;"&amp;"")</f>
        <v>13</v>
      </c>
      <c r="M59" s="22">
        <f>COUNTIFS('Inji - Web - Test Cases'!A51:A1752,K59,'Inji - Web - Test Cases'!C51:C1752,"&lt;&gt;"&amp;"",'Inji - Web - Test Cases'!J51:J1752,"Pass")</f>
        <v>13</v>
      </c>
      <c r="N59" s="23">
        <f>COUNTIFS('Inji - Web - Test Cases'!A51:A1752,K59,'Inji - Web - Test Cases'!C51:C1752,"&lt;&gt;"&amp;"",'Inji - Web - Test Cases'!J51:J1752,"Fail")</f>
        <v>0</v>
      </c>
      <c r="O59" s="24">
        <f>COUNTIFS('Inji - Web - Test Cases'!A51:A1752,K59,'Inji - Web - Test Cases'!C51:C1752,"&lt;&gt;"&amp;"",'Inji - Web - Test Cases'!J51:J1752,"NA")</f>
        <v>0</v>
      </c>
      <c r="Q59" s="17"/>
      <c r="R59" s="17"/>
    </row>
    <row r="60" ht="14.25" customHeight="1">
      <c r="K60" s="31" t="str">
        <f>IFERROR(__xludf.DUMMYFUNCTION("""COMPUTED_VALUE"""),"INJIWEB-1627")</f>
        <v>INJIWEB-1627</v>
      </c>
      <c r="L60" s="26">
        <f>COUNTIFS('Inji - Web - Test Cases'!A51:A1756,K60,'Inji - Web - Test Cases'!C51:C1756,"&lt;&gt;"&amp;"")</f>
        <v>31</v>
      </c>
      <c r="M60" s="22">
        <f>COUNTIFS('Inji - Web - Test Cases'!A52:A1753,K60,'Inji - Web - Test Cases'!C52:C1753,"&lt;&gt;"&amp;"",'Inji - Web - Test Cases'!J52:J1753,"Pass")</f>
        <v>30</v>
      </c>
      <c r="N60" s="23">
        <f>COUNTIFS('Inji - Web - Test Cases'!A52:A1753,K60,'Inji - Web - Test Cases'!C52:C1753,"&lt;&gt;"&amp;"",'Inji - Web - Test Cases'!J52:J1753,"Fail")</f>
        <v>1</v>
      </c>
      <c r="O60" s="24">
        <f>COUNTIFS('Inji - Web - Test Cases'!A52:A1753,K60,'Inji - Web - Test Cases'!C52:C1753,"&lt;&gt;"&amp;"",'Inji - Web - Test Cases'!J52:J1753,"NA")</f>
        <v>0</v>
      </c>
      <c r="Q60" s="17"/>
      <c r="R60" s="17"/>
    </row>
    <row r="61" ht="14.25" customHeight="1">
      <c r="K61" s="31" t="str">
        <f>IFERROR(__xludf.DUMMYFUNCTION("""COMPUTED_VALUE"""),"INJIWEB-1680")</f>
        <v>INJIWEB-1680</v>
      </c>
      <c r="L61" s="26">
        <f>COUNTIFS('Inji - Web - Test Cases'!A52:A1757,K61,'Inji - Web - Test Cases'!C52:C1757,"&lt;&gt;"&amp;"")</f>
        <v>1</v>
      </c>
      <c r="M61" s="22">
        <f>COUNTIFS('Inji - Web - Test Cases'!A53:A1754,K61,'Inji - Web - Test Cases'!C53:C1754,"&lt;&gt;"&amp;"",'Inji - Web - Test Cases'!J53:J1754,"Pass")</f>
        <v>0</v>
      </c>
      <c r="N61" s="23">
        <f>COUNTIFS('Inji - Web - Test Cases'!A53:A1754,K61,'Inji - Web - Test Cases'!C53:C1754,"&lt;&gt;"&amp;"",'Inji - Web - Test Cases'!J53:J1754,"Fail")</f>
        <v>1</v>
      </c>
      <c r="O61" s="24">
        <f>COUNTIFS('Inji - Web - Test Cases'!A53:A1754,K61,'Inji - Web - Test Cases'!C53:C1754,"&lt;&gt;"&amp;"",'Inji - Web - Test Cases'!J53:J1754,"NA")</f>
        <v>0</v>
      </c>
      <c r="Q61" s="17"/>
      <c r="R61" s="17"/>
    </row>
    <row r="62" ht="14.25" customHeight="1">
      <c r="K62" s="31" t="str">
        <f>IFERROR(__xludf.DUMMYFUNCTION("""COMPUTED_VALUE"""),"INJIWEB-1678")</f>
        <v>INJIWEB-1678</v>
      </c>
      <c r="L62" s="26">
        <f>COUNTIFS('Inji - Web - Test Cases'!A53:A1758,K62,'Inji - Web - Test Cases'!C53:C1758,"&lt;&gt;"&amp;"")</f>
        <v>2</v>
      </c>
      <c r="M62" s="22">
        <f>COUNTIFS('Inji - Web - Test Cases'!A54:A1755,K62,'Inji - Web - Test Cases'!C54:C1755,"&lt;&gt;"&amp;"",'Inji - Web - Test Cases'!J54:J1755,"Pass")</f>
        <v>0</v>
      </c>
      <c r="N62" s="23">
        <f>COUNTIFS('Inji - Web - Test Cases'!A54:A1755,K62,'Inji - Web - Test Cases'!C54:C1755,"&lt;&gt;"&amp;"",'Inji - Web - Test Cases'!J54:J1755,"Fail")</f>
        <v>2</v>
      </c>
      <c r="O62" s="24">
        <f>COUNTIFS('Inji - Web - Test Cases'!A54:A1755,K62,'Inji - Web - Test Cases'!C54:C1755,"&lt;&gt;"&amp;"",'Inji - Web - Test Cases'!J54:J1755,"NA")</f>
        <v>0</v>
      </c>
      <c r="Q62" s="17"/>
      <c r="R62" s="17"/>
    </row>
    <row r="63" ht="14.25" customHeight="1">
      <c r="K63" s="31" t="str">
        <f>IFERROR(__xludf.DUMMYFUNCTION("""COMPUTED_VALUE"""),"INJIWEB-1679")</f>
        <v>INJIWEB-1679</v>
      </c>
      <c r="L63" s="26">
        <f>COUNTIFS('Inji - Web - Test Cases'!A54:A1759,K63,'Inji - Web - Test Cases'!C54:C1759,"&lt;&gt;"&amp;"")</f>
        <v>1</v>
      </c>
      <c r="M63" s="22">
        <f>COUNTIFS('Inji - Web - Test Cases'!A55:A1756,K63,'Inji - Web - Test Cases'!C55:C1756,"&lt;&gt;"&amp;"",'Inji - Web - Test Cases'!J55:J1756,"Pass")</f>
        <v>0</v>
      </c>
      <c r="N63" s="23">
        <f>COUNTIFS('Inji - Web - Test Cases'!A55:A1756,K63,'Inji - Web - Test Cases'!C55:C1756,"&lt;&gt;"&amp;"",'Inji - Web - Test Cases'!J55:J1756,"Fail")</f>
        <v>1</v>
      </c>
      <c r="O63" s="24">
        <f>COUNTIFS('Inji - Web - Test Cases'!A55:A1756,K63,'Inji - Web - Test Cases'!C55:C1756,"&lt;&gt;"&amp;"",'Inji - Web - Test Cases'!J55:J1756,"NA")</f>
        <v>0</v>
      </c>
      <c r="Q63" s="17"/>
      <c r="R63" s="17"/>
    </row>
    <row r="64" ht="14.25" customHeight="1">
      <c r="K64" s="31" t="str">
        <f>IFERROR(__xludf.DUMMYFUNCTION("""COMPUTED_VALUE"""),"INJIWEB-1681")</f>
        <v>INJIWEB-1681</v>
      </c>
      <c r="L64" s="26">
        <f>COUNTIFS('Inji - Web - Test Cases'!A55:A1760,K64,'Inji - Web - Test Cases'!C55:C1760,"&lt;&gt;"&amp;"")</f>
        <v>1</v>
      </c>
      <c r="M64" s="22">
        <f>COUNTIFS('Inji - Web - Test Cases'!A56:A1757,K64,'Inji - Web - Test Cases'!C56:C1757,"&lt;&gt;"&amp;"",'Inji - Web - Test Cases'!J56:J1757,"Pass")</f>
        <v>0</v>
      </c>
      <c r="N64" s="23">
        <f>COUNTIFS('Inji - Web - Test Cases'!A56:A1757,K64,'Inji - Web - Test Cases'!C56:C1757,"&lt;&gt;"&amp;"",'Inji - Web - Test Cases'!J56:J1757,"Fail")</f>
        <v>1</v>
      </c>
      <c r="O64" s="24">
        <f>COUNTIFS('Inji - Web - Test Cases'!A56:A1757,K64,'Inji - Web - Test Cases'!C56:C1757,"&lt;&gt;"&amp;"",'Inji - Web - Test Cases'!J56:J1757,"NA")</f>
        <v>0</v>
      </c>
      <c r="Q64" s="17"/>
      <c r="R64" s="17"/>
    </row>
    <row r="65" ht="14.25" customHeight="1">
      <c r="K65" s="31" t="str">
        <f>IFERROR(__xludf.DUMMYFUNCTION("""COMPUTED_VALUE"""),"INJIWEB-1682")</f>
        <v>INJIWEB-1682</v>
      </c>
      <c r="L65" s="26">
        <f>COUNTIFS('Inji - Web - Test Cases'!A56:A1761,K65,'Inji - Web - Test Cases'!C56:C1761,"&lt;&gt;"&amp;"")</f>
        <v>1</v>
      </c>
      <c r="M65" s="22">
        <f>COUNTIFS('Inji - Web - Test Cases'!A57:A1758,K65,'Inji - Web - Test Cases'!C57:C1758,"&lt;&gt;"&amp;"",'Inji - Web - Test Cases'!J57:J1758,"Pass")</f>
        <v>0</v>
      </c>
      <c r="N65" s="23">
        <f>COUNTIFS('Inji - Web - Test Cases'!A57:A1758,K65,'Inji - Web - Test Cases'!C57:C1758,"&lt;&gt;"&amp;"",'Inji - Web - Test Cases'!J57:J1758,"Fail")</f>
        <v>1</v>
      </c>
      <c r="O65" s="24">
        <f>COUNTIFS('Inji - Web - Test Cases'!A57:A1758,K65,'Inji - Web - Test Cases'!C57:C1758,"&lt;&gt;"&amp;"",'Inji - Web - Test Cases'!J57:J1758,"NA")</f>
        <v>0</v>
      </c>
      <c r="Q65" s="17"/>
      <c r="R65" s="17"/>
    </row>
    <row r="66" ht="14.25" customHeight="1">
      <c r="K66" s="31" t="str">
        <f>IFERROR(__xludf.DUMMYFUNCTION("""COMPUTED_VALUE"""),"INJIWEB-1677")</f>
        <v>INJIWEB-1677</v>
      </c>
      <c r="L66" s="26">
        <f>COUNTIFS('Inji - Web - Test Cases'!A57:A1762,K66,'Inji - Web - Test Cases'!C57:C1762,"&lt;&gt;"&amp;"")</f>
        <v>2</v>
      </c>
      <c r="M66" s="22">
        <f>COUNTIFS('Inji - Web - Test Cases'!A58:A1759,K66,'Inji - Web - Test Cases'!C58:C1759,"&lt;&gt;"&amp;"",'Inji - Web - Test Cases'!J58:J1759,"Pass")</f>
        <v>0</v>
      </c>
      <c r="N66" s="23">
        <f>COUNTIFS('Inji - Web - Test Cases'!A58:A1759,K66,'Inji - Web - Test Cases'!C58:C1759,"&lt;&gt;"&amp;"",'Inji - Web - Test Cases'!J58:J1759,"Fail")</f>
        <v>2</v>
      </c>
      <c r="O66" s="24">
        <f>COUNTIFS('Inji - Web - Test Cases'!A58:A1759,K66,'Inji - Web - Test Cases'!C58:C1759,"&lt;&gt;"&amp;"",'Inji - Web - Test Cases'!J58:J1759,"NA")</f>
        <v>0</v>
      </c>
      <c r="Q66" s="17"/>
      <c r="R66" s="17"/>
    </row>
    <row r="67" ht="14.25" customHeight="1">
      <c r="K67" s="31" t="str">
        <f>IFERROR(__xludf.DUMMYFUNCTION("""COMPUTED_VALUE"""),"INJIWEB-1652")</f>
        <v>INJIWEB-1652</v>
      </c>
      <c r="L67" s="26">
        <f>COUNTIFS('Inji - Web - Test Cases'!A58:A1763,K67,'Inji - Web - Test Cases'!C58:C1763,"&lt;&gt;"&amp;"")</f>
        <v>1</v>
      </c>
      <c r="M67" s="22">
        <f>COUNTIFS('Inji - Web - Test Cases'!A59:A1760,K67,'Inji - Web - Test Cases'!C59:C1760,"&lt;&gt;"&amp;"",'Inji - Web - Test Cases'!J59:J1760,"Pass")</f>
        <v>1</v>
      </c>
      <c r="N67" s="23">
        <f>COUNTIFS('Inji - Web - Test Cases'!A59:A1760,K67,'Inji - Web - Test Cases'!C59:C1760,"&lt;&gt;"&amp;"",'Inji - Web - Test Cases'!J59:J1760,"Fail")</f>
        <v>0</v>
      </c>
      <c r="O67" s="24">
        <f>COUNTIFS('Inji - Web - Test Cases'!A59:A1760,K67,'Inji - Web - Test Cases'!C59:C1760,"&lt;&gt;"&amp;"",'Inji - Web - Test Cases'!J59:J1760,"NA")</f>
        <v>0</v>
      </c>
      <c r="Q67" s="17"/>
      <c r="R67" s="17"/>
    </row>
    <row r="68" ht="14.25" customHeight="1">
      <c r="K68" s="31" t="str">
        <f>IFERROR(__xludf.DUMMYFUNCTION("""COMPUTED_VALUE"""),"INJIWEB-1656")</f>
        <v>INJIWEB-1656</v>
      </c>
      <c r="L68" s="26">
        <f>COUNTIFS('Inji - Web - Test Cases'!A59:A1764,K68,'Inji - Web - Test Cases'!C59:C1764,"&lt;&gt;"&amp;"")</f>
        <v>1</v>
      </c>
      <c r="M68" s="22">
        <f>COUNTIFS('Inji - Web - Test Cases'!A59:A1761,K68,'Inji - Web - Test Cases'!C59:C1761,"&lt;&gt;"&amp;"",'Inji - Web - Test Cases'!J59:J1761,"Pass")</f>
        <v>1</v>
      </c>
      <c r="N68" s="23">
        <f>COUNTIFS('Inji - Web - Test Cases'!A59:A1761,K68,'Inji - Web - Test Cases'!C59:C1761,"&lt;&gt;"&amp;"",'Inji - Web - Test Cases'!J59:J1761,"Fail")</f>
        <v>0</v>
      </c>
      <c r="O68" s="24">
        <f>COUNTIFS('Inji - Web - Test Cases'!A59:A1761,K68,'Inji - Web - Test Cases'!C59:C1761,"&lt;&gt;"&amp;"",'Inji - Web - Test Cases'!J59:J1761,"NA")</f>
        <v>0</v>
      </c>
      <c r="Q68" s="17"/>
      <c r="R68" s="17"/>
    </row>
    <row r="69" ht="14.25" customHeight="1">
      <c r="K69" s="31" t="str">
        <f>IFERROR(__xludf.DUMMYFUNCTION("""COMPUTED_VALUE"""),"INJIWEB-1657")</f>
        <v>INJIWEB-1657</v>
      </c>
      <c r="L69" s="26">
        <f>COUNTIFS('Inji - Web - Test Cases'!A59:A1765,K69,'Inji - Web - Test Cases'!C59:C1765,"&lt;&gt;"&amp;"")</f>
        <v>1</v>
      </c>
      <c r="M69" s="22">
        <f>COUNTIFS('Inji - Web - Test Cases'!A60:A1762,K69,'Inji - Web - Test Cases'!C60:C1762,"&lt;&gt;"&amp;"",'Inji - Web - Test Cases'!J60:J1762,"Pass")</f>
        <v>0</v>
      </c>
      <c r="N69" s="23">
        <f>COUNTIFS('Inji - Web - Test Cases'!A60:A1762,K69,'Inji - Web - Test Cases'!C60:C1762,"&lt;&gt;"&amp;"",'Inji - Web - Test Cases'!J60:J1762,"Fail")</f>
        <v>1</v>
      </c>
      <c r="O69" s="24">
        <f>COUNTIFS('Inji - Web - Test Cases'!A60:A1762,K69,'Inji - Web - Test Cases'!C60:C1762,"&lt;&gt;"&amp;"",'Inji - Web - Test Cases'!J60:J1762,"NA")</f>
        <v>0</v>
      </c>
      <c r="Q69" s="17"/>
      <c r="R69" s="17"/>
    </row>
    <row r="70" ht="14.25" customHeight="1">
      <c r="K70" s="31" t="str">
        <f>IFERROR(__xludf.DUMMYFUNCTION("""COMPUTED_VALUE"""),"INJIWEB-1575")</f>
        <v>INJIWEB-1575</v>
      </c>
      <c r="L70" s="26">
        <f>COUNTIFS('Inji - Web - Test Cases'!A60:A1766,K70,'Inji - Web - Test Cases'!C60:C1766,"&lt;&gt;"&amp;"")</f>
        <v>1</v>
      </c>
      <c r="M70" s="22">
        <f>COUNTIFS('Inji - Web - Test Cases'!A61:A1763,K70,'Inji - Web - Test Cases'!C61:C1763,"&lt;&gt;"&amp;"",'Inji - Web - Test Cases'!J61:J1763,"Pass")</f>
        <v>1</v>
      </c>
      <c r="N70" s="23">
        <f>COUNTIFS('Inji - Web - Test Cases'!A61:A1763,K70,'Inji - Web - Test Cases'!C61:C1763,"&lt;&gt;"&amp;"",'Inji - Web - Test Cases'!J61:J1763,"Fail")</f>
        <v>0</v>
      </c>
      <c r="O70" s="24">
        <f>COUNTIFS('Inji - Web - Test Cases'!A61:A1763,K70,'Inji - Web - Test Cases'!C61:C1763,"&lt;&gt;"&amp;"",'Inji - Web - Test Cases'!J61:J1763,"NA")</f>
        <v>0</v>
      </c>
      <c r="Q70" s="17"/>
      <c r="R70" s="17"/>
    </row>
    <row r="71" ht="14.25" customHeight="1">
      <c r="K71" s="31" t="str">
        <f>IFERROR(__xludf.DUMMYFUNCTION("""COMPUTED_VALUE"""),"INJIWEB-1672")</f>
        <v>INJIWEB-1672</v>
      </c>
      <c r="L71" s="26">
        <f>COUNTIFS('Inji - Web - Test Cases'!A61:A1767,K71,'Inji - Web - Test Cases'!C61:C1767,"&lt;&gt;"&amp;"")</f>
        <v>1</v>
      </c>
      <c r="M71" s="22">
        <f>COUNTIFS('Inji - Web - Test Cases'!A62:A1764,K71,'Inji - Web - Test Cases'!C62:C1764,"&lt;&gt;"&amp;"",'Inji - Web - Test Cases'!J62:J1764,"Pass")</f>
        <v>0</v>
      </c>
      <c r="N71" s="23">
        <f>COUNTIFS('Inji - Web - Test Cases'!A62:A1764,K71,'Inji - Web - Test Cases'!C62:C1764,"&lt;&gt;"&amp;"",'Inji - Web - Test Cases'!J62:J1764,"Fail")</f>
        <v>1</v>
      </c>
      <c r="O71" s="24">
        <f>COUNTIFS('Inji - Web - Test Cases'!A62:A1764,K71,'Inji - Web - Test Cases'!C62:C1764,"&lt;&gt;"&amp;"",'Inji - Web - Test Cases'!J62:J1764,"NA")</f>
        <v>0</v>
      </c>
      <c r="Q71" s="17"/>
      <c r="R71" s="17"/>
    </row>
    <row r="72" ht="14.25" customHeight="1">
      <c r="K72" s="31" t="str">
        <f>IFERROR(__xludf.DUMMYFUNCTION("""COMPUTED_VALUE"""),"INJIWEB-1719")</f>
        <v>INJIWEB-1719</v>
      </c>
      <c r="L72" s="26">
        <f>COUNTIFS('Inji - Web - Test Cases'!A62:A1768,K72,'Inji - Web - Test Cases'!C62:C1768,"&lt;&gt;"&amp;"")</f>
        <v>1</v>
      </c>
      <c r="M72" s="22">
        <f>COUNTIFS('Inji - Web - Test Cases'!A62:A1765,K72,'Inji - Web - Test Cases'!C62:C1765,"&lt;&gt;"&amp;"",'Inji - Web - Test Cases'!J62:J1765,"Pass")</f>
        <v>1</v>
      </c>
      <c r="N72" s="23">
        <f>COUNTIFS('Inji - Web - Test Cases'!A62:A1765,K72,'Inji - Web - Test Cases'!C62:C1765,"&lt;&gt;"&amp;"",'Inji - Web - Test Cases'!J62:J1765,"Fail")</f>
        <v>0</v>
      </c>
      <c r="O72" s="24">
        <f>COUNTIFS('Inji - Web - Test Cases'!A62:A1765,K72,'Inji - Web - Test Cases'!C62:C1765,"&lt;&gt;"&amp;"",'Inji - Web - Test Cases'!J62:J1765,"NA")</f>
        <v>0</v>
      </c>
      <c r="Q72" s="17"/>
      <c r="R72" s="17"/>
    </row>
    <row r="73" ht="14.25" customHeight="1">
      <c r="K73" s="31" t="str">
        <f>IFERROR(__xludf.DUMMYFUNCTION("""COMPUTED_VALUE"""),"INJIWEB-1166")</f>
        <v>INJIWEB-1166</v>
      </c>
      <c r="L73" s="26">
        <f>COUNTIFS('Inji - Web - Test Cases'!A62:A1769,K73,'Inji - Web - Test Cases'!C62:C1769,"&lt;&gt;"&amp;"")</f>
        <v>1</v>
      </c>
      <c r="M73" s="22">
        <f>COUNTIFS('Inji - Web - Test Cases'!A62:A1766,K73,'Inji - Web - Test Cases'!C62:C1766,"&lt;&gt;"&amp;"",'Inji - Web - Test Cases'!J62:J1766,"Pass")</f>
        <v>0</v>
      </c>
      <c r="N73" s="23">
        <f>COUNTIFS('Inji - Web - Test Cases'!A62:A1766,K73,'Inji - Web - Test Cases'!C62:C1766,"&lt;&gt;"&amp;"",'Inji - Web - Test Cases'!J62:J1766,"Fail")</f>
        <v>1</v>
      </c>
      <c r="O73" s="24">
        <f>COUNTIFS('Inji - Web - Test Cases'!A62:A1766,K73,'Inji - Web - Test Cases'!C62:C1766,"&lt;&gt;"&amp;"",'Inji - Web - Test Cases'!J62:J1766,"NA")</f>
        <v>0</v>
      </c>
      <c r="Q73" s="17"/>
      <c r="R73" s="17"/>
    </row>
    <row r="74" ht="14.25" customHeight="1">
      <c r="K74" s="31" t="str">
        <f>IFERROR(__xludf.DUMMYFUNCTION("""COMPUTED_VALUE"""),"INJIWEB-823")</f>
        <v>INJIWEB-823</v>
      </c>
      <c r="L74" s="26">
        <f>COUNTIFS('Inji - Web - Test Cases'!A62:A1770,K74,'Inji - Web - Test Cases'!C62:C1770,"&lt;&gt;"&amp;"")</f>
        <v>1</v>
      </c>
      <c r="M74" s="22">
        <f>COUNTIFS('Inji - Web - Test Cases'!A62:A1767,K74,'Inji - Web - Test Cases'!C62:C1767,"&lt;&gt;"&amp;"",'Inji - Web - Test Cases'!J62:J1767,"Pass")</f>
        <v>0</v>
      </c>
      <c r="N74" s="23">
        <f>COUNTIFS('Inji - Web - Test Cases'!A62:A1767,K74,'Inji - Web - Test Cases'!C62:C1767,"&lt;&gt;"&amp;"",'Inji - Web - Test Cases'!J62:J1767,"Fail")</f>
        <v>1</v>
      </c>
      <c r="O74" s="24">
        <f>COUNTIFS('Inji - Web - Test Cases'!A62:A1767,K74,'Inji - Web - Test Cases'!C62:C1767,"&lt;&gt;"&amp;"",'Inji - Web - Test Cases'!J62:J1767,"NA")</f>
        <v>0</v>
      </c>
      <c r="Q74" s="17"/>
      <c r="R74" s="17"/>
    </row>
    <row r="75" ht="14.25" customHeight="1">
      <c r="K75" s="31" t="str">
        <f>IFERROR(__xludf.DUMMYFUNCTION("""COMPUTED_VALUE"""),"INJIWEB-824")</f>
        <v>INJIWEB-824</v>
      </c>
      <c r="L75" s="26">
        <f>COUNTIFS('Inji - Web - Test Cases'!A62:A1771,K75,'Inji - Web - Test Cases'!C62:C1771,"&lt;&gt;"&amp;"")</f>
        <v>1</v>
      </c>
      <c r="M75" s="22">
        <f>COUNTIFS('Inji - Web - Test Cases'!A63:A1768,K75,'Inji - Web - Test Cases'!C63:C1768,"&lt;&gt;"&amp;"",'Inji - Web - Test Cases'!J63:J1768,"Pass")</f>
        <v>1</v>
      </c>
      <c r="N75" s="23">
        <f>COUNTIFS('Inji - Web - Test Cases'!A63:A1768,K75,'Inji - Web - Test Cases'!C63:C1768,"&lt;&gt;"&amp;"",'Inji - Web - Test Cases'!J63:J1768,"Fail")</f>
        <v>0</v>
      </c>
      <c r="O75" s="24">
        <f>COUNTIFS('Inji - Web - Test Cases'!A63:A1768,K75,'Inji - Web - Test Cases'!C63:C1768,"&lt;&gt;"&amp;"",'Inji - Web - Test Cases'!J63:J1768,"NA")</f>
        <v>0</v>
      </c>
      <c r="Q75" s="17"/>
      <c r="R75" s="17"/>
    </row>
    <row r="76" ht="14.25" customHeight="1">
      <c r="K76" s="31" t="str">
        <f>IFERROR(__xludf.DUMMYFUNCTION("""COMPUTED_VALUE"""),"INJIWEB-1632")</f>
        <v>INJIWEB-1632</v>
      </c>
      <c r="L76" s="26">
        <f>COUNTIFS('Inji - Web - Test Cases'!A63:A1772,K76,'Inji - Web - Test Cases'!C63:C1772,"&lt;&gt;"&amp;"")</f>
        <v>1</v>
      </c>
      <c r="M76" s="22">
        <f>COUNTIFS('Inji - Web - Test Cases'!A64:A1769,K76,'Inji - Web - Test Cases'!C64:C1769,"&lt;&gt;"&amp;"",'Inji - Web - Test Cases'!J64:J1769,"Pass")</f>
        <v>0</v>
      </c>
      <c r="N76" s="23">
        <f>COUNTIFS('Inji - Web - Test Cases'!A64:A1769,K76,'Inji - Web - Test Cases'!C64:C1769,"&lt;&gt;"&amp;"",'Inji - Web - Test Cases'!J64:J1769,"Fail")</f>
        <v>1</v>
      </c>
      <c r="O76" s="24">
        <f>COUNTIFS('Inji - Web - Test Cases'!A64:A1769,K76,'Inji - Web - Test Cases'!C64:C1769,"&lt;&gt;"&amp;"",'Inji - Web - Test Cases'!J64:J1769,"NA")</f>
        <v>0</v>
      </c>
      <c r="Q76" s="17"/>
      <c r="R76" s="17"/>
    </row>
    <row r="77" ht="14.25" customHeight="1">
      <c r="K77" s="31" t="str">
        <f>IFERROR(__xludf.DUMMYFUNCTION("""COMPUTED_VALUE"""),"INJIWEB-1165")</f>
        <v>INJIWEB-1165</v>
      </c>
      <c r="L77" s="26">
        <f>COUNTIFS('Inji - Web - Test Cases'!A64:A1773,K77,'Inji - Web - Test Cases'!C64:C1773,"&lt;&gt;"&amp;"")</f>
        <v>1</v>
      </c>
      <c r="M77" s="22">
        <f>COUNTIFS('Inji - Web - Test Cases'!A65:A1770,K77,'Inji - Web - Test Cases'!C65:C1770,"&lt;&gt;"&amp;"",'Inji - Web - Test Cases'!J65:J1770,"Pass")</f>
        <v>0</v>
      </c>
      <c r="N77" s="23">
        <f>COUNTIFS('Inji - Web - Test Cases'!A65:A1770,K77,'Inji - Web - Test Cases'!C65:C1770,"&lt;&gt;"&amp;"",'Inji - Web - Test Cases'!J65:J1770,"Fail")</f>
        <v>1</v>
      </c>
      <c r="O77" s="24">
        <f>COUNTIFS('Inji - Web - Test Cases'!A65:A1770,K77,'Inji - Web - Test Cases'!C65:C1770,"&lt;&gt;"&amp;"",'Inji - Web - Test Cases'!J65:J1770,"NA")</f>
        <v>0</v>
      </c>
      <c r="Q77" s="17"/>
      <c r="R77" s="17"/>
    </row>
    <row r="78" ht="14.25" customHeight="1">
      <c r="K78" s="31" t="str">
        <f>IFERROR(__xludf.DUMMYFUNCTION("""COMPUTED_VALUE"""),"NJIWEB-1201")</f>
        <v>NJIWEB-1201</v>
      </c>
      <c r="L78" s="26">
        <f>COUNTIFS('Inji - Web - Test Cases'!A65:A1774,K78,'Inji - Web - Test Cases'!C65:C1774,"&lt;&gt;"&amp;"")</f>
        <v>1</v>
      </c>
      <c r="M78" s="22">
        <f>COUNTIFS('Inji - Web - Test Cases'!A66:A1771,K78,'Inji - Web - Test Cases'!C66:C1771,"&lt;&gt;"&amp;"",'Inji - Web - Test Cases'!J66:J1771,"Pass")</f>
        <v>1</v>
      </c>
      <c r="N78" s="23">
        <f>COUNTIFS('Inji - Web - Test Cases'!A66:A1771,K78,'Inji - Web - Test Cases'!C66:C1771,"&lt;&gt;"&amp;"",'Inji - Web - Test Cases'!J66:J1771,"Fail")</f>
        <v>0</v>
      </c>
      <c r="O78" s="24">
        <f>COUNTIFS('Inji - Web - Test Cases'!A66:A1771,K78,'Inji - Web - Test Cases'!C66:C1771,"&lt;&gt;"&amp;"",'Inji - Web - Test Cases'!J66:J1771,"NA")</f>
        <v>0</v>
      </c>
      <c r="Q78" s="17"/>
      <c r="R78" s="17"/>
    </row>
    <row r="79" ht="14.25" customHeight="1">
      <c r="K79" s="31" t="str">
        <f>IFERROR(__xludf.DUMMYFUNCTION("""COMPUTED_VALUE"""),"INJIWEB-1500")</f>
        <v>INJIWEB-1500</v>
      </c>
      <c r="L79" s="26">
        <f>COUNTIFS('Inji - Web - Test Cases'!A66:A1775,K79,'Inji - Web - Test Cases'!C66:C1775,"&lt;&gt;"&amp;"")</f>
        <v>1</v>
      </c>
      <c r="M79" s="22">
        <f>COUNTIFS('Inji - Web - Test Cases'!A67:A1772,K79,'Inji - Web - Test Cases'!C67:C1772,"&lt;&gt;"&amp;"",'Inji - Web - Test Cases'!J67:J1772,"Pass")</f>
        <v>1</v>
      </c>
      <c r="N79" s="23">
        <f>COUNTIFS('Inji - Web - Test Cases'!A67:A1772,K79,'Inji - Web - Test Cases'!C67:C1772,"&lt;&gt;"&amp;"",'Inji - Web - Test Cases'!J67:J1772,"Fail")</f>
        <v>0</v>
      </c>
      <c r="O79" s="24">
        <f>COUNTIFS('Inji - Web - Test Cases'!A67:A1772,K79,'Inji - Web - Test Cases'!C67:C1772,"&lt;&gt;"&amp;"",'Inji - Web - Test Cases'!J67:J1772,"NA")</f>
        <v>0</v>
      </c>
      <c r="Q79" s="17"/>
      <c r="R79" s="17"/>
    </row>
    <row r="80" ht="14.25" customHeight="1">
      <c r="K80" s="31" t="str">
        <f>IFERROR(__xludf.DUMMYFUNCTION("""COMPUTED_VALUE"""),"INJIWEB-1673")</f>
        <v>INJIWEB-1673</v>
      </c>
      <c r="L80" s="26">
        <f>COUNTIFS('Inji - Web - Test Cases'!A67:A1776,K80,'Inji - Web - Test Cases'!C67:C1776,"&lt;&gt;"&amp;"")</f>
        <v>14</v>
      </c>
      <c r="M80" s="22">
        <f>COUNTIFS('Inji - Web - Test Cases'!A68:A1773,K80,'Inji - Web - Test Cases'!C68:C1773,"&lt;&gt;"&amp;"",'Inji - Web - Test Cases'!J68:J1773,"Pass")</f>
        <v>14</v>
      </c>
      <c r="N80" s="23">
        <f>COUNTIFS('Inji - Web - Test Cases'!A68:A1773,K80,'Inji - Web - Test Cases'!C68:C1773,"&lt;&gt;"&amp;"",'Inji - Web - Test Cases'!J68:J1773,"Fail")</f>
        <v>0</v>
      </c>
      <c r="O80" s="24">
        <f>COUNTIFS('Inji - Web - Test Cases'!A68:A1773,K80,'Inji - Web - Test Cases'!C68:C1773,"&lt;&gt;"&amp;"",'Inji - Web - Test Cases'!J68:J1773,"NA")</f>
        <v>0</v>
      </c>
      <c r="Q80" s="17"/>
      <c r="R80" s="17"/>
    </row>
    <row r="81" ht="14.25" customHeight="1">
      <c r="K81" s="31" t="str">
        <f>IFERROR(__xludf.DUMMYFUNCTION("""COMPUTED_VALUE"""),"INJIWEB-1726")</f>
        <v>INJIWEB-1726</v>
      </c>
      <c r="L81" s="26">
        <f>COUNTIFS('Inji - Web - Test Cases'!A68:A1777,K81,'Inji - Web - Test Cases'!C68:C1777,"&lt;&gt;"&amp;"")</f>
        <v>60</v>
      </c>
      <c r="M81" s="22">
        <f>COUNTIFS('Inji - Web - Test Cases'!A69:A1774,K81,'Inji - Web - Test Cases'!C69:C1774,"&lt;&gt;"&amp;"",'Inji - Web - Test Cases'!J69:J1774,"Pass")</f>
        <v>60</v>
      </c>
      <c r="N81" s="23">
        <f>COUNTIFS('Inji - Web - Test Cases'!A69:A1774,K81,'Inji - Web - Test Cases'!C69:C1774,"&lt;&gt;"&amp;"",'Inji - Web - Test Cases'!J69:J1774,"Fail")</f>
        <v>0</v>
      </c>
      <c r="O81" s="24">
        <f>COUNTIFS('Inji - Web - Test Cases'!A69:A1774,K81,'Inji - Web - Test Cases'!C69:C1774,"&lt;&gt;"&amp;"",'Inji - Web - Test Cases'!J69:J1774,"NA")</f>
        <v>0</v>
      </c>
      <c r="Q81" s="17"/>
      <c r="R81" s="17"/>
    </row>
    <row r="82" ht="14.25" customHeight="1">
      <c r="K82" s="31" t="str">
        <f>IFERROR(__xludf.DUMMYFUNCTION("""COMPUTED_VALUE"""),"INJIWEB-1715")</f>
        <v>INJIWEB-1715</v>
      </c>
      <c r="L82" s="26">
        <f>COUNTIFS('Inji - Web - Test Cases'!A69:A1778,K82,'Inji - Web - Test Cases'!C69:C1778,"&lt;&gt;"&amp;"")</f>
        <v>21</v>
      </c>
      <c r="M82" s="22">
        <f>COUNTIFS('Inji - Web - Test Cases'!A70:A1775,K82,'Inji - Web - Test Cases'!C70:C1775,"&lt;&gt;"&amp;"",'Inji - Web - Test Cases'!J70:J1775,"Pass")</f>
        <v>19</v>
      </c>
      <c r="N82" s="23">
        <f>COUNTIFS('Inji - Web - Test Cases'!A70:A1775,K82,'Inji - Web - Test Cases'!C70:C1775,"&lt;&gt;"&amp;"",'Inji - Web - Test Cases'!J70:J1775,"Fail")</f>
        <v>2</v>
      </c>
      <c r="O82" s="24">
        <f>COUNTIFS('Inji - Web - Test Cases'!A70:A1775,K82,'Inji - Web - Test Cases'!C70:C1775,"&lt;&gt;"&amp;"",'Inji - Web - Test Cases'!J70:J1775,"NA")</f>
        <v>0</v>
      </c>
      <c r="Q82" s="17"/>
      <c r="R82" s="17"/>
    </row>
    <row r="83" ht="14.25" customHeight="1">
      <c r="K83" s="31" t="str">
        <f>IFERROR(__xludf.DUMMYFUNCTION("""COMPUTED_VALUE"""),"INJIWEB-1714")</f>
        <v>INJIWEB-1714</v>
      </c>
      <c r="L83" s="26">
        <f>COUNTIFS('Inji - Web - Test Cases'!A70:A1779,K83,'Inji - Web - Test Cases'!C70:C1779,"&lt;&gt;"&amp;"")</f>
        <v>28</v>
      </c>
      <c r="M83" s="22">
        <f>COUNTIFS('Inji - Web - Test Cases'!A71:A1776,K83,'Inji - Web - Test Cases'!C71:C1776,"&lt;&gt;"&amp;"",'Inji - Web - Test Cases'!J71:J1776,"Pass")</f>
        <v>28</v>
      </c>
      <c r="N83" s="23">
        <f>COUNTIFS('Inji - Web - Test Cases'!A71:A1776,K83,'Inji - Web - Test Cases'!C71:C1776,"&lt;&gt;"&amp;"",'Inji - Web - Test Cases'!J71:J1776,"Fail")</f>
        <v>0</v>
      </c>
      <c r="O83" s="24">
        <f>COUNTIFS('Inji - Web - Test Cases'!A71:A1776,K83,'Inji - Web - Test Cases'!C71:C1776,"&lt;&gt;"&amp;"",'Inji - Web - Test Cases'!J71:J1776,"NA")</f>
        <v>0</v>
      </c>
      <c r="Q83" s="17"/>
      <c r="R83" s="17"/>
    </row>
    <row r="84" ht="14.25" customHeight="1">
      <c r="K84" s="31" t="str">
        <f>IFERROR(__xludf.DUMMYFUNCTION("""COMPUTED_VALUE"""),"INJIWEB-1717")</f>
        <v>INJIWEB-1717</v>
      </c>
      <c r="L84" s="26">
        <f>COUNTIFS('Inji - Web - Test Cases'!A71:A1780,K84,'Inji - Web - Test Cases'!C71:C1780,"&lt;&gt;"&amp;"")</f>
        <v>26</v>
      </c>
      <c r="M84" s="22">
        <f>COUNTIFS('Inji - Web - Test Cases'!A72:A1777,K84,'Inji - Web - Test Cases'!C72:C1777,"&lt;&gt;"&amp;"",'Inji - Web - Test Cases'!J72:J1777,"Pass")</f>
        <v>25</v>
      </c>
      <c r="N84" s="23">
        <f>COUNTIFS('Inji - Web - Test Cases'!A72:A1777,K84,'Inji - Web - Test Cases'!C72:C1777,"&lt;&gt;"&amp;"",'Inji - Web - Test Cases'!J72:J1777,"Fail")</f>
        <v>1</v>
      </c>
      <c r="O84" s="24">
        <f>COUNTIFS('Inji - Web - Test Cases'!A72:A1777,K84,'Inji - Web - Test Cases'!C72:C1777,"&lt;&gt;"&amp;"",'Inji - Web - Test Cases'!J72:J1777,"NA")</f>
        <v>0</v>
      </c>
      <c r="Q84" s="17"/>
      <c r="R84" s="17"/>
    </row>
    <row r="85" ht="14.25" customHeight="1">
      <c r="K85" s="31" t="str">
        <f>IFERROR(__xludf.DUMMYFUNCTION("""COMPUTED_VALUE"""),"INJIWEB-1735")</f>
        <v>INJIWEB-1735</v>
      </c>
      <c r="L85" s="26">
        <f>COUNTIFS('Inji - Web - Test Cases'!A72:A1781,K85,'Inji - Web - Test Cases'!C72:C1781,"&lt;&gt;"&amp;"")</f>
        <v>19</v>
      </c>
      <c r="M85" s="22">
        <f>COUNTIFS('Inji - Web - Test Cases'!A73:A1778,K85,'Inji - Web - Test Cases'!C73:C1778,"&lt;&gt;"&amp;"",'Inji - Web - Test Cases'!J73:J1778,"Pass")</f>
        <v>19</v>
      </c>
      <c r="N85" s="23">
        <f>COUNTIFS('Inji - Web - Test Cases'!A73:A1778,K85,'Inji - Web - Test Cases'!C73:C1778,"&lt;&gt;"&amp;"",'Inji - Web - Test Cases'!J73:J1778,"Fail")</f>
        <v>0</v>
      </c>
      <c r="O85" s="24">
        <f>COUNTIFS('Inji - Web - Test Cases'!A73:A1778,K85,'Inji - Web - Test Cases'!C73:C1778,"&lt;&gt;"&amp;"",'Inji - Web - Test Cases'!J73:J1778,"NA")</f>
        <v>0</v>
      </c>
      <c r="Q85" s="17"/>
      <c r="R85" s="17"/>
    </row>
    <row r="86" ht="14.25" customHeight="1">
      <c r="K86" s="31" t="str">
        <f>IFERROR(__xludf.DUMMYFUNCTION("""COMPUTED_VALUE"""),"INJIWEB-1762")</f>
        <v>INJIWEB-1762</v>
      </c>
      <c r="L86" s="26">
        <f>COUNTIFS('Inji - Web - Test Cases'!A73:A1782,K86,'Inji - Web - Test Cases'!C73:C1782,"&lt;&gt;"&amp;"")</f>
        <v>1</v>
      </c>
      <c r="M86" s="22">
        <f>COUNTIFS('Inji - Web - Test Cases'!A74:A1779,K86,'Inji - Web - Test Cases'!C74:C1779,"&lt;&gt;"&amp;"",'Inji - Web - Test Cases'!J74:J1779,"Pass")</f>
        <v>1</v>
      </c>
      <c r="N86" s="23">
        <f>COUNTIFS('Inji - Web - Test Cases'!A74:A1779,K86,'Inji - Web - Test Cases'!C74:C1779,"&lt;&gt;"&amp;"",'Inji - Web - Test Cases'!J74:J1779,"Fail")</f>
        <v>0</v>
      </c>
      <c r="O86" s="24">
        <f>COUNTIFS('Inji - Web - Test Cases'!A74:A1779,K86,'Inji - Web - Test Cases'!C74:C1779,"&lt;&gt;"&amp;"",'Inji - Web - Test Cases'!J74:J1779,"NA")</f>
        <v>0</v>
      </c>
      <c r="Q86" s="17"/>
      <c r="R86" s="17"/>
    </row>
    <row r="87" ht="14.25" customHeight="1">
      <c r="K87" s="31" t="str">
        <f>IFERROR(__xludf.DUMMYFUNCTION("""COMPUTED_VALUE"""),"INJIWEB-1767")</f>
        <v>INJIWEB-1767</v>
      </c>
      <c r="L87" s="26">
        <f>COUNTIFS('Inji - Web - Test Cases'!A74:A1783,K87,'Inji - Web - Test Cases'!C74:C1783,"&lt;&gt;"&amp;"")</f>
        <v>1</v>
      </c>
      <c r="M87" s="22">
        <f>COUNTIFS('Inji - Web - Test Cases'!A75:A1780,K87,'Inji - Web - Test Cases'!C75:C1780,"&lt;&gt;"&amp;"",'Inji - Web - Test Cases'!J75:J1780,"Pass")</f>
        <v>0</v>
      </c>
      <c r="N87" s="23">
        <f>COUNTIFS('Inji - Web - Test Cases'!A75:A1780,K87,'Inji - Web - Test Cases'!C75:C1780,"&lt;&gt;"&amp;"",'Inji - Web - Test Cases'!J75:J1780,"Fail")</f>
        <v>1</v>
      </c>
      <c r="O87" s="24">
        <f>COUNTIFS('Inji - Web - Test Cases'!A75:A1780,K87,'Inji - Web - Test Cases'!C75:C1780,"&lt;&gt;"&amp;"",'Inji - Web - Test Cases'!J75:J1780,"NA")</f>
        <v>0</v>
      </c>
      <c r="Q87" s="17"/>
      <c r="R87" s="17"/>
    </row>
    <row r="88" ht="14.25" customHeight="1">
      <c r="K88" s="31" t="str">
        <f>IFERROR(__xludf.DUMMYFUNCTION("""COMPUTED_VALUE"""),"INJIWEB-1782")</f>
        <v>INJIWEB-1782</v>
      </c>
      <c r="L88" s="26">
        <f>COUNTIFS('Inji - Web - Test Cases'!A75:A1784,K88,'Inji - Web - Test Cases'!C75:C1784,"&lt;&gt;"&amp;"")</f>
        <v>1</v>
      </c>
      <c r="M88" s="22">
        <f>COUNTIFS('Inji - Web - Test Cases'!A76:A1781,K88,'Inji - Web - Test Cases'!C76:C1781,"&lt;&gt;"&amp;"",'Inji - Web - Test Cases'!J76:J1781,"Pass")</f>
        <v>0</v>
      </c>
      <c r="N88" s="23">
        <f>COUNTIFS('Inji - Web - Test Cases'!A76:A1781,K88,'Inji - Web - Test Cases'!C76:C1781,"&lt;&gt;"&amp;"",'Inji - Web - Test Cases'!J76:J1781,"Fail")</f>
        <v>1</v>
      </c>
      <c r="O88" s="24">
        <f>COUNTIFS('Inji - Web - Test Cases'!A76:A1781,K88,'Inji - Web - Test Cases'!C76:C1781,"&lt;&gt;"&amp;"",'Inji - Web - Test Cases'!J76:J1781,"NA")</f>
        <v>0</v>
      </c>
      <c r="Q88" s="17"/>
      <c r="R88" s="17"/>
    </row>
    <row r="89" ht="14.25" customHeight="1">
      <c r="K89" s="31" t="str">
        <f>IFERROR(__xludf.DUMMYFUNCTION("""COMPUTED_VALUE"""),"INJIWEB-1747")</f>
        <v>INJIWEB-1747</v>
      </c>
      <c r="L89" s="26">
        <f>COUNTIFS('Inji - Web - Test Cases'!A76:A1785,K89,'Inji - Web - Test Cases'!C76:C1785,"&lt;&gt;"&amp;"")</f>
        <v>8</v>
      </c>
      <c r="M89" s="22">
        <f>COUNTIFS('Inji - Web - Test Cases'!A77:A1782,K89,'Inji - Web - Test Cases'!C77:C1782,"&lt;&gt;"&amp;"",'Inji - Web - Test Cases'!J77:J1782,"Pass")</f>
        <v>8</v>
      </c>
      <c r="N89" s="23">
        <f>COUNTIFS('Inji - Web - Test Cases'!A77:A1782,K89,'Inji - Web - Test Cases'!C77:C1782,"&lt;&gt;"&amp;"",'Inji - Web - Test Cases'!J77:J1782,"Fail")</f>
        <v>0</v>
      </c>
      <c r="O89" s="24">
        <f>COUNTIFS('Inji - Web - Test Cases'!A77:A1782,K89,'Inji - Web - Test Cases'!C77:C1782,"&lt;&gt;"&amp;"",'Inji - Web - Test Cases'!J77:J1782,"NA")</f>
        <v>0</v>
      </c>
      <c r="Q89" s="17"/>
      <c r="R89" s="17"/>
    </row>
    <row r="90" ht="14.25" customHeight="1">
      <c r="K90" s="31" t="str">
        <f>IFERROR(__xludf.DUMMYFUNCTION("""COMPUTED_VALUE"""),"INJIWEB-1792")</f>
        <v>INJIWEB-1792</v>
      </c>
      <c r="L90" s="26">
        <f>COUNTIFS('Inji - Web - Test Cases'!A77:A1786,K90,'Inji - Web - Test Cases'!C77:C1786,"&lt;&gt;"&amp;"")</f>
        <v>1</v>
      </c>
      <c r="M90" s="22">
        <f>COUNTIFS('Inji - Web - Test Cases'!A78:A1783,K90,'Inji - Web - Test Cases'!C78:C1783,"&lt;&gt;"&amp;"",'Inji - Web - Test Cases'!J78:J1783,"Pass")</f>
        <v>0</v>
      </c>
      <c r="N90" s="23">
        <f>COUNTIFS('Inji - Web - Test Cases'!A78:A1783,K90,'Inji - Web - Test Cases'!C78:C1783,"&lt;&gt;"&amp;"",'Inji - Web - Test Cases'!J78:J1783,"Fail")</f>
        <v>1</v>
      </c>
      <c r="O90" s="24">
        <f>COUNTIFS('Inji - Web - Test Cases'!A78:A1783,K90,'Inji - Web - Test Cases'!C78:C1783,"&lt;&gt;"&amp;"",'Inji - Web - Test Cases'!J78:J1783,"NA")</f>
        <v>0</v>
      </c>
      <c r="Q90" s="17"/>
      <c r="R90" s="17"/>
    </row>
    <row r="91" ht="14.25" customHeight="1">
      <c r="K91" s="31" t="str">
        <f>IFERROR(__xludf.DUMMYFUNCTION("""COMPUTED_VALUE"""),"INJIWEB-1748")</f>
        <v>INJIWEB-1748</v>
      </c>
      <c r="L91" s="26">
        <f>COUNTIFS('Inji - Web - Test Cases'!A78:A1787,K91,'Inji - Web - Test Cases'!C78:C1787,"&lt;&gt;"&amp;"")</f>
        <v>1</v>
      </c>
      <c r="M91" s="22">
        <f>COUNTIFS('Inji - Web - Test Cases'!A79:A1784,K91,'Inji - Web - Test Cases'!C79:C1784,"&lt;&gt;"&amp;"",'Inji - Web - Test Cases'!J79:J1784,"Pass")</f>
        <v>1</v>
      </c>
      <c r="N91" s="23">
        <f>COUNTIFS('Inji - Web - Test Cases'!A79:A1784,K91,'Inji - Web - Test Cases'!C79:C1784,"&lt;&gt;"&amp;"",'Inji - Web - Test Cases'!J79:J1784,"Fail")</f>
        <v>0</v>
      </c>
      <c r="O91" s="24">
        <f>COUNTIFS('Inji - Web - Test Cases'!A79:A1784,K91,'Inji - Web - Test Cases'!C79:C1784,"&lt;&gt;"&amp;"",'Inji - Web - Test Cases'!J79:J1784,"NA")</f>
        <v>0</v>
      </c>
      <c r="Q91" s="17"/>
      <c r="R91" s="17"/>
    </row>
    <row r="92" ht="14.25" customHeight="1">
      <c r="K92" s="31" t="str">
        <f>IFERROR(__xludf.DUMMYFUNCTION("""COMPUTED_VALUE"""),"INJIWEB-1691")</f>
        <v>INJIWEB-1691</v>
      </c>
      <c r="L92" s="26">
        <f>COUNTIFS('Inji - Web - Test Cases'!A79:A1788,K92,'Inji - Web - Test Cases'!C79:C1788,"&lt;&gt;"&amp;"")</f>
        <v>1</v>
      </c>
      <c r="M92" s="22">
        <f>COUNTIFS('Inji - Web - Test Cases'!A80:A1785,K92,'Inji - Web - Test Cases'!C80:C1785,"&lt;&gt;"&amp;"",'Inji - Web - Test Cases'!J80:J1785,"Pass")</f>
        <v>0</v>
      </c>
      <c r="N92" s="23">
        <f>COUNTIFS('Inji - Web - Test Cases'!A80:A1785,K92,'Inji - Web - Test Cases'!C80:C1785,"&lt;&gt;"&amp;"",'Inji - Web - Test Cases'!J80:J1785,"Fail")</f>
        <v>1</v>
      </c>
      <c r="O92" s="24">
        <f>COUNTIFS('Inji - Web - Test Cases'!A80:A1785,K92,'Inji - Web - Test Cases'!C80:C1785,"&lt;&gt;"&amp;"",'Inji - Web - Test Cases'!J80:J1785,"NA")</f>
        <v>0</v>
      </c>
      <c r="Q92" s="17"/>
      <c r="R92" s="17"/>
    </row>
    <row r="93" ht="14.25" customHeight="1">
      <c r="K93" s="31" t="str">
        <f>IFERROR(__xludf.DUMMYFUNCTION("""COMPUTED_VALUE"""),"INJIWEB-1789")</f>
        <v>INJIWEB-1789</v>
      </c>
      <c r="L93" s="26">
        <f>COUNTIFS('Inji - Web - Test Cases'!A80:A1789,K93,'Inji - Web - Test Cases'!C80:C1789,"&lt;&gt;"&amp;"")</f>
        <v>1</v>
      </c>
      <c r="M93" s="22">
        <f>COUNTIFS('Inji - Web - Test Cases'!A81:A1786,K93,'Inji - Web - Test Cases'!C81:C1786,"&lt;&gt;"&amp;"",'Inji - Web - Test Cases'!J81:J1786,"Pass")</f>
        <v>0</v>
      </c>
      <c r="N93" s="23">
        <f>COUNTIFS('Inji - Web - Test Cases'!A81:A1786,K93,'Inji - Web - Test Cases'!C81:C1786,"&lt;&gt;"&amp;"",'Inji - Web - Test Cases'!J81:J1786,"Fail")</f>
        <v>1</v>
      </c>
      <c r="O93" s="24">
        <f>COUNTIFS('Inji - Web - Test Cases'!A81:A1786,K93,'Inji - Web - Test Cases'!C81:C1786,"&lt;&gt;"&amp;"",'Inji - Web - Test Cases'!J81:J1786,"NA")</f>
        <v>0</v>
      </c>
      <c r="Q93" s="17"/>
      <c r="R93" s="17"/>
    </row>
    <row r="94" ht="14.25" customHeight="1">
      <c r="K94" s="31" t="str">
        <f>IFERROR(__xludf.DUMMYFUNCTION("""COMPUTED_VALUE"""),"INJIWEB-1787")</f>
        <v>INJIWEB-1787</v>
      </c>
      <c r="L94" s="26">
        <f>COUNTIFS('Inji - Web - Test Cases'!A81:A1790,K94,'Inji - Web - Test Cases'!C81:C1790,"&lt;&gt;"&amp;"")</f>
        <v>1</v>
      </c>
      <c r="M94" s="22">
        <f>COUNTIFS('Inji - Web - Test Cases'!A82:A1787,K94,'Inji - Web - Test Cases'!C82:C1787,"&lt;&gt;"&amp;"",'Inji - Web - Test Cases'!J82:J1787,"Pass")</f>
        <v>1</v>
      </c>
      <c r="N94" s="23">
        <f>COUNTIFS('Inji - Web - Test Cases'!A82:A1787,K94,'Inji - Web - Test Cases'!C82:C1787,"&lt;&gt;"&amp;"",'Inji - Web - Test Cases'!J82:J1787,"Fail")</f>
        <v>0</v>
      </c>
      <c r="O94" s="24">
        <f>COUNTIFS('Inji - Web - Test Cases'!A82:A1787,K94,'Inji - Web - Test Cases'!C82:C1787,"&lt;&gt;"&amp;"",'Inji - Web - Test Cases'!J82:J1787,"NA")</f>
        <v>0</v>
      </c>
      <c r="Q94" s="17"/>
      <c r="R94" s="17"/>
    </row>
    <row r="95" ht="14.25" customHeight="1">
      <c r="K95" s="31" t="str">
        <f>IFERROR(__xludf.DUMMYFUNCTION("""COMPUTED_VALUE"""),"INJIWEB-1755")</f>
        <v>INJIWEB-1755</v>
      </c>
      <c r="L95" s="26">
        <f>COUNTIFS('Inji - Web - Test Cases'!A82:A1791,K95,'Inji - Web - Test Cases'!C82:C1791,"&lt;&gt;"&amp;"")</f>
        <v>1</v>
      </c>
      <c r="M95" s="22">
        <f>COUNTIFS('Inji - Web - Test Cases'!A83:A1788,K95,'Inji - Web - Test Cases'!C83:C1788,"&lt;&gt;"&amp;"",'Inji - Web - Test Cases'!J83:J1788,"Pass")</f>
        <v>0</v>
      </c>
      <c r="N95" s="23">
        <f>COUNTIFS('Inji - Web - Test Cases'!A83:A1788,K95,'Inji - Web - Test Cases'!C83:C1788,"&lt;&gt;"&amp;"",'Inji - Web - Test Cases'!J83:J1788,"Fail")</f>
        <v>1</v>
      </c>
      <c r="O95" s="24">
        <f>COUNTIFS('Inji - Web - Test Cases'!A83:A1788,K95,'Inji - Web - Test Cases'!C83:C1788,"&lt;&gt;"&amp;"",'Inji - Web - Test Cases'!J83:J1788,"NA")</f>
        <v>0</v>
      </c>
      <c r="Q95" s="17"/>
      <c r="R95" s="17"/>
    </row>
    <row r="96" ht="14.25" customHeight="1">
      <c r="K96" s="31" t="str">
        <f>IFERROR(__xludf.DUMMYFUNCTION("""COMPUTED_VALUE"""),"INJIWEB-1728")</f>
        <v>INJIWEB-1728</v>
      </c>
      <c r="L96" s="26">
        <f>COUNTIFS('Inji - Web - Test Cases'!A83:A1792,K96,'Inji - Web - Test Cases'!C83:C1792,"&lt;&gt;"&amp;"")</f>
        <v>1</v>
      </c>
      <c r="M96" s="22">
        <f>COUNTIFS('Inji - Web - Test Cases'!A84:A1789,K96,'Inji - Web - Test Cases'!C84:C1789,"&lt;&gt;"&amp;"",'Inji - Web - Test Cases'!J84:J1789,"Pass")</f>
        <v>0</v>
      </c>
      <c r="N96" s="23">
        <f>COUNTIFS('Inji - Web - Test Cases'!A84:A1789,K96,'Inji - Web - Test Cases'!C84:C1789,"&lt;&gt;"&amp;"",'Inji - Web - Test Cases'!J84:J1789,"Fail")</f>
        <v>1</v>
      </c>
      <c r="O96" s="24">
        <f>COUNTIFS('Inji - Web - Test Cases'!A84:A1789,K96,'Inji - Web - Test Cases'!C84:C1789,"&lt;&gt;"&amp;"",'Inji - Web - Test Cases'!J84:J1789,"NA")</f>
        <v>0</v>
      </c>
      <c r="Q96" s="17"/>
      <c r="R96" s="17"/>
    </row>
    <row r="97" ht="14.25" customHeight="1">
      <c r="K97" s="31" t="str">
        <f>IFERROR(__xludf.DUMMYFUNCTION("""COMPUTED_VALUE"""),"INJIWEB-1774")</f>
        <v>INJIWEB-1774</v>
      </c>
      <c r="L97" s="26">
        <f>COUNTIFS('Inji - Web - Test Cases'!A84:A1793,K97,'Inji - Web - Test Cases'!C84:C1793,"&lt;&gt;"&amp;"")</f>
        <v>1</v>
      </c>
      <c r="M97" s="22">
        <f>COUNTIFS('Inji - Web - Test Cases'!A85:A1790,K97,'Inji - Web - Test Cases'!C85:C1790,"&lt;&gt;"&amp;"",'Inji - Web - Test Cases'!J85:J1790,"Pass")</f>
        <v>1</v>
      </c>
      <c r="N97" s="23">
        <f>COUNTIFS('Inji - Web - Test Cases'!A85:A1790,K97,'Inji - Web - Test Cases'!C85:C1790,"&lt;&gt;"&amp;"",'Inji - Web - Test Cases'!J85:J1790,"Fail")</f>
        <v>0</v>
      </c>
      <c r="O97" s="24">
        <f>COUNTIFS('Inji - Web - Test Cases'!A85:A1790,K97,'Inji - Web - Test Cases'!C85:C1790,"&lt;&gt;"&amp;"",'Inji - Web - Test Cases'!J85:J1790,"NA")</f>
        <v>0</v>
      </c>
      <c r="Q97" s="17"/>
      <c r="R97" s="17"/>
    </row>
    <row r="98" ht="14.25" customHeight="1">
      <c r="K98" s="31" t="str">
        <f>IFERROR(__xludf.DUMMYFUNCTION("""COMPUTED_VALUE"""),"INJIWEB-1775")</f>
        <v>INJIWEB-1775</v>
      </c>
      <c r="L98" s="26">
        <f>COUNTIFS('Inji - Web - Test Cases'!A85:A1794,K98,'Inji - Web - Test Cases'!C85:C1794,"&lt;&gt;"&amp;"")</f>
        <v>1</v>
      </c>
      <c r="M98" s="22">
        <f>COUNTIFS('Inji - Web - Test Cases'!A86:A1791,K98,'Inji - Web - Test Cases'!C86:C1791,"&lt;&gt;"&amp;"",'Inji - Web - Test Cases'!J86:J1791,"Pass")</f>
        <v>1</v>
      </c>
      <c r="N98" s="23">
        <f>COUNTIFS('Inji - Web - Test Cases'!A86:A1791,K98,'Inji - Web - Test Cases'!C86:C1791,"&lt;&gt;"&amp;"",'Inji - Web - Test Cases'!J86:J1791,"Fail")</f>
        <v>0</v>
      </c>
      <c r="O98" s="24">
        <f>COUNTIFS('Inji - Web - Test Cases'!A86:A1791,K98,'Inji - Web - Test Cases'!C86:C1791,"&lt;&gt;"&amp;"",'Inji - Web - Test Cases'!J86:J1791,"NA")</f>
        <v>0</v>
      </c>
      <c r="Q98" s="17"/>
      <c r="R98" s="17"/>
    </row>
    <row r="99" ht="14.25" customHeight="1">
      <c r="K99" s="31" t="str">
        <f>IFERROR(__xludf.DUMMYFUNCTION("""COMPUTED_VALUE"""),"INJIWEB-1776")</f>
        <v>INJIWEB-1776</v>
      </c>
      <c r="L99" s="26">
        <f>COUNTIFS('Inji - Web - Test Cases'!A86:A1795,K99,'Inji - Web - Test Cases'!C86:C1795,"&lt;&gt;"&amp;"")</f>
        <v>1</v>
      </c>
      <c r="M99" s="22">
        <f>COUNTIFS('Inji - Web - Test Cases'!A87:A1792,K99,'Inji - Web - Test Cases'!C87:C1792,"&lt;&gt;"&amp;"",'Inji - Web - Test Cases'!J87:J1792,"Pass")</f>
        <v>1</v>
      </c>
      <c r="N99" s="23">
        <f>COUNTIFS('Inji - Web - Test Cases'!A87:A1792,K99,'Inji - Web - Test Cases'!C87:C1792,"&lt;&gt;"&amp;"",'Inji - Web - Test Cases'!J87:J1792,"Fail")</f>
        <v>0</v>
      </c>
      <c r="O99" s="24">
        <f>COUNTIFS('Inji - Web - Test Cases'!A87:A1792,K99,'Inji - Web - Test Cases'!C87:C1792,"&lt;&gt;"&amp;"",'Inji - Web - Test Cases'!J87:J1792,"NA")</f>
        <v>0</v>
      </c>
      <c r="Q99" s="17"/>
      <c r="R99" s="17"/>
    </row>
    <row r="100" ht="14.25" customHeight="1">
      <c r="K100" s="31" t="str">
        <f>IFERROR(__xludf.DUMMYFUNCTION("""COMPUTED_VALUE"""),"INJIWEB-1713")</f>
        <v>INJIWEB-1713</v>
      </c>
      <c r="L100" s="26">
        <f>COUNTIFS('Inji - Web - Test Cases'!A87:A1796,K100,'Inji - Web - Test Cases'!C87:C1796,"&lt;&gt;"&amp;"")</f>
        <v>2</v>
      </c>
      <c r="M100" s="22">
        <f>COUNTIFS('Inji - Web - Test Cases'!A88:A1793,K100,'Inji - Web - Test Cases'!C88:C1793,"&lt;&gt;"&amp;"",'Inji - Web - Test Cases'!J88:J1793,"Pass")</f>
        <v>0</v>
      </c>
      <c r="N100" s="23">
        <f>COUNTIFS('Inji - Web - Test Cases'!A88:A1793,K100,'Inji - Web - Test Cases'!C88:C1793,"&lt;&gt;"&amp;"",'Inji - Web - Test Cases'!J88:J1793,"Fail")</f>
        <v>2</v>
      </c>
      <c r="O100" s="24">
        <f>COUNTIFS('Inji - Web - Test Cases'!A88:A1793,K100,'Inji - Web - Test Cases'!C88:C1793,"&lt;&gt;"&amp;"",'Inji - Web - Test Cases'!J88:J1793,"NA")</f>
        <v>0</v>
      </c>
      <c r="Q100" s="17"/>
      <c r="R100" s="17"/>
    </row>
    <row r="101" ht="14.25" customHeight="1">
      <c r="K101" s="31" t="str">
        <f>IFERROR(__xludf.DUMMYFUNCTION("""COMPUTED_VALUE"""),"INJIWEB-1704")</f>
        <v>INJIWEB-1704</v>
      </c>
      <c r="L101" s="26">
        <f>COUNTIFS('Inji - Web - Test Cases'!A88:A1797,K101,'Inji - Web - Test Cases'!C88:C1797,"&lt;&gt;"&amp;"")</f>
        <v>2</v>
      </c>
      <c r="M101" s="22">
        <f>COUNTIFS('Inji - Web - Test Cases'!A89:A1794,K101,'Inji - Web - Test Cases'!C89:C1794,"&lt;&gt;"&amp;"",'Inji - Web - Test Cases'!J89:J1794,"Pass")</f>
        <v>0</v>
      </c>
      <c r="N101" s="23">
        <f>COUNTIFS('Inji - Web - Test Cases'!A89:A1794,K101,'Inji - Web - Test Cases'!C89:C1794,"&lt;&gt;"&amp;"",'Inji - Web - Test Cases'!J89:J1794,"Fail")</f>
        <v>2</v>
      </c>
      <c r="O101" s="24">
        <f>COUNTIFS('Inji - Web - Test Cases'!A89:A1794,K101,'Inji - Web - Test Cases'!C89:C1794,"&lt;&gt;"&amp;"",'Inji - Web - Test Cases'!J89:J1794,"NA")</f>
        <v>0</v>
      </c>
      <c r="Q101" s="17"/>
      <c r="R101" s="17"/>
    </row>
    <row r="102" ht="14.25" customHeight="1">
      <c r="K102" s="31" t="str">
        <f>IFERROR(__xludf.DUMMYFUNCTION("""COMPUTED_VALUE"""),"INJIWEB-1712")</f>
        <v>INJIWEB-1712</v>
      </c>
      <c r="L102" s="26">
        <f>COUNTIFS('Inji - Web - Test Cases'!A89:A1798,K102,'Inji - Web - Test Cases'!C89:C1798,"&lt;&gt;"&amp;"")</f>
        <v>1</v>
      </c>
      <c r="M102" s="22">
        <f>COUNTIFS('Inji - Web - Test Cases'!A90:A1795,K102,'Inji - Web - Test Cases'!C90:C1795,"&lt;&gt;"&amp;"",'Inji - Web - Test Cases'!J90:J1795,"Pass")</f>
        <v>0</v>
      </c>
      <c r="N102" s="23">
        <f>COUNTIFS('Inji - Web - Test Cases'!A90:A1795,K102,'Inji - Web - Test Cases'!C90:C1795,"&lt;&gt;"&amp;"",'Inji - Web - Test Cases'!J90:J1795,"Fail")</f>
        <v>1</v>
      </c>
      <c r="O102" s="24">
        <f>COUNTIFS('Inji - Web - Test Cases'!A90:A1795,K102,'Inji - Web - Test Cases'!C90:C1795,"&lt;&gt;"&amp;"",'Inji - Web - Test Cases'!J90:J1795,"NA")</f>
        <v>0</v>
      </c>
      <c r="Q102" s="17"/>
      <c r="R102" s="17"/>
    </row>
    <row r="103" ht="14.25" customHeight="1">
      <c r="K103" s="31" t="str">
        <f>IFERROR(__xludf.DUMMYFUNCTION("""COMPUTED_VALUE"""),"INJIWEB-1711")</f>
        <v>INJIWEB-1711</v>
      </c>
      <c r="L103" s="26">
        <f>COUNTIFS('Inji - Web - Test Cases'!A90:A1799,K103,'Inji - Web - Test Cases'!C90:C1799,"&lt;&gt;"&amp;"")</f>
        <v>4</v>
      </c>
      <c r="M103" s="22">
        <f>COUNTIFS('Inji - Web - Test Cases'!A91:A1796,K103,'Inji - Web - Test Cases'!C91:C1796,"&lt;&gt;"&amp;"",'Inji - Web - Test Cases'!J91:J1796,"Pass")</f>
        <v>0</v>
      </c>
      <c r="N103" s="23">
        <f>COUNTIFS('Inji - Web - Test Cases'!A91:A1796,K103,'Inji - Web - Test Cases'!C91:C1796,"&lt;&gt;"&amp;"",'Inji - Web - Test Cases'!J91:J1796,"Fail")</f>
        <v>4</v>
      </c>
      <c r="O103" s="24">
        <f>COUNTIFS('Inji - Web - Test Cases'!A91:A1796,K103,'Inji - Web - Test Cases'!C91:C1796,"&lt;&gt;"&amp;"",'Inji - Web - Test Cases'!J91:J1796,"NA")</f>
        <v>0</v>
      </c>
    </row>
    <row r="104" ht="14.25" customHeight="1">
      <c r="K104" s="31" t="str">
        <f>IFERROR(__xludf.DUMMYFUNCTION("""COMPUTED_VALUE"""),"INJIWEB-1641")</f>
        <v>INJIWEB-1641</v>
      </c>
      <c r="L104" s="26">
        <f>COUNTIFS('Inji - Web - Test Cases'!A91:A1800,K104,'Inji - Web - Test Cases'!C91:C1800,"&lt;&gt;"&amp;"")</f>
        <v>14</v>
      </c>
      <c r="M104" s="22">
        <f>COUNTIFS('Inji - Web - Test Cases'!A92:A1797,K104,'Inji - Web - Test Cases'!C92:C1797,"&lt;&gt;"&amp;"",'Inji - Web - Test Cases'!J92:J1797,"Pass")</f>
        <v>14</v>
      </c>
      <c r="N104" s="23">
        <f>COUNTIFS('Inji - Web - Test Cases'!A92:A1797,K104,'Inji - Web - Test Cases'!C92:C1797,"&lt;&gt;"&amp;"",'Inji - Web - Test Cases'!J92:J1797,"Fail")</f>
        <v>0</v>
      </c>
      <c r="O104" s="24">
        <f>COUNTIFS('Inji - Web - Test Cases'!A92:A1797,K104,'Inji - Web - Test Cases'!C92:C1797,"&lt;&gt;"&amp;"",'Inji - Web - Test Cases'!J92:J1797,"NA")</f>
        <v>0</v>
      </c>
    </row>
    <row r="105" ht="14.25" customHeight="1">
      <c r="K105" s="31" t="str">
        <f>IFERROR(__xludf.DUMMYFUNCTION("""COMPUTED_VALUE"""),"INJIWEB-1721")</f>
        <v>INJIWEB-1721</v>
      </c>
      <c r="L105" s="26">
        <f>COUNTIFS('Inji - Web - Test Cases'!A92:A1801,K105,'Inji - Web - Test Cases'!C92:C1801,"&lt;&gt;"&amp;"")</f>
        <v>8</v>
      </c>
      <c r="M105" s="22">
        <f>COUNTIFS('Inji - Web - Test Cases'!A93:A1798,K105,'Inji - Web - Test Cases'!C93:C1798,"&lt;&gt;"&amp;"",'Inji - Web - Test Cases'!J93:J1798,"Pass")</f>
        <v>8</v>
      </c>
      <c r="N105" s="23">
        <f>COUNTIFS('Inji - Web - Test Cases'!A93:A1798,K105,'Inji - Web - Test Cases'!C93:C1798,"&lt;&gt;"&amp;"",'Inji - Web - Test Cases'!J93:J1798,"Fail")</f>
        <v>0</v>
      </c>
      <c r="O105" s="24">
        <f>COUNTIFS('Inji - Web - Test Cases'!A93:A1798,K105,'Inji - Web - Test Cases'!C93:C1798,"&lt;&gt;"&amp;"",'Inji - Web - Test Cases'!J93:J1798,"NA")</f>
        <v>0</v>
      </c>
    </row>
    <row r="106" ht="14.25" customHeight="1">
      <c r="K106" s="31" t="str">
        <f>IFERROR(__xludf.DUMMYFUNCTION("""COMPUTED_VALUE"""),"Injiweb-1621")</f>
        <v>Injiweb-1621</v>
      </c>
      <c r="L106" s="26">
        <f>COUNTIFS('Inji - Web - Test Cases'!A93:A1802,K106,'Inji - Web - Test Cases'!C93:C1802,"&lt;&gt;"&amp;"")</f>
        <v>16</v>
      </c>
      <c r="M106" s="22">
        <f>COUNTIFS('Inji - Web - Test Cases'!A94:A1799,K106,'Inji - Web - Test Cases'!C94:C1799,"&lt;&gt;"&amp;"",'Inji - Web - Test Cases'!J94:J1799,"Pass")</f>
        <v>16</v>
      </c>
      <c r="N106" s="23">
        <f>COUNTIFS('Inji - Web - Test Cases'!A94:A1799,K106,'Inji - Web - Test Cases'!C94:C1799,"&lt;&gt;"&amp;"",'Inji - Web - Test Cases'!J94:J1799,"Fail")</f>
        <v>0</v>
      </c>
      <c r="O106" s="24">
        <f>COUNTIFS('Inji - Web - Test Cases'!A94:A1799,K106,'Inji - Web - Test Cases'!C94:C1799,"&lt;&gt;"&amp;"",'Inji - Web - Test Cases'!J94:J1799,"NA")</f>
        <v>0</v>
      </c>
    </row>
    <row r="107" ht="14.25" customHeight="1">
      <c r="K107" s="31" t="str">
        <f>IFERROR(__xludf.DUMMYFUNCTION("""COMPUTED_VALUE"""),"INJIWEB-1580")</f>
        <v>INJIWEB-1580</v>
      </c>
      <c r="L107" s="26">
        <f>COUNTIFS('Inji - Web - Test Cases'!A94:A1803,K107,'Inji - Web - Test Cases'!C94:C1803,"&lt;&gt;"&amp;"")</f>
        <v>13</v>
      </c>
      <c r="M107" s="22">
        <f>COUNTIFS('Inji - Web - Test Cases'!A95:A1800,K107,'Inji - Web - Test Cases'!C95:C1800,"&lt;&gt;"&amp;"",'Inji - Web - Test Cases'!J95:J1800,"Pass")</f>
        <v>13</v>
      </c>
      <c r="N107" s="23">
        <f>COUNTIFS('Inji - Web - Test Cases'!A95:A1800,K107,'Inji - Web - Test Cases'!C95:C1800,"&lt;&gt;"&amp;"",'Inji - Web - Test Cases'!J95:J1800,"Fail")</f>
        <v>0</v>
      </c>
      <c r="O107" s="24">
        <f>COUNTIFS('Inji - Web - Test Cases'!A95:A1800,K107,'Inji - Web - Test Cases'!C95:C1800,"&lt;&gt;"&amp;"",'Inji - Web - Test Cases'!J95:J1800,"NA")</f>
        <v>0</v>
      </c>
    </row>
    <row r="108" ht="14.25" customHeight="1">
      <c r="K108" s="31" t="str">
        <f>IFERROR(__xludf.DUMMYFUNCTION("""COMPUTED_VALUE"""),"INJIWEB-1819")</f>
        <v>INJIWEB-1819</v>
      </c>
      <c r="L108" s="26">
        <f>COUNTIFS('Inji - Web - Test Cases'!A95:A1804,K108,'Inji - Web - Test Cases'!C95:C1804,"&lt;&gt;"&amp;"")</f>
        <v>20</v>
      </c>
      <c r="M108" s="22">
        <f>COUNTIFS('Inji - Web - Test Cases'!A96:A1801,K108,'Inji - Web - Test Cases'!C96:C1801,"&lt;&gt;"&amp;"",'Inji - Web - Test Cases'!J96:J1801,"Pass")</f>
        <v>20</v>
      </c>
      <c r="N108" s="23">
        <f>COUNTIFS('Inji - Web - Test Cases'!A96:A1801,K108,'Inji - Web - Test Cases'!C96:C1801,"&lt;&gt;"&amp;"",'Inji - Web - Test Cases'!J96:J1801,"Fail")</f>
        <v>0</v>
      </c>
      <c r="O108" s="24">
        <f>COUNTIFS('Inji - Web - Test Cases'!A96:A1801,K108,'Inji - Web - Test Cases'!C96:C1801,"&lt;&gt;"&amp;"",'Inji - Web - Test Cases'!J96:J1801,"NA")</f>
        <v>0</v>
      </c>
    </row>
    <row r="109" ht="14.25" customHeight="1">
      <c r="K109" s="31" t="str">
        <f>IFERROR(__xludf.DUMMYFUNCTION("""COMPUTED_VALUE"""),"INJIWEB-1649")</f>
        <v>INJIWEB-1649</v>
      </c>
      <c r="L109" s="26">
        <f>COUNTIFS('Inji - Web - Test Cases'!A96:A1805,K109,'Inji - Web - Test Cases'!C96:C1805,"&lt;&gt;"&amp;"")</f>
        <v>1</v>
      </c>
      <c r="M109" s="22">
        <f>COUNTIFS('Inji - Web - Test Cases'!A97:A1802,K109,'Inji - Web - Test Cases'!C97:C1802,"&lt;&gt;"&amp;"",'Inji - Web - Test Cases'!J97:J1802,"Pass")</f>
        <v>1</v>
      </c>
      <c r="N109" s="23">
        <f>COUNTIFS('Inji - Web - Test Cases'!A97:A1802,K109,'Inji - Web - Test Cases'!C97:C1802,"&lt;&gt;"&amp;"",'Inji - Web - Test Cases'!J97:J1802,"Fail")</f>
        <v>0</v>
      </c>
      <c r="O109" s="24">
        <f>COUNTIFS('Inji - Web - Test Cases'!A97:A1802,K109,'Inji - Web - Test Cases'!C97:C1802,"&lt;&gt;"&amp;"",'Inji - Web - Test Cases'!J97:J1802,"NA")</f>
        <v>0</v>
      </c>
    </row>
    <row r="110" ht="14.25" customHeight="1">
      <c r="K110" s="31" t="str">
        <f>IFERROR(__xludf.DUMMYFUNCTION("""COMPUTED_VALUE"""),"INJIWEB-1727")</f>
        <v>INJIWEB-1727</v>
      </c>
      <c r="L110" s="26">
        <f>COUNTIFS('Inji - Web - Test Cases'!A97:A1806,K110,'Inji - Web - Test Cases'!C97:C1806,"&lt;&gt;"&amp;"")</f>
        <v>1</v>
      </c>
      <c r="M110" s="22">
        <f>COUNTIFS('Inji - Web - Test Cases'!A98:A1803,K110,'Inji - Web - Test Cases'!C98:C1803,"&lt;&gt;"&amp;"",'Inji - Web - Test Cases'!J98:J1803,"Pass")</f>
        <v>0</v>
      </c>
      <c r="N110" s="23">
        <f>COUNTIFS('Inji - Web - Test Cases'!A98:A1803,K110,'Inji - Web - Test Cases'!C98:C1803,"&lt;&gt;"&amp;"",'Inji - Web - Test Cases'!J98:J1803,"Fail")</f>
        <v>1</v>
      </c>
      <c r="O110" s="24">
        <f>COUNTIFS('Inji - Web - Test Cases'!A98:A1803,K110,'Inji - Web - Test Cases'!C98:C1803,"&lt;&gt;"&amp;"",'Inji - Web - Test Cases'!J98:J1803,"NA")</f>
        <v>0</v>
      </c>
    </row>
    <row r="111" ht="14.25" customHeight="1">
      <c r="K111" s="31" t="str">
        <f>IFERROR(__xludf.DUMMYFUNCTION("""COMPUTED_VALUE"""),"INJIWEB-1676")</f>
        <v>INJIWEB-1676</v>
      </c>
      <c r="L111" s="26">
        <f>COUNTIFS('Inji - Web - Test Cases'!A98:A1807,K111,'Inji - Web - Test Cases'!C98:C1807,"&lt;&gt;"&amp;"")</f>
        <v>1</v>
      </c>
      <c r="M111" s="22">
        <f>COUNTIFS('Inji - Web - Test Cases'!A99:A1804,K111,'Inji - Web - Test Cases'!C99:C1804,"&lt;&gt;"&amp;"",'Inji - Web - Test Cases'!J99:J1804,"Pass")</f>
        <v>0</v>
      </c>
      <c r="N111" s="23">
        <f>COUNTIFS('Inji - Web - Test Cases'!A99:A1804,K111,'Inji - Web - Test Cases'!C99:C1804,"&lt;&gt;"&amp;"",'Inji - Web - Test Cases'!J99:J1804,"Fail")</f>
        <v>1</v>
      </c>
      <c r="O111" s="24">
        <f>COUNTIFS('Inji - Web - Test Cases'!A99:A1804,K111,'Inji - Web - Test Cases'!C99:C1804,"&lt;&gt;"&amp;"",'Inji - Web - Test Cases'!J99:J1804,"NA")</f>
        <v>0</v>
      </c>
    </row>
    <row r="112" ht="14.25" customHeight="1">
      <c r="K112" s="31" t="str">
        <f>IFERROR(__xludf.DUMMYFUNCTION("""COMPUTED_VALUE"""),"INJIWEB-1674")</f>
        <v>INJIWEB-1674</v>
      </c>
      <c r="L112" s="26">
        <f>COUNTIFS('Inji - Web - Test Cases'!A99:A1808,K112,'Inji - Web - Test Cases'!C99:C1808,"&lt;&gt;"&amp;"")</f>
        <v>1</v>
      </c>
      <c r="M112" s="22">
        <f>COUNTIFS('Inji - Web - Test Cases'!A100:A1805,K112,'Inji - Web - Test Cases'!C100:C1805,"&lt;&gt;"&amp;"",'Inji - Web - Test Cases'!J100:J1805,"Pass")</f>
        <v>0</v>
      </c>
      <c r="N112" s="23">
        <f>COUNTIFS('Inji - Web - Test Cases'!A100:A1805,K112,'Inji - Web - Test Cases'!C100:C1805,"&lt;&gt;"&amp;"",'Inji - Web - Test Cases'!J100:J1805,"Fail")</f>
        <v>1</v>
      </c>
      <c r="O112" s="24">
        <f>COUNTIFS('Inji - Web - Test Cases'!A100:A1805,K112,'Inji - Web - Test Cases'!C100:C1805,"&lt;&gt;"&amp;"",'Inji - Web - Test Cases'!J100:J1805,"NA")</f>
        <v>0</v>
      </c>
    </row>
    <row r="113" ht="14.25" customHeight="1">
      <c r="K113" s="31" t="str">
        <f>IFERROR(__xludf.DUMMYFUNCTION("""COMPUTED_VALUE"""),"INJIWEB-1802")</f>
        <v>INJIWEB-1802</v>
      </c>
      <c r="L113" s="26">
        <f>COUNTIFS('Inji - Web - Test Cases'!A100:A1809,K113,'Inji - Web - Test Cases'!C100:C1809,"&lt;&gt;"&amp;"")</f>
        <v>1</v>
      </c>
      <c r="M113" s="22">
        <f>COUNTIFS('Inji - Web - Test Cases'!A101:A1806,K113,'Inji - Web - Test Cases'!C101:C1806,"&lt;&gt;"&amp;"",'Inji - Web - Test Cases'!J101:J1806,"Pass")</f>
        <v>0</v>
      </c>
      <c r="N113" s="23">
        <f>COUNTIFS('Inji - Web - Test Cases'!A101:A1806,K113,'Inji - Web - Test Cases'!C101:C1806,"&lt;&gt;"&amp;"",'Inji - Web - Test Cases'!J101:J1806,"Fail")</f>
        <v>1</v>
      </c>
      <c r="O113" s="24">
        <f>COUNTIFS('Inji - Web - Test Cases'!A101:A1806,K113,'Inji - Web - Test Cases'!C101:C1806,"&lt;&gt;"&amp;"",'Inji - Web - Test Cases'!J101:J1806,"NA")</f>
        <v>0</v>
      </c>
    </row>
    <row r="114" ht="14.25" customHeight="1">
      <c r="K114" s="31" t="str">
        <f>IFERROR(__xludf.DUMMYFUNCTION("""COMPUTED_VALUE"""),"INJIWEB-1834")</f>
        <v>INJIWEB-1834</v>
      </c>
      <c r="L114" s="26">
        <f>COUNTIFS('Inji - Web - Test Cases'!A101:A1810,K114,'Inji - Web - Test Cases'!C101:C1810,"&lt;&gt;"&amp;"")</f>
        <v>1</v>
      </c>
      <c r="M114" s="22">
        <f>COUNTIFS('Inji - Web - Test Cases'!A102:A1807,K114,'Inji - Web - Test Cases'!C102:C1807,"&lt;&gt;"&amp;"",'Inji - Web - Test Cases'!J102:J1807,"Pass")</f>
        <v>0</v>
      </c>
      <c r="N114" s="23">
        <f>COUNTIFS('Inji - Web - Test Cases'!A102:A1807,K114,'Inji - Web - Test Cases'!C102:C1807,"&lt;&gt;"&amp;"",'Inji - Web - Test Cases'!J102:J1807,"Fail")</f>
        <v>1</v>
      </c>
      <c r="O114" s="24">
        <f>COUNTIFS('Inji - Web - Test Cases'!A102:A1807,K114,'Inji - Web - Test Cases'!C102:C1807,"&lt;&gt;"&amp;"",'Inji - Web - Test Cases'!J102:J1807,"NA")</f>
        <v>0</v>
      </c>
    </row>
    <row r="115" ht="14.25" customHeight="1">
      <c r="K115" s="31" t="str">
        <f>IFERROR(__xludf.DUMMYFUNCTION("""COMPUTED_VALUE"""),"INJIWEB-1854")</f>
        <v>INJIWEB-1854</v>
      </c>
      <c r="L115" s="26">
        <f>COUNTIFS('Inji - Web - Test Cases'!A102:A1811,K115,'Inji - Web - Test Cases'!C102:C1811,"&lt;&gt;"&amp;"")</f>
        <v>1</v>
      </c>
      <c r="M115" s="22">
        <f>COUNTIFS('Inji - Web - Test Cases'!A103:A1808,K115,'Inji - Web - Test Cases'!C103:C1808,"&lt;&gt;"&amp;"",'Inji - Web - Test Cases'!J103:J1808,"Pass")</f>
        <v>0</v>
      </c>
      <c r="N115" s="23">
        <f>COUNTIFS('Inji - Web - Test Cases'!A103:A1808,K115,'Inji - Web - Test Cases'!C103:C1808,"&lt;&gt;"&amp;"",'Inji - Web - Test Cases'!J103:J1808,"Fail")</f>
        <v>1</v>
      </c>
      <c r="O115" s="24">
        <f>COUNTIFS('Inji - Web - Test Cases'!A103:A1808,K115,'Inji - Web - Test Cases'!C103:C1808,"&lt;&gt;"&amp;"",'Inji - Web - Test Cases'!J103:J1808,"NA")</f>
        <v>0</v>
      </c>
    </row>
    <row r="116" ht="14.25" customHeight="1">
      <c r="K116" s="31" t="str">
        <f>IFERROR(__xludf.DUMMYFUNCTION("""COMPUTED_VALUE"""),"INJIWEB-1806")</f>
        <v>INJIWEB-1806</v>
      </c>
      <c r="L116" s="26">
        <f>COUNTIFS('Inji - Web - Test Cases'!A103:A1812,K116,'Inji - Web - Test Cases'!C103:C1812,"&lt;&gt;"&amp;"")</f>
        <v>1</v>
      </c>
      <c r="M116" s="22">
        <f>COUNTIFS('Inji - Web - Test Cases'!A104:A1809,K116,'Inji - Web - Test Cases'!C104:C1809,"&lt;&gt;"&amp;"",'Inji - Web - Test Cases'!J104:J1809,"Pass")</f>
        <v>0</v>
      </c>
      <c r="N116" s="23">
        <f>COUNTIFS('Inji - Web - Test Cases'!A104:A1809,K116,'Inji - Web - Test Cases'!C104:C1809,"&lt;&gt;"&amp;"",'Inji - Web - Test Cases'!J104:J1809,"Fail")</f>
        <v>1</v>
      </c>
      <c r="O116" s="24">
        <f>COUNTIFS('Inji - Web - Test Cases'!A104:A1809,K116,'Inji - Web - Test Cases'!C104:C1809,"&lt;&gt;"&amp;"",'Inji - Web - Test Cases'!J104:J1809,"NA")</f>
        <v>0</v>
      </c>
    </row>
    <row r="117" ht="14.25" customHeight="1">
      <c r="K117" s="31" t="str">
        <f>IFERROR(__xludf.DUMMYFUNCTION("""COMPUTED_VALUE"""),"INJIWEB-1804")</f>
        <v>INJIWEB-1804</v>
      </c>
      <c r="L117" s="26">
        <f>COUNTIFS('Inji - Web - Test Cases'!A104:A1813,K117,'Inji - Web - Test Cases'!C104:C1813,"&lt;&gt;"&amp;"")</f>
        <v>1</v>
      </c>
      <c r="M117" s="22">
        <f>COUNTIFS('Inji - Web - Test Cases'!A105:A1810,K117,'Inji - Web - Test Cases'!C105:C1810,"&lt;&gt;"&amp;"",'Inji - Web - Test Cases'!J105:J1810,"Pass")</f>
        <v>0</v>
      </c>
      <c r="N117" s="23">
        <f>COUNTIFS('Inji - Web - Test Cases'!A105:A1810,K117,'Inji - Web - Test Cases'!C105:C1810,"&lt;&gt;"&amp;"",'Inji - Web - Test Cases'!J105:J1810,"Fail")</f>
        <v>1</v>
      </c>
      <c r="O117" s="24">
        <f>COUNTIFS('Inji - Web - Test Cases'!A105:A1810,K117,'Inji - Web - Test Cases'!C105:C1810,"&lt;&gt;"&amp;"",'Inji - Web - Test Cases'!J105:J1810,"NA")</f>
        <v>0</v>
      </c>
    </row>
    <row r="118" ht="14.25" customHeight="1">
      <c r="K118" s="31" t="str">
        <f>IFERROR(__xludf.DUMMYFUNCTION("""COMPUTED_VALUE"""),"INJIWEB-1805")</f>
        <v>INJIWEB-1805</v>
      </c>
      <c r="L118" s="26">
        <f>COUNTIFS('Inji - Web - Test Cases'!A105:A1814,K118,'Inji - Web - Test Cases'!C105:C1814,"&lt;&gt;"&amp;"")</f>
        <v>1</v>
      </c>
      <c r="M118" s="22">
        <f>COUNTIFS('Inji - Web - Test Cases'!A106:A1811,K118,'Inji - Web - Test Cases'!C106:C1811,"&lt;&gt;"&amp;"",'Inji - Web - Test Cases'!J106:J1811,"Pass")</f>
        <v>0</v>
      </c>
      <c r="N118" s="23">
        <f>COUNTIFS('Inji - Web - Test Cases'!A106:A1811,K118,'Inji - Web - Test Cases'!C106:C1811,"&lt;&gt;"&amp;"",'Inji - Web - Test Cases'!J106:J1811,"Fail")</f>
        <v>1</v>
      </c>
      <c r="O118" s="24">
        <f>COUNTIFS('Inji - Web - Test Cases'!A106:A1811,K118,'Inji - Web - Test Cases'!C106:C1811,"&lt;&gt;"&amp;"",'Inji - Web - Test Cases'!J106:J1811,"NA")</f>
        <v>0</v>
      </c>
    </row>
    <row r="119" ht="14.25" customHeight="1">
      <c r="K119" s="31" t="str">
        <f>IFERROR(__xludf.DUMMYFUNCTION("""COMPUTED_VALUE"""),"INJIWEB-1809")</f>
        <v>INJIWEB-1809</v>
      </c>
      <c r="L119" s="26">
        <f>COUNTIFS('Inji - Web - Test Cases'!A106:A1815,K119,'Inji - Web - Test Cases'!C106:C1815,"&lt;&gt;"&amp;"")</f>
        <v>1</v>
      </c>
      <c r="M119" s="22">
        <f>COUNTIFS('Inji - Web - Test Cases'!A107:A1812,K119,'Inji - Web - Test Cases'!C107:C1812,"&lt;&gt;"&amp;"",'Inji - Web - Test Cases'!J107:J1812,"Pass")</f>
        <v>1</v>
      </c>
      <c r="N119" s="23">
        <f>COUNTIFS('Inji - Web - Test Cases'!A107:A1812,K119,'Inji - Web - Test Cases'!C107:C1812,"&lt;&gt;"&amp;"",'Inji - Web - Test Cases'!J107:J1812,"Fail")</f>
        <v>0</v>
      </c>
      <c r="O119" s="24">
        <f>COUNTIFS('Inji - Web - Test Cases'!A107:A1812,K119,'Inji - Web - Test Cases'!C107:C1812,"&lt;&gt;"&amp;"",'Inji - Web - Test Cases'!J107:J1812,"NA")</f>
        <v>0</v>
      </c>
    </row>
    <row r="120" ht="14.25" customHeight="1">
      <c r="K120" s="31" t="str">
        <f>IFERROR(__xludf.DUMMYFUNCTION("""COMPUTED_VALUE"""),"INJIWEB-1833")</f>
        <v>INJIWEB-1833</v>
      </c>
      <c r="L120" s="26">
        <f>COUNTIFS('Inji - Web - Test Cases'!A107:A1816,K120,'Inji - Web - Test Cases'!C107:C1816,"&lt;&gt;"&amp;"")</f>
        <v>1</v>
      </c>
      <c r="M120" s="22">
        <f>COUNTIFS('Inji - Web - Test Cases'!A108:A1813,K120,'Inji - Web - Test Cases'!C108:C1813,"&lt;&gt;"&amp;"",'Inji - Web - Test Cases'!J108:J1813,"Pass")</f>
        <v>1</v>
      </c>
      <c r="N120" s="23">
        <f>COUNTIFS('Inji - Web - Test Cases'!A108:A1813,K120,'Inji - Web - Test Cases'!C108:C1813,"&lt;&gt;"&amp;"",'Inji - Web - Test Cases'!J108:J1813,"Fail")</f>
        <v>0</v>
      </c>
      <c r="O120" s="24">
        <f>COUNTIFS('Inji - Web - Test Cases'!A108:A1813,K120,'Inji - Web - Test Cases'!C108:C1813,"&lt;&gt;"&amp;"",'Inji - Web - Test Cases'!J108:J1813,"NA")</f>
        <v>0</v>
      </c>
    </row>
    <row r="121" ht="14.25" customHeight="1">
      <c r="K121" s="31" t="str">
        <f>IFERROR(__xludf.DUMMYFUNCTION("""COMPUTED_VALUE"""),"INJIWEB-1828")</f>
        <v>INJIWEB-1828</v>
      </c>
      <c r="L121" s="26">
        <f>COUNTIFS('Inji - Web - Test Cases'!A108:A1817,K121,'Inji - Web - Test Cases'!C108:C1817,"&lt;&gt;"&amp;"")</f>
        <v>1</v>
      </c>
      <c r="M121" s="22">
        <f>COUNTIFS('Inji - Web - Test Cases'!A109:A1814,K121,'Inji - Web - Test Cases'!C109:C1814,"&lt;&gt;"&amp;"",'Inji - Web - Test Cases'!J109:J1814,"Pass")</f>
        <v>1</v>
      </c>
      <c r="N121" s="23">
        <f>COUNTIFS('Inji - Web - Test Cases'!A109:A1814,K121,'Inji - Web - Test Cases'!C109:C1814,"&lt;&gt;"&amp;"",'Inji - Web - Test Cases'!J109:J1814,"Fail")</f>
        <v>0</v>
      </c>
      <c r="O121" s="24">
        <f>COUNTIFS('Inji - Web - Test Cases'!A109:A1814,K121,'Inji - Web - Test Cases'!C109:C1814,"&lt;&gt;"&amp;"",'Inji - Web - Test Cases'!J109:J1814,"NA")</f>
        <v>0</v>
      </c>
    </row>
    <row r="122" ht="14.25" customHeight="1">
      <c r="K122" s="31" t="str">
        <f>IFERROR(__xludf.DUMMYFUNCTION("""COMPUTED_VALUE"""),"INJIWEB-1590")</f>
        <v>INJIWEB-1590</v>
      </c>
      <c r="L122" s="26">
        <f>COUNTIFS('Inji - Web - Test Cases'!A109:A1818,K122,'Inji - Web - Test Cases'!C109:C1818,"&lt;&gt;"&amp;"")</f>
        <v>1</v>
      </c>
      <c r="M122" s="22">
        <f>COUNTIFS('Inji - Web - Test Cases'!A110:A1815,K122,'Inji - Web - Test Cases'!C110:C1815,"&lt;&gt;"&amp;"",'Inji - Web - Test Cases'!J110:J1815,"Pass")</f>
        <v>0</v>
      </c>
      <c r="N122" s="23">
        <f>COUNTIFS('Inji - Web - Test Cases'!A110:A1815,K122,'Inji - Web - Test Cases'!C110:C1815,"&lt;&gt;"&amp;"",'Inji - Web - Test Cases'!J110:J1815,"Fail")</f>
        <v>1</v>
      </c>
      <c r="O122" s="24">
        <f>COUNTIFS('Inji - Web - Test Cases'!A110:A1815,K122,'Inji - Web - Test Cases'!C110:C1815,"&lt;&gt;"&amp;"",'Inji - Web - Test Cases'!J110:J1815,"NA")</f>
        <v>0</v>
      </c>
    </row>
    <row r="123" ht="14.25" customHeight="1">
      <c r="K123" s="31" t="str">
        <f>IFERROR(__xludf.DUMMYFUNCTION("""COMPUTED_VALUE"""),"INJIWEB-1757")</f>
        <v>INJIWEB-1757</v>
      </c>
      <c r="L123" s="26">
        <f>COUNTIFS('Inji - Web - Test Cases'!A110:A1819,K123,'Inji - Web - Test Cases'!C110:C1819,"&lt;&gt;"&amp;"")</f>
        <v>1</v>
      </c>
      <c r="M123" s="22">
        <f>COUNTIFS('Inji - Web - Test Cases'!A111:A1816,K123,'Inji - Web - Test Cases'!C111:C1816,"&lt;&gt;"&amp;"",'Inji - Web - Test Cases'!J111:J1816,"Pass")</f>
        <v>0</v>
      </c>
      <c r="N123" s="23">
        <f>COUNTIFS('Inji - Web - Test Cases'!A111:A1816,K123,'Inji - Web - Test Cases'!C111:C1816,"&lt;&gt;"&amp;"",'Inji - Web - Test Cases'!J111:J1816,"Fail")</f>
        <v>1</v>
      </c>
      <c r="O123" s="24">
        <f>COUNTIFS('Inji - Web - Test Cases'!A111:A1816,K123,'Inji - Web - Test Cases'!C111:C1816,"&lt;&gt;"&amp;"",'Inji - Web - Test Cases'!J111:J1816,"NA")</f>
        <v>0</v>
      </c>
    </row>
    <row r="124" ht="14.25" customHeight="1">
      <c r="K124" s="31" t="str">
        <f>IFERROR(__xludf.DUMMYFUNCTION("""COMPUTED_VALUE"""),"INJIWEB-1694")</f>
        <v>INJIWEB-1694</v>
      </c>
      <c r="L124" s="26">
        <f>COUNTIFS('Inji - Web - Test Cases'!A111:A1820,K124,'Inji - Web - Test Cases'!C111:C1820,"&lt;&gt;"&amp;"")</f>
        <v>1</v>
      </c>
      <c r="M124" s="22">
        <f>COUNTIFS('Inji - Web - Test Cases'!A112:A1817,K124,'Inji - Web - Test Cases'!C112:C1817,"&lt;&gt;"&amp;"",'Inji - Web - Test Cases'!J112:J1817,"Pass")</f>
        <v>0</v>
      </c>
      <c r="N124" s="23">
        <f>COUNTIFS('Inji - Web - Test Cases'!A112:A1817,K124,'Inji - Web - Test Cases'!C112:C1817,"&lt;&gt;"&amp;"",'Inji - Web - Test Cases'!J112:J1817,"Fail")</f>
        <v>1</v>
      </c>
      <c r="O124" s="24">
        <f>COUNTIFS('Inji - Web - Test Cases'!A112:A1817,K124,'Inji - Web - Test Cases'!C112:C1817,"&lt;&gt;"&amp;"",'Inji - Web - Test Cases'!J112:J1817,"NA")</f>
        <v>0</v>
      </c>
    </row>
    <row r="125" ht="14.25" customHeight="1">
      <c r="K125" s="31" t="str">
        <f>IFERROR(__xludf.DUMMYFUNCTION("""COMPUTED_VALUE"""),"INJIWEB-1832")</f>
        <v>INJIWEB-1832</v>
      </c>
      <c r="L125" s="26">
        <f>COUNTIFS('Inji - Web - Test Cases'!A112:A1821,K125,'Inji - Web - Test Cases'!C112:C1821,"&lt;&gt;"&amp;"")</f>
        <v>1</v>
      </c>
      <c r="M125" s="22">
        <f>COUNTIFS('Inji - Web - Test Cases'!A113:A1818,K125,'Inji - Web - Test Cases'!C113:C1818,"&lt;&gt;"&amp;"",'Inji - Web - Test Cases'!J113:J1818,"Pass")</f>
        <v>1</v>
      </c>
      <c r="N125" s="23">
        <f>COUNTIFS('Inji - Web - Test Cases'!A113:A1818,K125,'Inji - Web - Test Cases'!C113:C1818,"&lt;&gt;"&amp;"",'Inji - Web - Test Cases'!J113:J1818,"Fail")</f>
        <v>0</v>
      </c>
      <c r="O125" s="24">
        <f>COUNTIFS('Inji - Web - Test Cases'!A113:A1818,K125,'Inji - Web - Test Cases'!C113:C1818,"&lt;&gt;"&amp;"",'Inji - Web - Test Cases'!J113:J1818,"NA")</f>
        <v>0</v>
      </c>
    </row>
    <row r="126" ht="14.25" customHeight="1">
      <c r="K126" s="31" t="str">
        <f>IFERROR(__xludf.DUMMYFUNCTION("""COMPUTED_VALUE"""),"InjIWEB-1199")</f>
        <v>InjIWEB-1199</v>
      </c>
      <c r="L126" s="26">
        <f>COUNTIFS('Inji - Web - Test Cases'!A113:A1822,K126,'Inji - Web - Test Cases'!C113:C1822,"&lt;&gt;"&amp;"")</f>
        <v>1</v>
      </c>
      <c r="M126" s="22">
        <f>COUNTIFS('Inji - Web - Test Cases'!A114:A1819,K126,'Inji - Web - Test Cases'!C114:C1819,"&lt;&gt;"&amp;"",'Inji - Web - Test Cases'!J114:J1819,"Pass")</f>
        <v>1</v>
      </c>
      <c r="N126" s="23">
        <f>COUNTIFS('Inji - Web - Test Cases'!A114:A1819,K126,'Inji - Web - Test Cases'!C114:C1819,"&lt;&gt;"&amp;"",'Inji - Web - Test Cases'!J114:J1819,"Fail")</f>
        <v>0</v>
      </c>
      <c r="O126" s="24">
        <f>COUNTIFS('Inji - Web - Test Cases'!A114:A1819,K126,'Inji - Web - Test Cases'!C114:C1819,"&lt;&gt;"&amp;"",'Inji - Web - Test Cases'!J114:J1819,"NA")</f>
        <v>0</v>
      </c>
    </row>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3"/>
    <mergeCell ref="D2:F2"/>
    <mergeCell ref="G2:I2"/>
    <mergeCell ref="K2:O2"/>
    <mergeCell ref="L3:O3"/>
    <mergeCell ref="B10:I10"/>
    <mergeCell ref="B11:I11"/>
    <mergeCell ref="B12:I12"/>
  </mergeCells>
  <conditionalFormatting sqref="Q29">
    <cfRule type="notContainsBlanks" dxfId="0" priority="1">
      <formula>LEN(TRIM(Q29))&gt;0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6" width="5.29"/>
  </cols>
  <sheetData>
    <row r="2">
      <c r="B2" s="54" t="s">
        <v>24</v>
      </c>
      <c r="C2" s="55"/>
      <c r="D2" s="55"/>
      <c r="E2" s="55"/>
      <c r="F2" s="55"/>
      <c r="G2" s="55"/>
      <c r="H2" s="55"/>
      <c r="I2" s="56"/>
    </row>
    <row r="3">
      <c r="B3" s="57" t="s">
        <v>0</v>
      </c>
      <c r="C3" s="58" t="s">
        <v>7</v>
      </c>
      <c r="D3" s="4"/>
      <c r="E3" s="4"/>
      <c r="F3" s="5"/>
      <c r="G3" s="59" t="s">
        <v>10</v>
      </c>
      <c r="H3" s="59" t="s">
        <v>11</v>
      </c>
      <c r="I3" s="59" t="s">
        <v>25</v>
      </c>
    </row>
    <row r="4">
      <c r="B4" s="19" t="s">
        <v>26</v>
      </c>
      <c r="C4" s="60">
        <v>28.0</v>
      </c>
      <c r="D4" s="4"/>
      <c r="E4" s="4"/>
      <c r="F4" s="5"/>
      <c r="G4" s="22">
        <v>28.0</v>
      </c>
      <c r="H4" s="23">
        <v>0.0</v>
      </c>
      <c r="I4" s="24">
        <v>0.0</v>
      </c>
    </row>
    <row r="5">
      <c r="B5" s="27"/>
      <c r="C5" s="61"/>
      <c r="D5" s="4"/>
      <c r="E5" s="4"/>
      <c r="F5" s="5"/>
      <c r="G5" s="28"/>
      <c r="H5" s="29"/>
      <c r="I5" s="30"/>
    </row>
    <row r="6">
      <c r="B6" s="32" t="s">
        <v>7</v>
      </c>
      <c r="C6" s="62">
        <f>SUM(C4:F5)</f>
        <v>28</v>
      </c>
      <c r="D6" s="4"/>
      <c r="E6" s="4"/>
      <c r="F6" s="5"/>
      <c r="G6" s="33">
        <f t="shared" ref="G6:I6" si="1">SUM(G3:G5)</f>
        <v>28</v>
      </c>
      <c r="H6" s="34">
        <f t="shared" si="1"/>
        <v>0</v>
      </c>
      <c r="I6" s="35">
        <f t="shared" si="1"/>
        <v>0</v>
      </c>
    </row>
    <row r="7">
      <c r="I7" s="41"/>
    </row>
    <row r="8">
      <c r="B8" s="44" t="str">
        <f>"Functional Testing - Stories Verified : " &amp; C6</f>
        <v>Functional Testing - Stories Verified : 28</v>
      </c>
      <c r="C8" s="45"/>
      <c r="D8" s="45"/>
      <c r="E8" s="45"/>
      <c r="F8" s="45"/>
      <c r="G8" s="45"/>
      <c r="H8" s="45"/>
      <c r="I8" s="46"/>
    </row>
    <row r="9">
      <c r="B9" s="47" t="str">
        <f>"Test cases : " &amp; C6 &amp; "      Passed : "&amp; G6 &amp; "     Failed : " &amp; H6 &amp; "    Skipped : " &amp; I6</f>
        <v>Test cases : 28      Passed : 28     Failed : 0    Skipped : 0</v>
      </c>
      <c r="C9" s="48"/>
      <c r="D9" s="48"/>
      <c r="E9" s="48"/>
      <c r="F9" s="48"/>
      <c r="G9" s="48"/>
      <c r="H9" s="48"/>
      <c r="I9" s="49"/>
    </row>
    <row r="10">
      <c r="B10" s="50" t="str">
        <f>"Test Rate : " &amp; INT((((G6+H6)/C6)*100)) &amp; "%     With Pass Rate : " &amp; INT((G6/(G6+H6))*100)  &amp; "%"</f>
        <v>Test Rate : 100%     With Pass Rate : 100%</v>
      </c>
      <c r="C10" s="51"/>
      <c r="D10" s="51"/>
      <c r="E10" s="51"/>
      <c r="F10" s="51"/>
      <c r="G10" s="51"/>
      <c r="H10" s="51"/>
      <c r="I10" s="52"/>
    </row>
    <row r="11">
      <c r="B11" s="63"/>
      <c r="C11" s="63"/>
      <c r="D11" s="63"/>
    </row>
    <row r="12" ht="15.0" customHeight="1">
      <c r="B12" s="64" t="s">
        <v>27</v>
      </c>
      <c r="C12" s="65"/>
      <c r="D12" s="65"/>
      <c r="E12" s="65"/>
      <c r="F12" s="65"/>
      <c r="G12" s="65"/>
      <c r="H12" s="65"/>
      <c r="I12" s="65"/>
      <c r="J12" s="66"/>
    </row>
    <row r="13">
      <c r="B13" s="67" t="s">
        <v>0</v>
      </c>
      <c r="C13" s="68" t="s">
        <v>7</v>
      </c>
      <c r="D13" s="69"/>
      <c r="E13" s="69"/>
      <c r="F13" s="70"/>
      <c r="G13" s="59" t="s">
        <v>10</v>
      </c>
      <c r="H13" s="59" t="s">
        <v>11</v>
      </c>
      <c r="I13" s="59" t="s">
        <v>25</v>
      </c>
      <c r="J13" s="71" t="s">
        <v>28</v>
      </c>
    </row>
    <row r="14">
      <c r="B14" s="72" t="s">
        <v>29</v>
      </c>
      <c r="C14" s="61">
        <v>349.0</v>
      </c>
      <c r="D14" s="4"/>
      <c r="E14" s="4"/>
      <c r="F14" s="5"/>
      <c r="G14" s="22">
        <v>312.0</v>
      </c>
      <c r="H14" s="23">
        <v>0.0</v>
      </c>
      <c r="I14" s="24">
        <v>33.0</v>
      </c>
      <c r="J14" s="73">
        <v>4.0</v>
      </c>
    </row>
    <row r="15">
      <c r="B15" s="74"/>
      <c r="C15" s="61"/>
      <c r="D15" s="4"/>
      <c r="E15" s="4"/>
      <c r="F15" s="5"/>
      <c r="G15" s="28"/>
      <c r="H15" s="29"/>
      <c r="I15" s="30"/>
      <c r="J15" s="75"/>
    </row>
    <row r="16">
      <c r="B16" s="76" t="s">
        <v>7</v>
      </c>
      <c r="C16" s="77">
        <f>SUM(C14:F15)</f>
        <v>349</v>
      </c>
      <c r="D16" s="78"/>
      <c r="E16" s="78"/>
      <c r="F16" s="79"/>
      <c r="G16" s="80">
        <f t="shared" ref="G16:J16" si="2">SUM(G13:G15)</f>
        <v>312</v>
      </c>
      <c r="H16" s="81">
        <f t="shared" si="2"/>
        <v>0</v>
      </c>
      <c r="I16" s="82">
        <f t="shared" si="2"/>
        <v>33</v>
      </c>
      <c r="J16" s="83">
        <f t="shared" si="2"/>
        <v>4</v>
      </c>
    </row>
    <row r="17">
      <c r="I17" s="41"/>
    </row>
    <row r="18">
      <c r="B18" s="44" t="str">
        <f>"Functional Testing - Stories Verified : " &amp; C16</f>
        <v>Functional Testing - Stories Verified : 349</v>
      </c>
      <c r="C18" s="45"/>
      <c r="D18" s="45"/>
      <c r="E18" s="45"/>
      <c r="F18" s="45"/>
      <c r="G18" s="45"/>
      <c r="H18" s="45"/>
      <c r="I18" s="46"/>
    </row>
    <row r="19">
      <c r="B19" s="47" t="str">
        <f>"Test cases : " &amp; C16 &amp; "      Passed : "&amp; G16 &amp; "     Failed : " &amp; H16 &amp; "    Skipped : " &amp; I16 &amp;"     Known Issues : "&amp; J16</f>
        <v>Test cases : 349      Passed : 312     Failed : 0    Skipped : 33     Known Issues : 4</v>
      </c>
      <c r="C19" s="48"/>
      <c r="D19" s="48"/>
      <c r="E19" s="48"/>
      <c r="F19" s="48"/>
      <c r="G19" s="48"/>
      <c r="H19" s="48"/>
      <c r="I19" s="49"/>
    </row>
    <row r="20">
      <c r="B20" s="50" t="str">
        <f>"Test Rate : " &amp; INT((((G16+H16)/C16)*100)) &amp; "%     With Pass Rate : " &amp; INT((G16/(G16+H16))*100)  &amp; "%"</f>
        <v>Test Rate : 89%     With Pass Rate : 100%</v>
      </c>
      <c r="C20" s="51"/>
      <c r="D20" s="51"/>
      <c r="E20" s="51"/>
      <c r="F20" s="51"/>
      <c r="G20" s="51"/>
      <c r="H20" s="51"/>
      <c r="I20"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C3:F3"/>
    <mergeCell ref="C4:F4"/>
    <mergeCell ref="C5:F5"/>
    <mergeCell ref="C6:F6"/>
    <mergeCell ref="B8:I8"/>
    <mergeCell ref="B9:I9"/>
    <mergeCell ref="B19:I19"/>
    <mergeCell ref="B20:I20"/>
    <mergeCell ref="B10:I10"/>
    <mergeCell ref="B12:J12"/>
    <mergeCell ref="C13:F13"/>
    <mergeCell ref="C14:F14"/>
    <mergeCell ref="C15:F15"/>
    <mergeCell ref="C16:F16"/>
    <mergeCell ref="B18:I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14"/>
    <col customWidth="1" min="2" max="2" width="13.43"/>
    <col customWidth="1" min="3" max="3" width="10.43"/>
    <col customWidth="1" min="4" max="6" width="14.43"/>
  </cols>
  <sheetData>
    <row r="1">
      <c r="A1" s="84" t="s">
        <v>30</v>
      </c>
      <c r="B1" s="84" t="s">
        <v>17</v>
      </c>
      <c r="C1" s="85" t="s">
        <v>7</v>
      </c>
      <c r="D1" s="86" t="s">
        <v>10</v>
      </c>
      <c r="E1" s="86" t="s">
        <v>11</v>
      </c>
      <c r="F1" s="87"/>
      <c r="G1" s="87"/>
      <c r="H1" s="87"/>
      <c r="I1" s="87"/>
      <c r="J1" s="87"/>
      <c r="K1" s="87"/>
      <c r="L1" s="87"/>
      <c r="M1" s="87"/>
      <c r="N1" s="87"/>
    </row>
    <row r="2">
      <c r="A2" s="88" t="s">
        <v>31</v>
      </c>
      <c r="B2" s="89" t="s">
        <v>10</v>
      </c>
      <c r="C2" s="85">
        <v>177.0</v>
      </c>
      <c r="D2" s="85">
        <v>160.0</v>
      </c>
      <c r="E2" s="85">
        <v>17.0</v>
      </c>
      <c r="F2" s="87"/>
      <c r="G2" s="87"/>
      <c r="H2" s="87"/>
      <c r="I2" s="87"/>
      <c r="J2" s="87"/>
      <c r="K2" s="87"/>
      <c r="L2" s="87"/>
      <c r="M2" s="87"/>
      <c r="N2" s="87"/>
    </row>
    <row r="3">
      <c r="A3" s="88" t="s">
        <v>32</v>
      </c>
      <c r="B3" s="89" t="s">
        <v>10</v>
      </c>
      <c r="C3" s="85">
        <v>54.0</v>
      </c>
      <c r="D3" s="85">
        <v>48.0</v>
      </c>
      <c r="E3" s="85">
        <v>6.0</v>
      </c>
      <c r="F3" s="87"/>
      <c r="G3" s="87"/>
      <c r="H3" s="87"/>
      <c r="I3" s="87"/>
      <c r="J3" s="87"/>
      <c r="K3" s="87"/>
      <c r="L3" s="87"/>
      <c r="M3" s="87"/>
      <c r="N3" s="87"/>
    </row>
    <row r="4">
      <c r="A4" s="88" t="s">
        <v>33</v>
      </c>
      <c r="B4" s="89" t="s">
        <v>10</v>
      </c>
      <c r="C4" s="85">
        <v>28.0</v>
      </c>
      <c r="D4" s="85">
        <v>28.0</v>
      </c>
      <c r="E4" s="85">
        <v>0.0</v>
      </c>
      <c r="F4" s="87"/>
      <c r="G4" s="87"/>
      <c r="H4" s="87"/>
      <c r="I4" s="87"/>
      <c r="J4" s="87"/>
      <c r="K4" s="87"/>
      <c r="L4" s="87"/>
      <c r="M4" s="87"/>
      <c r="N4" s="87"/>
    </row>
    <row r="5">
      <c r="A5" s="90" t="s">
        <v>34</v>
      </c>
      <c r="B5" s="89" t="s">
        <v>10</v>
      </c>
      <c r="C5" s="85">
        <v>54.0</v>
      </c>
      <c r="D5" s="85">
        <v>52.0</v>
      </c>
      <c r="E5" s="85">
        <v>2.0</v>
      </c>
      <c r="F5" s="87"/>
      <c r="G5" s="87"/>
      <c r="H5" s="87"/>
      <c r="I5" s="87"/>
      <c r="J5" s="87"/>
      <c r="K5" s="87"/>
      <c r="L5" s="87"/>
      <c r="M5" s="87"/>
      <c r="N5" s="87"/>
    </row>
    <row r="6">
      <c r="A6" s="88" t="s">
        <v>35</v>
      </c>
      <c r="B6" s="89" t="s">
        <v>10</v>
      </c>
      <c r="C6" s="85">
        <v>41.0</v>
      </c>
      <c r="D6" s="85">
        <v>40.0</v>
      </c>
      <c r="E6" s="85">
        <v>1.0</v>
      </c>
      <c r="F6" s="87"/>
      <c r="G6" s="87"/>
      <c r="H6" s="87"/>
      <c r="I6" s="87"/>
      <c r="J6" s="87"/>
      <c r="K6" s="87"/>
      <c r="L6" s="87"/>
      <c r="M6" s="87"/>
      <c r="N6" s="87"/>
    </row>
    <row r="7" ht="15.75" customHeight="1">
      <c r="A7" s="88" t="s">
        <v>36</v>
      </c>
      <c r="B7" s="89" t="s">
        <v>10</v>
      </c>
      <c r="C7" s="85">
        <v>29.0</v>
      </c>
      <c r="D7" s="85">
        <v>27.0</v>
      </c>
      <c r="E7" s="85">
        <v>2.0</v>
      </c>
      <c r="F7" s="87"/>
      <c r="G7" s="87"/>
      <c r="H7" s="87"/>
      <c r="I7" s="87"/>
      <c r="J7" s="87"/>
      <c r="K7" s="87"/>
      <c r="L7" s="87"/>
      <c r="M7" s="87"/>
      <c r="N7" s="87"/>
    </row>
    <row r="8" ht="15.75" customHeight="1">
      <c r="A8" s="88" t="s">
        <v>37</v>
      </c>
      <c r="B8" s="89" t="s">
        <v>10</v>
      </c>
      <c r="C8" s="85">
        <v>19.0</v>
      </c>
      <c r="D8" s="85">
        <v>19.0</v>
      </c>
      <c r="E8" s="85">
        <v>0.0</v>
      </c>
      <c r="F8" s="87"/>
      <c r="G8" s="87"/>
      <c r="H8" s="87"/>
      <c r="I8" s="87"/>
      <c r="J8" s="87"/>
      <c r="K8" s="87"/>
      <c r="L8" s="87"/>
      <c r="M8" s="87"/>
      <c r="N8" s="87"/>
    </row>
    <row r="9" ht="15.75" customHeight="1">
      <c r="A9" s="88" t="s">
        <v>38</v>
      </c>
      <c r="B9" s="89" t="s">
        <v>10</v>
      </c>
      <c r="C9" s="85">
        <v>3.0</v>
      </c>
      <c r="D9" s="85">
        <v>3.0</v>
      </c>
      <c r="E9" s="85">
        <v>0.0</v>
      </c>
      <c r="F9" s="87"/>
      <c r="G9" s="87"/>
      <c r="H9" s="87"/>
      <c r="I9" s="87"/>
      <c r="J9" s="87"/>
      <c r="K9" s="87"/>
      <c r="L9" s="87"/>
      <c r="M9" s="87"/>
      <c r="N9" s="87"/>
    </row>
    <row r="10" ht="15.75" customHeight="1">
      <c r="A10" s="88" t="s">
        <v>39</v>
      </c>
      <c r="B10" s="89" t="s">
        <v>10</v>
      </c>
      <c r="C10" s="85">
        <v>86.0</v>
      </c>
      <c r="D10" s="85">
        <v>85.0</v>
      </c>
      <c r="E10" s="85">
        <v>1.0</v>
      </c>
      <c r="F10" s="87"/>
      <c r="G10" s="87"/>
      <c r="H10" s="87"/>
      <c r="I10" s="87"/>
      <c r="J10" s="87"/>
      <c r="K10" s="87"/>
      <c r="L10" s="87"/>
      <c r="M10" s="87"/>
      <c r="N10" s="87"/>
    </row>
    <row r="11" ht="15.75" customHeight="1">
      <c r="A11" s="88" t="s">
        <v>40</v>
      </c>
      <c r="B11" s="89" t="s">
        <v>10</v>
      </c>
      <c r="C11" s="85">
        <v>66.0</v>
      </c>
      <c r="D11" s="85">
        <v>62.0</v>
      </c>
      <c r="E11" s="85">
        <v>4.0</v>
      </c>
      <c r="F11" s="87"/>
      <c r="G11" s="87"/>
      <c r="H11" s="87"/>
      <c r="I11" s="87"/>
      <c r="J11" s="87"/>
      <c r="K11" s="87"/>
      <c r="L11" s="87"/>
      <c r="M11" s="87"/>
      <c r="N11" s="87"/>
    </row>
    <row r="12" ht="15.75" customHeight="1">
      <c r="A12" s="88" t="s">
        <v>41</v>
      </c>
      <c r="B12" s="89" t="s">
        <v>10</v>
      </c>
      <c r="C12" s="85">
        <v>41.0</v>
      </c>
      <c r="D12" s="85">
        <v>39.0</v>
      </c>
      <c r="E12" s="85">
        <v>2.0</v>
      </c>
      <c r="F12" s="87"/>
      <c r="G12" s="87"/>
      <c r="H12" s="87"/>
      <c r="I12" s="87"/>
      <c r="J12" s="87"/>
      <c r="K12" s="87"/>
      <c r="L12" s="87"/>
      <c r="M12" s="87"/>
      <c r="N12" s="87"/>
    </row>
    <row r="13" ht="15.75" customHeight="1">
      <c r="A13" s="91" t="s">
        <v>42</v>
      </c>
      <c r="B13" s="89" t="s">
        <v>10</v>
      </c>
      <c r="C13" s="85">
        <v>125.0</v>
      </c>
      <c r="D13" s="85">
        <v>98.0</v>
      </c>
      <c r="E13" s="85">
        <v>27.0</v>
      </c>
      <c r="F13" s="87"/>
      <c r="G13" s="87"/>
      <c r="H13" s="87"/>
      <c r="I13" s="87"/>
      <c r="J13" s="87"/>
      <c r="K13" s="87"/>
      <c r="L13" s="87"/>
      <c r="M13" s="87"/>
      <c r="N13" s="87"/>
    </row>
    <row r="14" ht="15.75" customHeight="1">
      <c r="A14" s="91" t="s">
        <v>43</v>
      </c>
      <c r="B14" s="89" t="s">
        <v>10</v>
      </c>
      <c r="C14" s="85">
        <v>14.0</v>
      </c>
      <c r="D14" s="85">
        <v>12.0</v>
      </c>
      <c r="E14" s="85">
        <v>2.0</v>
      </c>
      <c r="F14" s="87"/>
      <c r="G14" s="87"/>
      <c r="H14" s="87"/>
      <c r="I14" s="87"/>
      <c r="J14" s="87"/>
      <c r="K14" s="87"/>
      <c r="L14" s="87"/>
      <c r="M14" s="87"/>
      <c r="N14" s="87"/>
    </row>
    <row r="15" ht="15.75" customHeight="1">
      <c r="A15" s="91" t="s">
        <v>44</v>
      </c>
      <c r="B15" s="89" t="s">
        <v>10</v>
      </c>
      <c r="C15" s="85">
        <v>13.0</v>
      </c>
      <c r="D15" s="85">
        <v>13.0</v>
      </c>
      <c r="E15" s="85">
        <v>0.0</v>
      </c>
      <c r="F15" s="87"/>
      <c r="G15" s="87"/>
      <c r="H15" s="87"/>
      <c r="I15" s="87"/>
      <c r="J15" s="87"/>
      <c r="K15" s="87"/>
      <c r="L15" s="87"/>
      <c r="M15" s="87"/>
      <c r="N15" s="87"/>
    </row>
    <row r="16" ht="15.75" customHeight="1">
      <c r="A16" s="91" t="s">
        <v>45</v>
      </c>
      <c r="B16" s="89" t="s">
        <v>10</v>
      </c>
      <c r="C16" s="85">
        <v>27.0</v>
      </c>
      <c r="D16" s="85">
        <v>27.0</v>
      </c>
      <c r="E16" s="85">
        <v>0.0</v>
      </c>
      <c r="F16" s="87"/>
      <c r="G16" s="87"/>
      <c r="H16" s="87"/>
      <c r="I16" s="87"/>
      <c r="J16" s="87"/>
      <c r="K16" s="87"/>
      <c r="L16" s="87"/>
      <c r="M16" s="87"/>
      <c r="N16" s="87"/>
    </row>
    <row r="17" ht="15.75" customHeight="1">
      <c r="A17" s="91" t="s">
        <v>46</v>
      </c>
      <c r="B17" s="89" t="s">
        <v>10</v>
      </c>
      <c r="C17" s="85">
        <v>28.0</v>
      </c>
      <c r="D17" s="85">
        <v>28.0</v>
      </c>
      <c r="E17" s="85">
        <v>0.0</v>
      </c>
      <c r="F17" s="87"/>
      <c r="G17" s="87"/>
      <c r="H17" s="87"/>
      <c r="I17" s="87"/>
      <c r="J17" s="87"/>
      <c r="K17" s="87"/>
      <c r="L17" s="87"/>
      <c r="M17" s="87"/>
      <c r="N17" s="87"/>
    </row>
    <row r="18" ht="15.75" customHeight="1">
      <c r="A18" s="91" t="s">
        <v>47</v>
      </c>
      <c r="B18" s="89" t="s">
        <v>10</v>
      </c>
      <c r="C18" s="85">
        <v>47.0</v>
      </c>
      <c r="D18" s="85">
        <v>42.0</v>
      </c>
      <c r="E18" s="85">
        <v>5.0</v>
      </c>
      <c r="F18" s="87"/>
      <c r="G18" s="87"/>
      <c r="H18" s="87"/>
      <c r="I18" s="87"/>
      <c r="J18" s="87"/>
      <c r="K18" s="87"/>
      <c r="L18" s="87"/>
      <c r="M18" s="87"/>
      <c r="N18" s="87"/>
    </row>
    <row r="19" ht="15.75" customHeight="1">
      <c r="A19" s="91" t="s">
        <v>48</v>
      </c>
      <c r="B19" s="89" t="s">
        <v>10</v>
      </c>
      <c r="C19" s="85">
        <v>16.0</v>
      </c>
      <c r="D19" s="85">
        <v>16.0</v>
      </c>
      <c r="E19" s="85">
        <v>0.0</v>
      </c>
      <c r="F19" s="87"/>
      <c r="G19" s="87"/>
      <c r="H19" s="87"/>
      <c r="I19" s="87"/>
      <c r="J19" s="87"/>
      <c r="K19" s="87"/>
      <c r="L19" s="87"/>
      <c r="M19" s="87"/>
      <c r="N19" s="87"/>
    </row>
    <row r="20" ht="15.75" customHeight="1">
      <c r="A20" s="91" t="s">
        <v>49</v>
      </c>
      <c r="B20" s="89" t="s">
        <v>10</v>
      </c>
      <c r="C20" s="85">
        <v>13.0</v>
      </c>
      <c r="D20" s="85">
        <v>13.0</v>
      </c>
      <c r="E20" s="85">
        <v>0.0</v>
      </c>
      <c r="F20" s="87"/>
      <c r="G20" s="87"/>
      <c r="H20" s="87"/>
      <c r="I20" s="87"/>
      <c r="J20" s="87"/>
      <c r="K20" s="87"/>
      <c r="L20" s="87"/>
      <c r="M20" s="87"/>
      <c r="N20" s="87"/>
    </row>
    <row r="21" ht="15.75" customHeight="1">
      <c r="A21" s="91" t="s">
        <v>50</v>
      </c>
      <c r="B21" s="89" t="s">
        <v>10</v>
      </c>
      <c r="C21" s="85">
        <v>20.0</v>
      </c>
      <c r="D21" s="85">
        <v>20.0</v>
      </c>
      <c r="E21" s="85">
        <v>0.0</v>
      </c>
      <c r="F21" s="87"/>
      <c r="G21" s="87"/>
      <c r="H21" s="87"/>
      <c r="I21" s="87"/>
      <c r="J21" s="87"/>
      <c r="K21" s="87"/>
      <c r="L21" s="87"/>
      <c r="M21" s="87"/>
      <c r="N21" s="87"/>
    </row>
    <row r="22" ht="15.75" customHeight="1">
      <c r="A22" s="87"/>
      <c r="B22" s="92"/>
      <c r="C22" s="87"/>
      <c r="D22" s="87"/>
      <c r="E22" s="87"/>
      <c r="F22" s="87"/>
      <c r="G22" s="87"/>
      <c r="H22" s="87"/>
      <c r="I22" s="87"/>
      <c r="J22" s="87"/>
      <c r="K22" s="87"/>
      <c r="L22" s="87"/>
      <c r="M22" s="87"/>
      <c r="N22" s="87"/>
    </row>
    <row r="23" ht="15.75" customHeight="1">
      <c r="A23" s="87"/>
      <c r="B23" s="92"/>
      <c r="C23" s="87"/>
      <c r="D23" s="87"/>
      <c r="E23" s="87"/>
      <c r="F23" s="87"/>
      <c r="G23" s="87"/>
      <c r="H23" s="87"/>
      <c r="I23" s="87"/>
      <c r="J23" s="87"/>
      <c r="K23" s="87"/>
      <c r="L23" s="87"/>
      <c r="M23" s="87"/>
      <c r="N23" s="87"/>
    </row>
    <row r="24" ht="15.75" customHeight="1">
      <c r="A24" s="87"/>
      <c r="B24" s="92"/>
      <c r="C24" s="87"/>
      <c r="D24" s="87"/>
      <c r="E24" s="87"/>
      <c r="F24" s="87"/>
      <c r="G24" s="87"/>
      <c r="H24" s="87"/>
      <c r="I24" s="87"/>
      <c r="J24" s="87"/>
      <c r="K24" s="87"/>
      <c r="L24" s="87"/>
      <c r="M24" s="87"/>
      <c r="N24" s="8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6.14"/>
    <col customWidth="1" min="3" max="3" width="23.57"/>
    <col customWidth="1" min="4" max="4" width="14.43"/>
    <col customWidth="1" min="5" max="5" width="38.0"/>
    <col customWidth="1" min="6" max="6" width="38.86"/>
    <col customWidth="1" min="7" max="7" width="61.43"/>
    <col customWidth="1" min="8" max="9" width="35.0"/>
    <col customWidth="1" min="10" max="11" width="14.43"/>
    <col customWidth="1" min="12" max="12" width="23.29"/>
    <col customWidth="1" min="13" max="13" width="103.43"/>
    <col customWidth="1" min="14" max="14" width="44.0"/>
    <col customWidth="1" min="15" max="15" width="53.0"/>
    <col customWidth="1" min="16" max="16" width="13.14"/>
  </cols>
  <sheetData>
    <row r="1">
      <c r="A1" s="93" t="s">
        <v>51</v>
      </c>
      <c r="B1" s="94" t="s">
        <v>52</v>
      </c>
      <c r="C1" s="94" t="s">
        <v>53</v>
      </c>
      <c r="D1" s="94" t="s">
        <v>54</v>
      </c>
      <c r="E1" s="94" t="s">
        <v>55</v>
      </c>
      <c r="F1" s="94" t="s">
        <v>56</v>
      </c>
      <c r="G1" s="94" t="s">
        <v>57</v>
      </c>
      <c r="H1" s="94" t="s">
        <v>58</v>
      </c>
      <c r="I1" s="94" t="s">
        <v>59</v>
      </c>
      <c r="J1" s="94" t="s">
        <v>60</v>
      </c>
      <c r="K1" s="95" t="s">
        <v>61</v>
      </c>
      <c r="L1" s="95" t="s">
        <v>62</v>
      </c>
      <c r="M1" s="94" t="s">
        <v>63</v>
      </c>
      <c r="N1" s="94" t="s">
        <v>64</v>
      </c>
      <c r="O1" s="94" t="s">
        <v>65</v>
      </c>
      <c r="P1" s="94" t="s">
        <v>66</v>
      </c>
    </row>
    <row r="2" hidden="1">
      <c r="A2" s="96" t="s">
        <v>67</v>
      </c>
      <c r="B2" s="97" t="s">
        <v>68</v>
      </c>
      <c r="C2" s="88" t="s">
        <v>69</v>
      </c>
      <c r="D2" s="98"/>
      <c r="E2" s="88" t="s">
        <v>31</v>
      </c>
      <c r="F2" s="88" t="s">
        <v>70</v>
      </c>
      <c r="G2" s="88" t="s">
        <v>71</v>
      </c>
      <c r="H2" s="88" t="s">
        <v>72</v>
      </c>
      <c r="I2" s="88" t="s">
        <v>73</v>
      </c>
      <c r="J2" s="99" t="s">
        <v>74</v>
      </c>
      <c r="K2" s="100" t="s">
        <v>75</v>
      </c>
      <c r="L2" s="100" t="s">
        <v>76</v>
      </c>
      <c r="M2" s="88" t="s">
        <v>77</v>
      </c>
      <c r="N2" s="98"/>
      <c r="O2" s="98"/>
      <c r="P2" s="98"/>
    </row>
    <row r="3" hidden="1">
      <c r="A3" s="96" t="s">
        <v>67</v>
      </c>
      <c r="B3" s="101"/>
      <c r="C3" s="88" t="s">
        <v>78</v>
      </c>
      <c r="D3" s="98"/>
      <c r="E3" s="88" t="s">
        <v>31</v>
      </c>
      <c r="F3" s="98"/>
      <c r="G3" s="88" t="s">
        <v>79</v>
      </c>
      <c r="H3" s="88" t="s">
        <v>80</v>
      </c>
      <c r="I3" s="88" t="s">
        <v>81</v>
      </c>
      <c r="J3" s="99" t="s">
        <v>74</v>
      </c>
      <c r="K3" s="100" t="s">
        <v>75</v>
      </c>
      <c r="L3" s="100" t="s">
        <v>76</v>
      </c>
      <c r="M3" s="98"/>
      <c r="N3" s="98"/>
      <c r="O3" s="98"/>
      <c r="P3" s="98"/>
    </row>
    <row r="4" hidden="1">
      <c r="A4" s="96" t="s">
        <v>67</v>
      </c>
      <c r="B4" s="101"/>
      <c r="C4" s="88" t="s">
        <v>82</v>
      </c>
      <c r="D4" s="98"/>
      <c r="E4" s="88" t="s">
        <v>31</v>
      </c>
      <c r="F4" s="98"/>
      <c r="G4" s="88" t="s">
        <v>83</v>
      </c>
      <c r="H4" s="88" t="s">
        <v>84</v>
      </c>
      <c r="I4" s="88" t="s">
        <v>85</v>
      </c>
      <c r="J4" s="99" t="s">
        <v>74</v>
      </c>
      <c r="K4" s="100" t="s">
        <v>75</v>
      </c>
      <c r="L4" s="100" t="s">
        <v>76</v>
      </c>
      <c r="M4" s="98"/>
      <c r="N4" s="98"/>
      <c r="O4" s="98"/>
      <c r="P4" s="98"/>
    </row>
    <row r="5" hidden="1">
      <c r="A5" s="96" t="s">
        <v>67</v>
      </c>
      <c r="B5" s="101"/>
      <c r="C5" s="88" t="s">
        <v>86</v>
      </c>
      <c r="D5" s="98"/>
      <c r="E5" s="88" t="s">
        <v>31</v>
      </c>
      <c r="F5" s="98"/>
      <c r="G5" s="88" t="s">
        <v>87</v>
      </c>
      <c r="H5" s="88" t="s">
        <v>88</v>
      </c>
      <c r="I5" s="88" t="s">
        <v>89</v>
      </c>
      <c r="J5" s="99" t="s">
        <v>74</v>
      </c>
      <c r="K5" s="100" t="s">
        <v>75</v>
      </c>
      <c r="L5" s="100" t="s">
        <v>76</v>
      </c>
      <c r="M5" s="98"/>
      <c r="N5" s="98"/>
      <c r="O5" s="98"/>
      <c r="P5" s="98"/>
    </row>
    <row r="6" hidden="1">
      <c r="A6" s="96" t="s">
        <v>67</v>
      </c>
      <c r="B6" s="101"/>
      <c r="C6" s="88" t="s">
        <v>90</v>
      </c>
      <c r="D6" s="98"/>
      <c r="E6" s="88" t="s">
        <v>31</v>
      </c>
      <c r="F6" s="98"/>
      <c r="G6" s="88" t="s">
        <v>91</v>
      </c>
      <c r="H6" s="88" t="s">
        <v>92</v>
      </c>
      <c r="I6" s="88" t="s">
        <v>85</v>
      </c>
      <c r="J6" s="99" t="s">
        <v>74</v>
      </c>
      <c r="K6" s="100" t="s">
        <v>25</v>
      </c>
      <c r="L6" s="100" t="s">
        <v>25</v>
      </c>
      <c r="M6" s="91" t="s">
        <v>93</v>
      </c>
      <c r="N6" s="98"/>
      <c r="O6" s="98"/>
      <c r="P6" s="98"/>
    </row>
    <row r="7" hidden="1">
      <c r="A7" s="96" t="s">
        <v>67</v>
      </c>
      <c r="B7" s="101"/>
      <c r="C7" s="88" t="s">
        <v>94</v>
      </c>
      <c r="D7" s="98"/>
      <c r="E7" s="88" t="s">
        <v>31</v>
      </c>
      <c r="F7" s="98"/>
      <c r="G7" s="88" t="s">
        <v>95</v>
      </c>
      <c r="H7" s="88" t="s">
        <v>96</v>
      </c>
      <c r="I7" s="88" t="s">
        <v>97</v>
      </c>
      <c r="J7" s="99" t="s">
        <v>74</v>
      </c>
      <c r="K7" s="100" t="s">
        <v>75</v>
      </c>
      <c r="L7" s="100" t="s">
        <v>76</v>
      </c>
      <c r="M7" s="98"/>
      <c r="N7" s="98"/>
      <c r="O7" s="98"/>
      <c r="P7" s="98"/>
    </row>
    <row r="8" hidden="1">
      <c r="A8" s="96" t="s">
        <v>67</v>
      </c>
      <c r="B8" s="101"/>
      <c r="C8" s="88" t="s">
        <v>98</v>
      </c>
      <c r="D8" s="98"/>
      <c r="E8" s="88" t="s">
        <v>31</v>
      </c>
      <c r="F8" s="98"/>
      <c r="G8" s="88" t="s">
        <v>99</v>
      </c>
      <c r="H8" s="88" t="s">
        <v>100</v>
      </c>
      <c r="I8" s="88" t="s">
        <v>101</v>
      </c>
      <c r="J8" s="99" t="s">
        <v>74</v>
      </c>
      <c r="K8" s="100" t="s">
        <v>75</v>
      </c>
      <c r="L8" s="100" t="s">
        <v>76</v>
      </c>
      <c r="M8" s="98"/>
      <c r="N8" s="98"/>
      <c r="O8" s="98"/>
      <c r="P8" s="98"/>
    </row>
    <row r="9" hidden="1">
      <c r="A9" s="96" t="s">
        <v>67</v>
      </c>
      <c r="B9" s="101"/>
      <c r="C9" s="88" t="s">
        <v>102</v>
      </c>
      <c r="D9" s="98"/>
      <c r="E9" s="88" t="s">
        <v>31</v>
      </c>
      <c r="F9" s="98"/>
      <c r="G9" s="88" t="s">
        <v>103</v>
      </c>
      <c r="H9" s="88" t="s">
        <v>104</v>
      </c>
      <c r="I9" s="88" t="s">
        <v>101</v>
      </c>
      <c r="J9" s="99" t="s">
        <v>74</v>
      </c>
      <c r="K9" s="100" t="s">
        <v>75</v>
      </c>
      <c r="L9" s="100" t="s">
        <v>76</v>
      </c>
      <c r="M9" s="98"/>
      <c r="N9" s="98"/>
      <c r="O9" s="98"/>
      <c r="P9" s="98"/>
    </row>
    <row r="10" hidden="1">
      <c r="A10" s="96" t="s">
        <v>67</v>
      </c>
      <c r="B10" s="101"/>
      <c r="C10" s="88" t="s">
        <v>105</v>
      </c>
      <c r="D10" s="98"/>
      <c r="E10" s="88" t="s">
        <v>31</v>
      </c>
      <c r="F10" s="98"/>
      <c r="G10" s="88" t="s">
        <v>106</v>
      </c>
      <c r="H10" s="88" t="s">
        <v>107</v>
      </c>
      <c r="I10" s="88" t="s">
        <v>108</v>
      </c>
      <c r="J10" s="99" t="s">
        <v>74</v>
      </c>
      <c r="K10" s="100" t="s">
        <v>75</v>
      </c>
      <c r="L10" s="100" t="s">
        <v>76</v>
      </c>
      <c r="M10" s="98"/>
      <c r="N10" s="98"/>
      <c r="O10" s="98"/>
      <c r="P10" s="98"/>
    </row>
    <row r="11" hidden="1">
      <c r="A11" s="96" t="s">
        <v>67</v>
      </c>
      <c r="B11" s="101"/>
      <c r="C11" s="88" t="s">
        <v>109</v>
      </c>
      <c r="D11" s="98"/>
      <c r="E11" s="88" t="s">
        <v>31</v>
      </c>
      <c r="F11" s="98"/>
      <c r="G11" s="88" t="s">
        <v>110</v>
      </c>
      <c r="H11" s="88" t="s">
        <v>111</v>
      </c>
      <c r="I11" s="88" t="s">
        <v>112</v>
      </c>
      <c r="J11" s="99" t="s">
        <v>74</v>
      </c>
      <c r="K11" s="100" t="s">
        <v>75</v>
      </c>
      <c r="L11" s="100" t="s">
        <v>76</v>
      </c>
      <c r="M11" s="98"/>
      <c r="N11" s="98"/>
      <c r="O11" s="98"/>
      <c r="P11" s="98"/>
    </row>
    <row r="12" hidden="1">
      <c r="A12" s="96" t="s">
        <v>67</v>
      </c>
      <c r="B12" s="101"/>
      <c r="C12" s="88" t="s">
        <v>113</v>
      </c>
      <c r="D12" s="98"/>
      <c r="E12" s="88" t="s">
        <v>31</v>
      </c>
      <c r="F12" s="98"/>
      <c r="G12" s="88" t="s">
        <v>114</v>
      </c>
      <c r="H12" s="88" t="s">
        <v>115</v>
      </c>
      <c r="I12" s="88" t="s">
        <v>116</v>
      </c>
      <c r="J12" s="99" t="s">
        <v>74</v>
      </c>
      <c r="K12" s="100" t="s">
        <v>75</v>
      </c>
      <c r="L12" s="100" t="s">
        <v>76</v>
      </c>
      <c r="M12" s="98"/>
      <c r="N12" s="98"/>
      <c r="O12" s="98"/>
      <c r="P12" s="98"/>
    </row>
    <row r="13" hidden="1">
      <c r="A13" s="96" t="s">
        <v>67</v>
      </c>
      <c r="B13" s="101"/>
      <c r="C13" s="88" t="s">
        <v>117</v>
      </c>
      <c r="D13" s="98"/>
      <c r="E13" s="88" t="s">
        <v>31</v>
      </c>
      <c r="F13" s="98"/>
      <c r="G13" s="88" t="s">
        <v>118</v>
      </c>
      <c r="H13" s="88" t="s">
        <v>119</v>
      </c>
      <c r="I13" s="88" t="s">
        <v>120</v>
      </c>
      <c r="J13" s="99" t="s">
        <v>74</v>
      </c>
      <c r="K13" s="100" t="s">
        <v>25</v>
      </c>
      <c r="L13" s="100" t="s">
        <v>25</v>
      </c>
      <c r="M13" s="91" t="s">
        <v>121</v>
      </c>
      <c r="N13" s="98"/>
      <c r="O13" s="98"/>
      <c r="P13" s="98"/>
    </row>
    <row r="14" hidden="1">
      <c r="A14" s="96" t="s">
        <v>67</v>
      </c>
      <c r="B14" s="101"/>
      <c r="C14" s="88" t="s">
        <v>122</v>
      </c>
      <c r="D14" s="98"/>
      <c r="E14" s="88" t="s">
        <v>31</v>
      </c>
      <c r="F14" s="98"/>
      <c r="G14" s="88" t="s">
        <v>123</v>
      </c>
      <c r="H14" s="88" t="s">
        <v>115</v>
      </c>
      <c r="I14" s="88" t="s">
        <v>124</v>
      </c>
      <c r="J14" s="99" t="s">
        <v>74</v>
      </c>
      <c r="K14" s="100" t="s">
        <v>25</v>
      </c>
      <c r="L14" s="100" t="s">
        <v>25</v>
      </c>
      <c r="M14" s="91" t="s">
        <v>121</v>
      </c>
      <c r="N14" s="98"/>
      <c r="O14" s="98"/>
      <c r="P14" s="98"/>
    </row>
    <row r="15" hidden="1">
      <c r="A15" s="96" t="s">
        <v>125</v>
      </c>
      <c r="B15" s="102" t="s">
        <v>126</v>
      </c>
      <c r="C15" s="88" t="s">
        <v>127</v>
      </c>
      <c r="D15" s="98"/>
      <c r="E15" s="88" t="s">
        <v>31</v>
      </c>
      <c r="F15" s="88" t="s">
        <v>128</v>
      </c>
      <c r="G15" s="88" t="s">
        <v>129</v>
      </c>
      <c r="H15" s="88" t="s">
        <v>115</v>
      </c>
      <c r="I15" s="88" t="s">
        <v>130</v>
      </c>
      <c r="J15" s="99" t="s">
        <v>74</v>
      </c>
      <c r="K15" s="100" t="s">
        <v>75</v>
      </c>
      <c r="L15" s="100" t="s">
        <v>76</v>
      </c>
      <c r="M15" s="98"/>
      <c r="N15" s="98"/>
      <c r="O15" s="98"/>
      <c r="P15" s="98"/>
    </row>
    <row r="16" hidden="1">
      <c r="A16" s="96" t="s">
        <v>125</v>
      </c>
      <c r="B16" s="101"/>
      <c r="C16" s="88" t="s">
        <v>131</v>
      </c>
      <c r="D16" s="98"/>
      <c r="E16" s="88" t="s">
        <v>31</v>
      </c>
      <c r="F16" s="98"/>
      <c r="G16" s="88" t="s">
        <v>132</v>
      </c>
      <c r="H16" s="88" t="s">
        <v>133</v>
      </c>
      <c r="I16" s="88" t="s">
        <v>130</v>
      </c>
      <c r="J16" s="99" t="s">
        <v>74</v>
      </c>
      <c r="K16" s="100" t="s">
        <v>25</v>
      </c>
      <c r="L16" s="100" t="s">
        <v>25</v>
      </c>
      <c r="M16" s="91" t="s">
        <v>93</v>
      </c>
      <c r="N16" s="98"/>
      <c r="O16" s="98"/>
      <c r="P16" s="98"/>
    </row>
    <row r="17" hidden="1">
      <c r="A17" s="96" t="s">
        <v>125</v>
      </c>
      <c r="B17" s="101"/>
      <c r="C17" s="88" t="s">
        <v>134</v>
      </c>
      <c r="D17" s="98"/>
      <c r="E17" s="88" t="s">
        <v>31</v>
      </c>
      <c r="F17" s="98"/>
      <c r="G17" s="88" t="s">
        <v>135</v>
      </c>
      <c r="H17" s="88" t="s">
        <v>136</v>
      </c>
      <c r="I17" s="88" t="s">
        <v>130</v>
      </c>
      <c r="J17" s="99" t="s">
        <v>74</v>
      </c>
      <c r="K17" s="100" t="s">
        <v>25</v>
      </c>
      <c r="L17" s="100" t="s">
        <v>25</v>
      </c>
      <c r="M17" s="91" t="s">
        <v>93</v>
      </c>
      <c r="N17" s="98"/>
      <c r="O17" s="98"/>
      <c r="P17" s="98"/>
    </row>
    <row r="18" hidden="1">
      <c r="A18" s="96" t="s">
        <v>125</v>
      </c>
      <c r="B18" s="101"/>
      <c r="C18" s="88" t="s">
        <v>137</v>
      </c>
      <c r="D18" s="98"/>
      <c r="E18" s="88" t="s">
        <v>31</v>
      </c>
      <c r="F18" s="98"/>
      <c r="G18" s="88" t="s">
        <v>138</v>
      </c>
      <c r="H18" s="88" t="s">
        <v>139</v>
      </c>
      <c r="I18" s="88" t="s">
        <v>130</v>
      </c>
      <c r="J18" s="99" t="s">
        <v>74</v>
      </c>
      <c r="K18" s="100" t="s">
        <v>25</v>
      </c>
      <c r="L18" s="100" t="s">
        <v>25</v>
      </c>
      <c r="M18" s="91" t="s">
        <v>93</v>
      </c>
      <c r="N18" s="98"/>
      <c r="O18" s="98"/>
      <c r="P18" s="98"/>
    </row>
    <row r="19" hidden="1">
      <c r="A19" s="96" t="s">
        <v>125</v>
      </c>
      <c r="B19" s="101"/>
      <c r="C19" s="88" t="s">
        <v>140</v>
      </c>
      <c r="D19" s="98"/>
      <c r="E19" s="88" t="s">
        <v>31</v>
      </c>
      <c r="F19" s="98"/>
      <c r="G19" s="88" t="s">
        <v>141</v>
      </c>
      <c r="H19" s="88" t="s">
        <v>142</v>
      </c>
      <c r="I19" s="88" t="s">
        <v>130</v>
      </c>
      <c r="J19" s="99" t="s">
        <v>74</v>
      </c>
      <c r="K19" s="100" t="s">
        <v>75</v>
      </c>
      <c r="L19" s="100" t="s">
        <v>76</v>
      </c>
      <c r="M19" s="98"/>
      <c r="N19" s="98"/>
      <c r="O19" s="98"/>
      <c r="P19" s="98"/>
    </row>
    <row r="20" hidden="1">
      <c r="A20" s="96" t="s">
        <v>125</v>
      </c>
      <c r="B20" s="101"/>
      <c r="C20" s="88" t="s">
        <v>143</v>
      </c>
      <c r="D20" s="98"/>
      <c r="E20" s="88" t="s">
        <v>31</v>
      </c>
      <c r="F20" s="98"/>
      <c r="G20" s="88" t="s">
        <v>144</v>
      </c>
      <c r="H20" s="88" t="s">
        <v>145</v>
      </c>
      <c r="I20" s="88" t="s">
        <v>130</v>
      </c>
      <c r="J20" s="99" t="s">
        <v>74</v>
      </c>
      <c r="K20" s="100" t="s">
        <v>75</v>
      </c>
      <c r="L20" s="100" t="s">
        <v>76</v>
      </c>
      <c r="M20" s="98"/>
      <c r="N20" s="98"/>
      <c r="O20" s="98"/>
      <c r="P20" s="98"/>
    </row>
    <row r="21" hidden="1">
      <c r="A21" s="96" t="s">
        <v>125</v>
      </c>
      <c r="B21" s="101"/>
      <c r="C21" s="88" t="s">
        <v>146</v>
      </c>
      <c r="D21" s="98"/>
      <c r="E21" s="88" t="s">
        <v>31</v>
      </c>
      <c r="F21" s="98"/>
      <c r="G21" s="88" t="s">
        <v>147</v>
      </c>
      <c r="H21" s="88" t="s">
        <v>148</v>
      </c>
      <c r="I21" s="88" t="s">
        <v>149</v>
      </c>
      <c r="J21" s="99" t="s">
        <v>74</v>
      </c>
      <c r="K21" s="100" t="s">
        <v>25</v>
      </c>
      <c r="L21" s="100" t="s">
        <v>25</v>
      </c>
      <c r="M21" s="91" t="s">
        <v>150</v>
      </c>
      <c r="N21" s="98"/>
      <c r="O21" s="98"/>
      <c r="P21" s="98"/>
    </row>
    <row r="22" hidden="1">
      <c r="A22" s="96" t="s">
        <v>151</v>
      </c>
      <c r="B22" s="102" t="s">
        <v>152</v>
      </c>
      <c r="C22" s="88" t="s">
        <v>153</v>
      </c>
      <c r="D22" s="88" t="s">
        <v>76</v>
      </c>
      <c r="E22" s="88" t="s">
        <v>32</v>
      </c>
      <c r="F22" s="88" t="s">
        <v>154</v>
      </c>
      <c r="G22" s="88" t="s">
        <v>155</v>
      </c>
      <c r="H22" s="88" t="s">
        <v>156</v>
      </c>
      <c r="I22" s="88" t="s">
        <v>157</v>
      </c>
      <c r="J22" s="99" t="s">
        <v>74</v>
      </c>
      <c r="K22" s="100" t="s">
        <v>75</v>
      </c>
      <c r="L22" s="100" t="s">
        <v>76</v>
      </c>
      <c r="M22" s="98"/>
      <c r="N22" s="98"/>
      <c r="O22" s="98"/>
      <c r="P22" s="98"/>
    </row>
    <row r="23" hidden="1">
      <c r="A23" s="96" t="s">
        <v>151</v>
      </c>
      <c r="B23" s="101"/>
      <c r="C23" s="88" t="s">
        <v>158</v>
      </c>
      <c r="D23" s="98"/>
      <c r="E23" s="88" t="s">
        <v>32</v>
      </c>
      <c r="F23" s="98"/>
      <c r="G23" s="88" t="s">
        <v>159</v>
      </c>
      <c r="H23" s="88" t="s">
        <v>160</v>
      </c>
      <c r="I23" s="88" t="s">
        <v>161</v>
      </c>
      <c r="J23" s="99" t="s">
        <v>74</v>
      </c>
      <c r="K23" s="100" t="s">
        <v>25</v>
      </c>
      <c r="L23" s="100" t="s">
        <v>25</v>
      </c>
      <c r="M23" s="91" t="s">
        <v>150</v>
      </c>
      <c r="N23" s="98"/>
      <c r="O23" s="98"/>
      <c r="P23" s="98"/>
    </row>
    <row r="24" hidden="1">
      <c r="A24" s="96" t="s">
        <v>151</v>
      </c>
      <c r="B24" s="101"/>
      <c r="C24" s="88" t="s">
        <v>162</v>
      </c>
      <c r="D24" s="98"/>
      <c r="E24" s="88" t="s">
        <v>32</v>
      </c>
      <c r="F24" s="98"/>
      <c r="G24" s="88" t="s">
        <v>163</v>
      </c>
      <c r="H24" s="88" t="s">
        <v>164</v>
      </c>
      <c r="I24" s="88" t="s">
        <v>161</v>
      </c>
      <c r="J24" s="99" t="s">
        <v>74</v>
      </c>
      <c r="K24" s="100" t="s">
        <v>25</v>
      </c>
      <c r="L24" s="100" t="s">
        <v>25</v>
      </c>
      <c r="M24" s="91" t="s">
        <v>93</v>
      </c>
      <c r="N24" s="98"/>
      <c r="O24" s="98"/>
      <c r="P24" s="98"/>
    </row>
    <row r="25" hidden="1">
      <c r="A25" s="96" t="s">
        <v>151</v>
      </c>
      <c r="B25" s="101"/>
      <c r="C25" s="88" t="s">
        <v>165</v>
      </c>
      <c r="D25" s="98"/>
      <c r="E25" s="88" t="s">
        <v>32</v>
      </c>
      <c r="F25" s="98"/>
      <c r="G25" s="88" t="s">
        <v>166</v>
      </c>
      <c r="H25" s="88" t="s">
        <v>167</v>
      </c>
      <c r="I25" s="88" t="s">
        <v>161</v>
      </c>
      <c r="J25" s="99" t="s">
        <v>74</v>
      </c>
      <c r="K25" s="100" t="s">
        <v>25</v>
      </c>
      <c r="L25" s="100" t="s">
        <v>25</v>
      </c>
      <c r="M25" s="91" t="s">
        <v>93</v>
      </c>
      <c r="N25" s="98"/>
      <c r="O25" s="98"/>
      <c r="P25" s="98"/>
    </row>
    <row r="26" hidden="1">
      <c r="A26" s="96" t="s">
        <v>151</v>
      </c>
      <c r="B26" s="101"/>
      <c r="C26" s="88" t="s">
        <v>168</v>
      </c>
      <c r="D26" s="98"/>
      <c r="E26" s="88" t="s">
        <v>32</v>
      </c>
      <c r="F26" s="98"/>
      <c r="G26" s="88" t="s">
        <v>169</v>
      </c>
      <c r="H26" s="88" t="s">
        <v>170</v>
      </c>
      <c r="I26" s="88" t="s">
        <v>161</v>
      </c>
      <c r="J26" s="99" t="s">
        <v>74</v>
      </c>
      <c r="K26" s="100" t="s">
        <v>75</v>
      </c>
      <c r="L26" s="100" t="s">
        <v>76</v>
      </c>
      <c r="M26" s="98"/>
      <c r="N26" s="98"/>
      <c r="O26" s="98"/>
      <c r="P26" s="98"/>
    </row>
    <row r="27" hidden="1">
      <c r="A27" s="96" t="s">
        <v>151</v>
      </c>
      <c r="B27" s="101"/>
      <c r="C27" s="88" t="s">
        <v>171</v>
      </c>
      <c r="D27" s="98"/>
      <c r="E27" s="88" t="s">
        <v>32</v>
      </c>
      <c r="F27" s="98"/>
      <c r="G27" s="88" t="s">
        <v>172</v>
      </c>
      <c r="H27" s="88" t="s">
        <v>173</v>
      </c>
      <c r="I27" s="88" t="s">
        <v>174</v>
      </c>
      <c r="J27" s="99" t="s">
        <v>74</v>
      </c>
      <c r="K27" s="100" t="s">
        <v>75</v>
      </c>
      <c r="L27" s="100" t="s">
        <v>76</v>
      </c>
      <c r="M27" s="98"/>
      <c r="N27" s="98"/>
      <c r="O27" s="98"/>
      <c r="P27" s="98"/>
    </row>
    <row r="28" hidden="1">
      <c r="A28" s="96" t="s">
        <v>151</v>
      </c>
      <c r="B28" s="101"/>
      <c r="C28" s="88" t="s">
        <v>175</v>
      </c>
      <c r="D28" s="98"/>
      <c r="E28" s="88" t="s">
        <v>32</v>
      </c>
      <c r="F28" s="98"/>
      <c r="G28" s="88" t="s">
        <v>176</v>
      </c>
      <c r="H28" s="88" t="s">
        <v>177</v>
      </c>
      <c r="I28" s="88" t="s">
        <v>178</v>
      </c>
      <c r="J28" s="99" t="s">
        <v>74</v>
      </c>
      <c r="K28" s="100" t="s">
        <v>25</v>
      </c>
      <c r="L28" s="100" t="s">
        <v>25</v>
      </c>
      <c r="M28" s="91" t="s">
        <v>150</v>
      </c>
      <c r="N28" s="98"/>
      <c r="O28" s="98"/>
      <c r="P28" s="98"/>
    </row>
    <row r="29" hidden="1">
      <c r="A29" s="96" t="s">
        <v>151</v>
      </c>
      <c r="B29" s="101"/>
      <c r="C29" s="88" t="s">
        <v>165</v>
      </c>
      <c r="D29" s="98"/>
      <c r="E29" s="88" t="s">
        <v>32</v>
      </c>
      <c r="F29" s="98"/>
      <c r="G29" s="88" t="s">
        <v>179</v>
      </c>
      <c r="H29" s="88" t="s">
        <v>180</v>
      </c>
      <c r="I29" s="88" t="s">
        <v>181</v>
      </c>
      <c r="J29" s="99" t="s">
        <v>74</v>
      </c>
      <c r="K29" s="100" t="s">
        <v>75</v>
      </c>
      <c r="L29" s="100" t="s">
        <v>76</v>
      </c>
      <c r="M29" s="98"/>
      <c r="N29" s="98"/>
      <c r="O29" s="98"/>
      <c r="P29" s="98"/>
    </row>
    <row r="30" hidden="1">
      <c r="A30" s="96" t="s">
        <v>151</v>
      </c>
      <c r="B30" s="101"/>
      <c r="C30" s="88" t="s">
        <v>165</v>
      </c>
      <c r="D30" s="98"/>
      <c r="E30" s="88" t="s">
        <v>32</v>
      </c>
      <c r="F30" s="98"/>
      <c r="G30" s="88" t="s">
        <v>166</v>
      </c>
      <c r="H30" s="88" t="s">
        <v>182</v>
      </c>
      <c r="I30" s="88" t="s">
        <v>181</v>
      </c>
      <c r="J30" s="99" t="s">
        <v>74</v>
      </c>
      <c r="K30" s="100" t="s">
        <v>75</v>
      </c>
      <c r="L30" s="100" t="s">
        <v>76</v>
      </c>
      <c r="M30" s="98"/>
      <c r="N30" s="98"/>
      <c r="O30" s="98"/>
      <c r="P30" s="98"/>
    </row>
    <row r="31" hidden="1">
      <c r="A31" s="96" t="s">
        <v>151</v>
      </c>
      <c r="B31" s="101"/>
      <c r="C31" s="88" t="s">
        <v>165</v>
      </c>
      <c r="D31" s="98"/>
      <c r="E31" s="88" t="s">
        <v>32</v>
      </c>
      <c r="F31" s="98"/>
      <c r="G31" s="88" t="s">
        <v>166</v>
      </c>
      <c r="H31" s="88" t="s">
        <v>183</v>
      </c>
      <c r="I31" s="88" t="s">
        <v>181</v>
      </c>
      <c r="J31" s="99" t="s">
        <v>74</v>
      </c>
      <c r="K31" s="100" t="s">
        <v>75</v>
      </c>
      <c r="L31" s="100" t="s">
        <v>76</v>
      </c>
      <c r="M31" s="98"/>
      <c r="N31" s="98"/>
      <c r="O31" s="98"/>
      <c r="P31" s="98"/>
    </row>
    <row r="32" hidden="1">
      <c r="A32" s="96" t="s">
        <v>151</v>
      </c>
      <c r="B32" s="101"/>
      <c r="C32" s="88" t="s">
        <v>165</v>
      </c>
      <c r="D32" s="98"/>
      <c r="E32" s="88" t="s">
        <v>32</v>
      </c>
      <c r="F32" s="98"/>
      <c r="G32" s="88" t="s">
        <v>166</v>
      </c>
      <c r="H32" s="88" t="s">
        <v>184</v>
      </c>
      <c r="I32" s="88" t="s">
        <v>181</v>
      </c>
      <c r="J32" s="99" t="s">
        <v>74</v>
      </c>
      <c r="K32" s="100" t="s">
        <v>75</v>
      </c>
      <c r="L32" s="100" t="s">
        <v>76</v>
      </c>
      <c r="M32" s="98"/>
      <c r="N32" s="98"/>
      <c r="O32" s="98"/>
      <c r="P32" s="98"/>
    </row>
    <row r="33" hidden="1">
      <c r="A33" s="96" t="s">
        <v>185</v>
      </c>
      <c r="B33" s="102" t="s">
        <v>186</v>
      </c>
      <c r="C33" s="88" t="s">
        <v>187</v>
      </c>
      <c r="D33" s="98"/>
      <c r="E33" s="88" t="s">
        <v>33</v>
      </c>
      <c r="F33" s="98"/>
      <c r="G33" s="88" t="s">
        <v>188</v>
      </c>
      <c r="H33" s="103" t="s">
        <v>189</v>
      </c>
      <c r="I33" s="88" t="s">
        <v>190</v>
      </c>
      <c r="J33" s="99" t="s">
        <v>74</v>
      </c>
      <c r="K33" s="100" t="s">
        <v>25</v>
      </c>
      <c r="L33" s="100" t="s">
        <v>25</v>
      </c>
      <c r="M33" s="88" t="s">
        <v>191</v>
      </c>
      <c r="N33" s="98"/>
      <c r="O33" s="98"/>
      <c r="P33" s="98"/>
    </row>
    <row r="34" hidden="1">
      <c r="A34" s="96" t="s">
        <v>185</v>
      </c>
      <c r="B34" s="101"/>
      <c r="C34" s="88" t="s">
        <v>192</v>
      </c>
      <c r="D34" s="98"/>
      <c r="E34" s="88" t="s">
        <v>33</v>
      </c>
      <c r="F34" s="98"/>
      <c r="G34" s="88" t="s">
        <v>193</v>
      </c>
      <c r="H34" s="103" t="s">
        <v>194</v>
      </c>
      <c r="I34" s="88" t="s">
        <v>195</v>
      </c>
      <c r="J34" s="99" t="s">
        <v>74</v>
      </c>
      <c r="K34" s="100" t="s">
        <v>75</v>
      </c>
      <c r="L34" s="100" t="s">
        <v>76</v>
      </c>
      <c r="M34" s="98"/>
      <c r="N34" s="98"/>
      <c r="O34" s="98"/>
      <c r="P34" s="98"/>
    </row>
    <row r="35" hidden="1">
      <c r="A35" s="96" t="s">
        <v>185</v>
      </c>
      <c r="B35" s="101"/>
      <c r="C35" s="88" t="s">
        <v>196</v>
      </c>
      <c r="D35" s="98"/>
      <c r="E35" s="88" t="s">
        <v>33</v>
      </c>
      <c r="F35" s="98"/>
      <c r="G35" s="88" t="s">
        <v>197</v>
      </c>
      <c r="H35" s="88" t="s">
        <v>198</v>
      </c>
      <c r="I35" s="88" t="s">
        <v>199</v>
      </c>
      <c r="J35" s="99" t="s">
        <v>74</v>
      </c>
      <c r="K35" s="100" t="s">
        <v>25</v>
      </c>
      <c r="L35" s="100" t="s">
        <v>25</v>
      </c>
      <c r="M35" s="104" t="s">
        <v>191</v>
      </c>
      <c r="N35" s="98"/>
      <c r="O35" s="98"/>
      <c r="P35" s="98"/>
    </row>
    <row r="36" hidden="1">
      <c r="A36" s="96" t="s">
        <v>185</v>
      </c>
      <c r="B36" s="101"/>
      <c r="C36" s="88" t="s">
        <v>200</v>
      </c>
      <c r="D36" s="98"/>
      <c r="E36" s="88" t="s">
        <v>33</v>
      </c>
      <c r="F36" s="98"/>
      <c r="G36" s="88" t="s">
        <v>201</v>
      </c>
      <c r="H36" s="88" t="s">
        <v>202</v>
      </c>
      <c r="I36" s="88" t="s">
        <v>203</v>
      </c>
      <c r="J36" s="99" t="s">
        <v>74</v>
      </c>
      <c r="K36" s="100" t="s">
        <v>75</v>
      </c>
      <c r="L36" s="100" t="s">
        <v>76</v>
      </c>
      <c r="M36" s="98"/>
      <c r="N36" s="98"/>
      <c r="O36" s="98"/>
      <c r="P36" s="98"/>
    </row>
    <row r="37" hidden="1">
      <c r="A37" s="96" t="s">
        <v>185</v>
      </c>
      <c r="B37" s="101"/>
      <c r="C37" s="88" t="s">
        <v>204</v>
      </c>
      <c r="D37" s="98"/>
      <c r="E37" s="88" t="s">
        <v>33</v>
      </c>
      <c r="F37" s="98"/>
      <c r="G37" s="88" t="s">
        <v>205</v>
      </c>
      <c r="H37" s="88" t="s">
        <v>206</v>
      </c>
      <c r="I37" s="88" t="s">
        <v>207</v>
      </c>
      <c r="J37" s="99" t="s">
        <v>74</v>
      </c>
      <c r="K37" s="100" t="s">
        <v>75</v>
      </c>
      <c r="L37" s="100" t="s">
        <v>76</v>
      </c>
      <c r="M37" s="98"/>
      <c r="N37" s="98"/>
      <c r="O37" s="98"/>
      <c r="P37" s="98"/>
    </row>
    <row r="38" hidden="1">
      <c r="A38" s="96" t="s">
        <v>185</v>
      </c>
      <c r="B38" s="101"/>
      <c r="C38" s="88" t="s">
        <v>208</v>
      </c>
      <c r="D38" s="98"/>
      <c r="E38" s="88" t="s">
        <v>33</v>
      </c>
      <c r="F38" s="98"/>
      <c r="G38" s="88" t="s">
        <v>209</v>
      </c>
      <c r="H38" s="88" t="s">
        <v>210</v>
      </c>
      <c r="I38" s="88" t="s">
        <v>211</v>
      </c>
      <c r="J38" s="99" t="s">
        <v>74</v>
      </c>
      <c r="K38" s="100" t="s">
        <v>75</v>
      </c>
      <c r="L38" s="100" t="s">
        <v>76</v>
      </c>
      <c r="M38" s="98"/>
      <c r="N38" s="98"/>
      <c r="O38" s="98"/>
      <c r="P38" s="98"/>
    </row>
    <row r="39" hidden="1">
      <c r="A39" s="96" t="s">
        <v>185</v>
      </c>
      <c r="B39" s="101"/>
      <c r="C39" s="88" t="s">
        <v>212</v>
      </c>
      <c r="D39" s="98"/>
      <c r="E39" s="88" t="s">
        <v>33</v>
      </c>
      <c r="F39" s="98"/>
      <c r="G39" s="88" t="s">
        <v>213</v>
      </c>
      <c r="H39" s="88" t="s">
        <v>214</v>
      </c>
      <c r="I39" s="88" t="s">
        <v>195</v>
      </c>
      <c r="J39" s="99" t="s">
        <v>74</v>
      </c>
      <c r="K39" s="100" t="s">
        <v>75</v>
      </c>
      <c r="L39" s="100" t="s">
        <v>76</v>
      </c>
      <c r="M39" s="98"/>
      <c r="N39" s="98"/>
      <c r="O39" s="98"/>
      <c r="P39" s="98"/>
    </row>
    <row r="40" hidden="1">
      <c r="A40" s="96" t="s">
        <v>185</v>
      </c>
      <c r="B40" s="101"/>
      <c r="C40" s="88" t="s">
        <v>215</v>
      </c>
      <c r="D40" s="98"/>
      <c r="E40" s="88" t="s">
        <v>33</v>
      </c>
      <c r="F40" s="98"/>
      <c r="G40" s="88" t="s">
        <v>216</v>
      </c>
      <c r="H40" s="88" t="s">
        <v>217</v>
      </c>
      <c r="I40" s="88" t="s">
        <v>218</v>
      </c>
      <c r="J40" s="99" t="s">
        <v>74</v>
      </c>
      <c r="K40" s="100" t="s">
        <v>75</v>
      </c>
      <c r="L40" s="100" t="s">
        <v>76</v>
      </c>
      <c r="M40" s="98"/>
      <c r="N40" s="98"/>
      <c r="O40" s="98"/>
      <c r="P40" s="98"/>
    </row>
    <row r="41" hidden="1">
      <c r="A41" s="96" t="s">
        <v>185</v>
      </c>
      <c r="B41" s="101"/>
      <c r="C41" s="88" t="s">
        <v>219</v>
      </c>
      <c r="D41" s="98"/>
      <c r="E41" s="88" t="s">
        <v>33</v>
      </c>
      <c r="F41" s="98"/>
      <c r="G41" s="88" t="s">
        <v>220</v>
      </c>
      <c r="H41" s="88" t="s">
        <v>221</v>
      </c>
      <c r="I41" s="88" t="s">
        <v>222</v>
      </c>
      <c r="J41" s="99" t="s">
        <v>74</v>
      </c>
      <c r="K41" s="100" t="s">
        <v>75</v>
      </c>
      <c r="L41" s="100" t="s">
        <v>76</v>
      </c>
      <c r="M41" s="98"/>
      <c r="N41" s="98"/>
      <c r="O41" s="98"/>
      <c r="P41" s="98"/>
    </row>
    <row r="42" hidden="1">
      <c r="A42" s="96" t="s">
        <v>185</v>
      </c>
      <c r="B42" s="101"/>
      <c r="C42" s="88" t="s">
        <v>223</v>
      </c>
      <c r="D42" s="98"/>
      <c r="E42" s="88" t="s">
        <v>33</v>
      </c>
      <c r="F42" s="98"/>
      <c r="G42" s="88" t="s">
        <v>224</v>
      </c>
      <c r="H42" s="88" t="s">
        <v>225</v>
      </c>
      <c r="I42" s="88" t="s">
        <v>226</v>
      </c>
      <c r="J42" s="99" t="s">
        <v>74</v>
      </c>
      <c r="K42" s="100" t="s">
        <v>25</v>
      </c>
      <c r="L42" s="100" t="s">
        <v>25</v>
      </c>
      <c r="M42" s="91" t="s">
        <v>150</v>
      </c>
      <c r="N42" s="98"/>
      <c r="O42" s="98"/>
      <c r="P42" s="98"/>
    </row>
    <row r="43" hidden="1">
      <c r="A43" s="96" t="s">
        <v>185</v>
      </c>
      <c r="B43" s="101"/>
      <c r="C43" s="88" t="s">
        <v>227</v>
      </c>
      <c r="D43" s="98"/>
      <c r="E43" s="88" t="s">
        <v>33</v>
      </c>
      <c r="F43" s="98"/>
      <c r="G43" s="88" t="s">
        <v>228</v>
      </c>
      <c r="H43" s="88" t="s">
        <v>229</v>
      </c>
      <c r="I43" s="88" t="s">
        <v>226</v>
      </c>
      <c r="J43" s="99" t="s">
        <v>74</v>
      </c>
      <c r="K43" s="100" t="s">
        <v>25</v>
      </c>
      <c r="L43" s="100" t="s">
        <v>25</v>
      </c>
      <c r="M43" s="91" t="s">
        <v>150</v>
      </c>
      <c r="N43" s="105" t="s">
        <v>230</v>
      </c>
      <c r="O43" s="98"/>
      <c r="P43" s="98"/>
    </row>
    <row r="44" hidden="1">
      <c r="A44" s="96" t="s">
        <v>185</v>
      </c>
      <c r="B44" s="101"/>
      <c r="C44" s="88" t="s">
        <v>231</v>
      </c>
      <c r="D44" s="98"/>
      <c r="E44" s="88" t="s">
        <v>33</v>
      </c>
      <c r="F44" s="98"/>
      <c r="G44" s="88" t="s">
        <v>232</v>
      </c>
      <c r="H44" s="88" t="s">
        <v>233</v>
      </c>
      <c r="I44" s="88" t="s">
        <v>226</v>
      </c>
      <c r="J44" s="99" t="s">
        <v>74</v>
      </c>
      <c r="K44" s="100" t="s">
        <v>25</v>
      </c>
      <c r="L44" s="100" t="s">
        <v>25</v>
      </c>
      <c r="M44" s="91" t="s">
        <v>150</v>
      </c>
      <c r="N44" s="105" t="s">
        <v>234</v>
      </c>
      <c r="O44" s="98"/>
      <c r="P44" s="98"/>
    </row>
    <row r="45" hidden="1">
      <c r="A45" s="96" t="s">
        <v>185</v>
      </c>
      <c r="B45" s="101"/>
      <c r="C45" s="88" t="s">
        <v>235</v>
      </c>
      <c r="D45" s="98"/>
      <c r="E45" s="88" t="s">
        <v>33</v>
      </c>
      <c r="F45" s="98"/>
      <c r="G45" s="88" t="s">
        <v>236</v>
      </c>
      <c r="H45" s="88" t="s">
        <v>237</v>
      </c>
      <c r="I45" s="88" t="s">
        <v>226</v>
      </c>
      <c r="J45" s="99" t="s">
        <v>74</v>
      </c>
      <c r="K45" s="100" t="s">
        <v>25</v>
      </c>
      <c r="L45" s="100" t="s">
        <v>25</v>
      </c>
      <c r="M45" s="91" t="s">
        <v>150</v>
      </c>
      <c r="N45" s="105" t="s">
        <v>238</v>
      </c>
      <c r="O45" s="98"/>
      <c r="P45" s="98"/>
    </row>
    <row r="46" hidden="1">
      <c r="A46" s="96" t="s">
        <v>185</v>
      </c>
      <c r="B46" s="101"/>
      <c r="C46" s="88" t="s">
        <v>239</v>
      </c>
      <c r="D46" s="98"/>
      <c r="E46" s="88" t="s">
        <v>33</v>
      </c>
      <c r="F46" s="98"/>
      <c r="G46" s="88" t="s">
        <v>240</v>
      </c>
      <c r="H46" s="88" t="s">
        <v>241</v>
      </c>
      <c r="I46" s="88" t="s">
        <v>242</v>
      </c>
      <c r="J46" s="99" t="s">
        <v>74</v>
      </c>
      <c r="K46" s="100" t="s">
        <v>75</v>
      </c>
      <c r="L46" s="100" t="s">
        <v>76</v>
      </c>
      <c r="M46" s="98"/>
      <c r="N46" s="105" t="s">
        <v>243</v>
      </c>
      <c r="O46" s="98"/>
      <c r="P46" s="98"/>
    </row>
    <row r="47" hidden="1">
      <c r="A47" s="96" t="s">
        <v>185</v>
      </c>
      <c r="B47" s="101"/>
      <c r="C47" s="88" t="s">
        <v>244</v>
      </c>
      <c r="D47" s="98"/>
      <c r="E47" s="88" t="s">
        <v>33</v>
      </c>
      <c r="F47" s="98"/>
      <c r="G47" s="88" t="s">
        <v>245</v>
      </c>
      <c r="H47" s="88" t="s">
        <v>246</v>
      </c>
      <c r="I47" s="88" t="s">
        <v>247</v>
      </c>
      <c r="J47" s="99" t="s">
        <v>74</v>
      </c>
      <c r="K47" s="100" t="s">
        <v>75</v>
      </c>
      <c r="L47" s="100" t="s">
        <v>76</v>
      </c>
      <c r="M47" s="98"/>
      <c r="N47" s="105" t="s">
        <v>248</v>
      </c>
      <c r="O47" s="98"/>
      <c r="P47" s="98"/>
    </row>
    <row r="48" hidden="1">
      <c r="A48" s="96" t="s">
        <v>185</v>
      </c>
      <c r="B48" s="101"/>
      <c r="C48" s="88" t="s">
        <v>249</v>
      </c>
      <c r="D48" s="98"/>
      <c r="E48" s="88" t="s">
        <v>33</v>
      </c>
      <c r="F48" s="98"/>
      <c r="G48" s="88" t="s">
        <v>232</v>
      </c>
      <c r="H48" s="88" t="s">
        <v>233</v>
      </c>
      <c r="I48" s="88" t="s">
        <v>226</v>
      </c>
      <c r="J48" s="99" t="s">
        <v>74</v>
      </c>
      <c r="K48" s="100" t="s">
        <v>25</v>
      </c>
      <c r="L48" s="100" t="s">
        <v>25</v>
      </c>
      <c r="M48" s="91" t="s">
        <v>150</v>
      </c>
      <c r="N48" s="105" t="s">
        <v>250</v>
      </c>
      <c r="O48" s="98"/>
      <c r="P48" s="98"/>
    </row>
    <row r="49" hidden="1">
      <c r="A49" s="96" t="s">
        <v>185</v>
      </c>
      <c r="B49" s="101"/>
      <c r="C49" s="88" t="s">
        <v>251</v>
      </c>
      <c r="D49" s="98"/>
      <c r="E49" s="88" t="s">
        <v>33</v>
      </c>
      <c r="F49" s="98"/>
      <c r="G49" s="88" t="s">
        <v>236</v>
      </c>
      <c r="H49" s="88" t="s">
        <v>237</v>
      </c>
      <c r="I49" s="88" t="s">
        <v>226</v>
      </c>
      <c r="J49" s="99" t="s">
        <v>74</v>
      </c>
      <c r="K49" s="100" t="s">
        <v>25</v>
      </c>
      <c r="L49" s="100" t="s">
        <v>25</v>
      </c>
      <c r="M49" s="91" t="s">
        <v>150</v>
      </c>
      <c r="N49" s="105" t="s">
        <v>252</v>
      </c>
      <c r="O49" s="98"/>
      <c r="P49" s="98"/>
    </row>
    <row r="50" hidden="1">
      <c r="A50" s="96" t="s">
        <v>185</v>
      </c>
      <c r="B50" s="101"/>
      <c r="C50" s="88" t="s">
        <v>253</v>
      </c>
      <c r="D50" s="98"/>
      <c r="E50" s="88" t="s">
        <v>33</v>
      </c>
      <c r="F50" s="98"/>
      <c r="G50" s="88" t="s">
        <v>240</v>
      </c>
      <c r="H50" s="88" t="s">
        <v>241</v>
      </c>
      <c r="I50" s="88" t="s">
        <v>242</v>
      </c>
      <c r="J50" s="99" t="s">
        <v>74</v>
      </c>
      <c r="K50" s="100" t="s">
        <v>75</v>
      </c>
      <c r="L50" s="100" t="s">
        <v>76</v>
      </c>
      <c r="M50" s="98"/>
      <c r="N50" s="98"/>
      <c r="O50" s="98"/>
      <c r="P50" s="98"/>
    </row>
    <row r="51" hidden="1">
      <c r="A51" s="96" t="s">
        <v>185</v>
      </c>
      <c r="B51" s="101"/>
      <c r="C51" s="88" t="s">
        <v>254</v>
      </c>
      <c r="D51" s="98"/>
      <c r="E51" s="88" t="s">
        <v>33</v>
      </c>
      <c r="F51" s="98"/>
      <c r="G51" s="88" t="s">
        <v>255</v>
      </c>
      <c r="H51" s="88" t="s">
        <v>246</v>
      </c>
      <c r="I51" s="88" t="s">
        <v>247</v>
      </c>
      <c r="J51" s="99" t="s">
        <v>74</v>
      </c>
      <c r="K51" s="100" t="s">
        <v>75</v>
      </c>
      <c r="L51" s="100" t="s">
        <v>76</v>
      </c>
      <c r="M51" s="98"/>
      <c r="N51" s="98"/>
      <c r="O51" s="98"/>
      <c r="P51" s="98"/>
    </row>
    <row r="52" hidden="1">
      <c r="A52" s="96" t="s">
        <v>256</v>
      </c>
      <c r="B52" s="102" t="s">
        <v>257</v>
      </c>
      <c r="C52" s="88" t="s">
        <v>258</v>
      </c>
      <c r="D52" s="98"/>
      <c r="E52" s="106" t="s">
        <v>34</v>
      </c>
      <c r="F52" s="88" t="s">
        <v>259</v>
      </c>
      <c r="G52" s="88" t="s">
        <v>260</v>
      </c>
      <c r="H52" s="88" t="s">
        <v>261</v>
      </c>
      <c r="I52" s="88" t="s">
        <v>262</v>
      </c>
      <c r="J52" s="99" t="s">
        <v>74</v>
      </c>
      <c r="K52" s="100" t="s">
        <v>75</v>
      </c>
      <c r="L52" s="100" t="s">
        <v>76</v>
      </c>
      <c r="M52" s="98"/>
      <c r="N52" s="98"/>
      <c r="O52" s="98"/>
      <c r="P52" s="98"/>
    </row>
    <row r="53" hidden="1">
      <c r="A53" s="96" t="s">
        <v>256</v>
      </c>
      <c r="B53" s="101"/>
      <c r="C53" s="88" t="s">
        <v>263</v>
      </c>
      <c r="D53" s="98"/>
      <c r="E53" s="106" t="s">
        <v>34</v>
      </c>
      <c r="F53" s="98"/>
      <c r="G53" s="88" t="s">
        <v>264</v>
      </c>
      <c r="H53" s="88" t="s">
        <v>261</v>
      </c>
      <c r="I53" s="88" t="s">
        <v>265</v>
      </c>
      <c r="J53" s="99" t="s">
        <v>74</v>
      </c>
      <c r="K53" s="100" t="s">
        <v>75</v>
      </c>
      <c r="L53" s="100" t="s">
        <v>76</v>
      </c>
      <c r="M53" s="98"/>
      <c r="N53" s="98"/>
      <c r="O53" s="98"/>
      <c r="P53" s="98"/>
    </row>
    <row r="54" hidden="1">
      <c r="A54" s="96" t="s">
        <v>256</v>
      </c>
      <c r="B54" s="101"/>
      <c r="C54" s="88" t="s">
        <v>266</v>
      </c>
      <c r="D54" s="98"/>
      <c r="E54" s="106" t="s">
        <v>34</v>
      </c>
      <c r="F54" s="98"/>
      <c r="G54" s="88" t="s">
        <v>267</v>
      </c>
      <c r="H54" s="88" t="s">
        <v>261</v>
      </c>
      <c r="I54" s="88" t="s">
        <v>268</v>
      </c>
      <c r="J54" s="99" t="s">
        <v>74</v>
      </c>
      <c r="K54" s="100" t="s">
        <v>75</v>
      </c>
      <c r="L54" s="100" t="s">
        <v>76</v>
      </c>
      <c r="M54" s="98"/>
      <c r="N54" s="98"/>
      <c r="O54" s="98"/>
      <c r="P54" s="98"/>
    </row>
    <row r="55" hidden="1">
      <c r="A55" s="96" t="s">
        <v>256</v>
      </c>
      <c r="B55" s="101"/>
      <c r="C55" s="88" t="s">
        <v>269</v>
      </c>
      <c r="D55" s="98"/>
      <c r="E55" s="106" t="s">
        <v>34</v>
      </c>
      <c r="F55" s="98"/>
      <c r="G55" s="88" t="s">
        <v>270</v>
      </c>
      <c r="H55" s="88" t="s">
        <v>261</v>
      </c>
      <c r="I55" s="88" t="s">
        <v>271</v>
      </c>
      <c r="J55" s="99" t="s">
        <v>74</v>
      </c>
      <c r="K55" s="100" t="s">
        <v>75</v>
      </c>
      <c r="L55" s="100" t="s">
        <v>76</v>
      </c>
      <c r="M55" s="98"/>
      <c r="N55" s="98"/>
      <c r="O55" s="98"/>
      <c r="P55" s="98"/>
    </row>
    <row r="56" hidden="1">
      <c r="A56" s="96" t="s">
        <v>256</v>
      </c>
      <c r="B56" s="101"/>
      <c r="C56" s="88" t="s">
        <v>272</v>
      </c>
      <c r="D56" s="98"/>
      <c r="E56" s="106" t="s">
        <v>34</v>
      </c>
      <c r="F56" s="98"/>
      <c r="G56" s="88" t="s">
        <v>273</v>
      </c>
      <c r="H56" s="88" t="s">
        <v>274</v>
      </c>
      <c r="I56" s="88" t="s">
        <v>275</v>
      </c>
      <c r="J56" s="99" t="s">
        <v>74</v>
      </c>
      <c r="K56" s="100" t="s">
        <v>75</v>
      </c>
      <c r="L56" s="100" t="s">
        <v>76</v>
      </c>
      <c r="M56" s="98"/>
      <c r="N56" s="105" t="s">
        <v>276</v>
      </c>
      <c r="O56" s="98"/>
      <c r="P56" s="98"/>
    </row>
    <row r="57" hidden="1">
      <c r="A57" s="96" t="s">
        <v>256</v>
      </c>
      <c r="B57" s="101"/>
      <c r="C57" s="88" t="s">
        <v>277</v>
      </c>
      <c r="D57" s="98"/>
      <c r="E57" s="106" t="s">
        <v>34</v>
      </c>
      <c r="F57" s="98"/>
      <c r="G57" s="88" t="s">
        <v>278</v>
      </c>
      <c r="H57" s="88" t="s">
        <v>279</v>
      </c>
      <c r="I57" s="88" t="s">
        <v>280</v>
      </c>
      <c r="J57" s="99" t="s">
        <v>74</v>
      </c>
      <c r="K57" s="100" t="s">
        <v>75</v>
      </c>
      <c r="L57" s="100" t="s">
        <v>76</v>
      </c>
      <c r="M57" s="98"/>
      <c r="N57" s="105" t="s">
        <v>281</v>
      </c>
      <c r="O57" s="98"/>
      <c r="P57" s="98"/>
    </row>
    <row r="58" hidden="1">
      <c r="A58" s="96" t="s">
        <v>282</v>
      </c>
      <c r="B58" s="102" t="s">
        <v>283</v>
      </c>
      <c r="C58" s="88" t="s">
        <v>284</v>
      </c>
      <c r="D58" s="98"/>
      <c r="E58" s="106" t="s">
        <v>34</v>
      </c>
      <c r="F58" s="88" t="s">
        <v>285</v>
      </c>
      <c r="G58" s="88" t="s">
        <v>286</v>
      </c>
      <c r="H58" s="88" t="s">
        <v>261</v>
      </c>
      <c r="I58" s="88" t="s">
        <v>287</v>
      </c>
      <c r="J58" s="99" t="s">
        <v>74</v>
      </c>
      <c r="K58" s="100" t="s">
        <v>75</v>
      </c>
      <c r="L58" s="100" t="s">
        <v>76</v>
      </c>
      <c r="M58" s="98"/>
      <c r="N58" s="98"/>
      <c r="O58" s="98"/>
      <c r="P58" s="98"/>
    </row>
    <row r="59" hidden="1">
      <c r="A59" s="96" t="s">
        <v>282</v>
      </c>
      <c r="B59" s="101"/>
      <c r="C59" s="88" t="s">
        <v>288</v>
      </c>
      <c r="D59" s="98"/>
      <c r="E59" s="106" t="s">
        <v>34</v>
      </c>
      <c r="F59" s="98"/>
      <c r="G59" s="88" t="s">
        <v>289</v>
      </c>
      <c r="H59" s="88" t="s">
        <v>261</v>
      </c>
      <c r="I59" s="88" t="s">
        <v>290</v>
      </c>
      <c r="J59" s="99" t="s">
        <v>74</v>
      </c>
      <c r="K59" s="100" t="s">
        <v>75</v>
      </c>
      <c r="L59" s="100" t="s">
        <v>76</v>
      </c>
      <c r="M59" s="98"/>
      <c r="N59" s="98"/>
      <c r="O59" s="98"/>
      <c r="P59" s="98"/>
    </row>
    <row r="60" hidden="1">
      <c r="A60" s="96" t="s">
        <v>282</v>
      </c>
      <c r="B60" s="101"/>
      <c r="C60" s="88" t="s">
        <v>291</v>
      </c>
      <c r="D60" s="98"/>
      <c r="E60" s="106" t="s">
        <v>34</v>
      </c>
      <c r="F60" s="98"/>
      <c r="G60" s="88" t="s">
        <v>292</v>
      </c>
      <c r="H60" s="88" t="s">
        <v>293</v>
      </c>
      <c r="I60" s="88" t="s">
        <v>294</v>
      </c>
      <c r="J60" s="99" t="s">
        <v>74</v>
      </c>
      <c r="K60" s="100" t="s">
        <v>75</v>
      </c>
      <c r="L60" s="100" t="s">
        <v>76</v>
      </c>
      <c r="M60" s="98"/>
      <c r="N60" s="98"/>
      <c r="O60" s="98"/>
      <c r="P60" s="98"/>
    </row>
    <row r="61" hidden="1">
      <c r="A61" s="96" t="s">
        <v>282</v>
      </c>
      <c r="B61" s="101"/>
      <c r="C61" s="88" t="s">
        <v>295</v>
      </c>
      <c r="D61" s="98"/>
      <c r="E61" s="106" t="s">
        <v>34</v>
      </c>
      <c r="F61" s="98"/>
      <c r="G61" s="88" t="s">
        <v>296</v>
      </c>
      <c r="H61" s="88" t="s">
        <v>297</v>
      </c>
      <c r="I61" s="88" t="s">
        <v>298</v>
      </c>
      <c r="J61" s="99" t="s">
        <v>74</v>
      </c>
      <c r="K61" s="100" t="s">
        <v>25</v>
      </c>
      <c r="L61" s="100" t="s">
        <v>25</v>
      </c>
      <c r="M61" s="91" t="s">
        <v>150</v>
      </c>
      <c r="N61" s="98"/>
      <c r="O61" s="98"/>
      <c r="P61" s="98"/>
    </row>
    <row r="62" hidden="1">
      <c r="A62" s="96" t="s">
        <v>299</v>
      </c>
      <c r="B62" s="102" t="s">
        <v>300</v>
      </c>
      <c r="C62" s="88" t="s">
        <v>301</v>
      </c>
      <c r="D62" s="88" t="s">
        <v>302</v>
      </c>
      <c r="E62" s="88" t="s">
        <v>35</v>
      </c>
      <c r="F62" s="88" t="s">
        <v>303</v>
      </c>
      <c r="G62" s="88" t="s">
        <v>304</v>
      </c>
      <c r="H62" s="88" t="s">
        <v>305</v>
      </c>
      <c r="I62" s="88" t="s">
        <v>306</v>
      </c>
      <c r="J62" s="99" t="s">
        <v>74</v>
      </c>
      <c r="K62" s="100" t="s">
        <v>75</v>
      </c>
      <c r="L62" s="100" t="s">
        <v>76</v>
      </c>
      <c r="M62" s="98"/>
      <c r="N62" s="98"/>
      <c r="O62" s="98"/>
      <c r="P62" s="98"/>
    </row>
    <row r="63" hidden="1">
      <c r="A63" s="96" t="s">
        <v>299</v>
      </c>
      <c r="B63" s="101"/>
      <c r="C63" s="88" t="s">
        <v>307</v>
      </c>
      <c r="D63" s="98"/>
      <c r="E63" s="88" t="s">
        <v>35</v>
      </c>
      <c r="F63" s="98"/>
      <c r="G63" s="88" t="s">
        <v>308</v>
      </c>
      <c r="H63" s="88" t="s">
        <v>309</v>
      </c>
      <c r="I63" s="88" t="s">
        <v>310</v>
      </c>
      <c r="J63" s="99" t="s">
        <v>74</v>
      </c>
      <c r="K63" s="100" t="s">
        <v>25</v>
      </c>
      <c r="L63" s="100" t="s">
        <v>25</v>
      </c>
      <c r="M63" s="91" t="s">
        <v>150</v>
      </c>
      <c r="N63" s="98"/>
      <c r="O63" s="98"/>
      <c r="P63" s="98"/>
    </row>
    <row r="64" hidden="1">
      <c r="A64" s="96" t="s">
        <v>299</v>
      </c>
      <c r="B64" s="101"/>
      <c r="C64" s="88" t="s">
        <v>311</v>
      </c>
      <c r="D64" s="98"/>
      <c r="E64" s="88" t="s">
        <v>35</v>
      </c>
      <c r="F64" s="98"/>
      <c r="G64" s="88" t="s">
        <v>312</v>
      </c>
      <c r="H64" s="88" t="s">
        <v>313</v>
      </c>
      <c r="I64" s="88" t="s">
        <v>314</v>
      </c>
      <c r="J64" s="99" t="s">
        <v>74</v>
      </c>
      <c r="K64" s="100" t="s">
        <v>75</v>
      </c>
      <c r="L64" s="100" t="s">
        <v>76</v>
      </c>
      <c r="M64" s="98"/>
      <c r="N64" s="98"/>
      <c r="O64" s="98"/>
      <c r="P64" s="98"/>
    </row>
    <row r="65" hidden="1">
      <c r="A65" s="96" t="s">
        <v>299</v>
      </c>
      <c r="B65" s="101"/>
      <c r="C65" s="88" t="s">
        <v>315</v>
      </c>
      <c r="D65" s="98"/>
      <c r="E65" s="88" t="s">
        <v>35</v>
      </c>
      <c r="F65" s="98"/>
      <c r="G65" s="88" t="s">
        <v>316</v>
      </c>
      <c r="H65" s="88" t="s">
        <v>317</v>
      </c>
      <c r="I65" s="88" t="s">
        <v>318</v>
      </c>
      <c r="J65" s="99" t="s">
        <v>74</v>
      </c>
      <c r="K65" s="100" t="s">
        <v>75</v>
      </c>
      <c r="L65" s="100" t="s">
        <v>76</v>
      </c>
      <c r="M65" s="98"/>
      <c r="N65" s="98"/>
      <c r="O65" s="98"/>
      <c r="P65" s="98"/>
    </row>
    <row r="66" hidden="1">
      <c r="A66" s="96" t="s">
        <v>299</v>
      </c>
      <c r="B66" s="101"/>
      <c r="C66" s="88" t="s">
        <v>319</v>
      </c>
      <c r="D66" s="98"/>
      <c r="E66" s="88" t="s">
        <v>35</v>
      </c>
      <c r="F66" s="98"/>
      <c r="G66" s="88" t="s">
        <v>320</v>
      </c>
      <c r="H66" s="88" t="s">
        <v>321</v>
      </c>
      <c r="I66" s="88" t="s">
        <v>322</v>
      </c>
      <c r="J66" s="99" t="s">
        <v>74</v>
      </c>
      <c r="K66" s="100" t="s">
        <v>25</v>
      </c>
      <c r="L66" s="100" t="s">
        <v>25</v>
      </c>
      <c r="M66" s="91" t="s">
        <v>150</v>
      </c>
      <c r="N66" s="98"/>
      <c r="O66" s="98"/>
      <c r="P66" s="98"/>
    </row>
    <row r="67" hidden="1">
      <c r="A67" s="96" t="s">
        <v>299</v>
      </c>
      <c r="B67" s="101"/>
      <c r="C67" s="88" t="s">
        <v>323</v>
      </c>
      <c r="D67" s="98"/>
      <c r="E67" s="88" t="s">
        <v>35</v>
      </c>
      <c r="F67" s="98"/>
      <c r="G67" s="88" t="s">
        <v>324</v>
      </c>
      <c r="H67" s="88" t="s">
        <v>321</v>
      </c>
      <c r="I67" s="88" t="s">
        <v>325</v>
      </c>
      <c r="J67" s="99" t="s">
        <v>74</v>
      </c>
      <c r="K67" s="100" t="s">
        <v>75</v>
      </c>
      <c r="L67" s="100" t="s">
        <v>76</v>
      </c>
      <c r="M67" s="98"/>
      <c r="N67" s="98"/>
      <c r="O67" s="98"/>
      <c r="P67" s="98"/>
    </row>
    <row r="68" hidden="1">
      <c r="A68" s="96" t="s">
        <v>326</v>
      </c>
      <c r="B68" s="102" t="s">
        <v>327</v>
      </c>
      <c r="C68" s="88" t="s">
        <v>328</v>
      </c>
      <c r="D68" s="88" t="s">
        <v>302</v>
      </c>
      <c r="E68" s="88" t="s">
        <v>35</v>
      </c>
      <c r="F68" s="88" t="s">
        <v>329</v>
      </c>
      <c r="G68" s="88" t="s">
        <v>330</v>
      </c>
      <c r="H68" s="88" t="s">
        <v>331</v>
      </c>
      <c r="I68" s="88" t="s">
        <v>332</v>
      </c>
      <c r="J68" s="99" t="s">
        <v>74</v>
      </c>
      <c r="K68" s="100" t="s">
        <v>75</v>
      </c>
      <c r="L68" s="100" t="s">
        <v>76</v>
      </c>
      <c r="M68" s="98"/>
      <c r="N68" s="98"/>
      <c r="O68" s="98"/>
      <c r="P68" s="98"/>
    </row>
    <row r="69" hidden="1">
      <c r="A69" s="96" t="s">
        <v>326</v>
      </c>
      <c r="B69" s="101"/>
      <c r="C69" s="88" t="s">
        <v>333</v>
      </c>
      <c r="D69" s="98"/>
      <c r="E69" s="88" t="s">
        <v>35</v>
      </c>
      <c r="F69" s="98"/>
      <c r="G69" s="88" t="s">
        <v>334</v>
      </c>
      <c r="H69" s="88" t="s">
        <v>335</v>
      </c>
      <c r="I69" s="88" t="s">
        <v>336</v>
      </c>
      <c r="J69" s="99" t="s">
        <v>74</v>
      </c>
      <c r="K69" s="100" t="s">
        <v>75</v>
      </c>
      <c r="L69" s="100" t="s">
        <v>76</v>
      </c>
      <c r="M69" s="98"/>
      <c r="N69" s="98"/>
      <c r="O69" s="98"/>
      <c r="P69" s="98"/>
    </row>
    <row r="70" hidden="1">
      <c r="A70" s="96" t="s">
        <v>326</v>
      </c>
      <c r="B70" s="101"/>
      <c r="C70" s="88" t="s">
        <v>337</v>
      </c>
      <c r="D70" s="98"/>
      <c r="E70" s="88" t="s">
        <v>35</v>
      </c>
      <c r="F70" s="98"/>
      <c r="G70" s="88" t="s">
        <v>338</v>
      </c>
      <c r="H70" s="88" t="s">
        <v>339</v>
      </c>
      <c r="I70" s="88" t="s">
        <v>332</v>
      </c>
      <c r="J70" s="99" t="s">
        <v>74</v>
      </c>
      <c r="K70" s="100" t="s">
        <v>75</v>
      </c>
      <c r="L70" s="100" t="s">
        <v>76</v>
      </c>
      <c r="M70" s="98"/>
      <c r="N70" s="98"/>
      <c r="O70" s="98"/>
      <c r="P70" s="98"/>
    </row>
    <row r="71" hidden="1">
      <c r="A71" s="96" t="s">
        <v>326</v>
      </c>
      <c r="B71" s="101"/>
      <c r="C71" s="88" t="s">
        <v>340</v>
      </c>
      <c r="D71" s="98"/>
      <c r="E71" s="88" t="s">
        <v>35</v>
      </c>
      <c r="F71" s="98"/>
      <c r="G71" s="88" t="s">
        <v>341</v>
      </c>
      <c r="H71" s="88" t="s">
        <v>342</v>
      </c>
      <c r="I71" s="88" t="s">
        <v>343</v>
      </c>
      <c r="J71" s="99" t="s">
        <v>74</v>
      </c>
      <c r="K71" s="100" t="s">
        <v>25</v>
      </c>
      <c r="L71" s="100" t="s">
        <v>25</v>
      </c>
      <c r="M71" s="91" t="s">
        <v>150</v>
      </c>
      <c r="N71" s="98"/>
      <c r="O71" s="98"/>
      <c r="P71" s="98"/>
    </row>
    <row r="72" hidden="1">
      <c r="A72" s="96" t="s">
        <v>326</v>
      </c>
      <c r="B72" s="101"/>
      <c r="C72" s="88" t="s">
        <v>344</v>
      </c>
      <c r="D72" s="98"/>
      <c r="E72" s="88" t="s">
        <v>35</v>
      </c>
      <c r="F72" s="98"/>
      <c r="G72" s="88" t="s">
        <v>345</v>
      </c>
      <c r="H72" s="88" t="s">
        <v>346</v>
      </c>
      <c r="I72" s="88" t="s">
        <v>314</v>
      </c>
      <c r="J72" s="99" t="s">
        <v>74</v>
      </c>
      <c r="K72" s="100" t="s">
        <v>25</v>
      </c>
      <c r="L72" s="100" t="s">
        <v>25</v>
      </c>
      <c r="M72" s="91" t="s">
        <v>150</v>
      </c>
      <c r="N72" s="98"/>
      <c r="O72" s="98"/>
      <c r="P72" s="98"/>
    </row>
    <row r="73" hidden="1">
      <c r="A73" s="96" t="s">
        <v>326</v>
      </c>
      <c r="B73" s="101"/>
      <c r="C73" s="88" t="s">
        <v>347</v>
      </c>
      <c r="D73" s="98"/>
      <c r="E73" s="88" t="s">
        <v>35</v>
      </c>
      <c r="F73" s="98"/>
      <c r="G73" s="88" t="s">
        <v>316</v>
      </c>
      <c r="H73" s="88" t="s">
        <v>348</v>
      </c>
      <c r="I73" s="88" t="s">
        <v>318</v>
      </c>
      <c r="J73" s="99" t="s">
        <v>74</v>
      </c>
      <c r="K73" s="100" t="s">
        <v>75</v>
      </c>
      <c r="L73" s="100" t="s">
        <v>76</v>
      </c>
      <c r="M73" s="98"/>
      <c r="N73" s="98"/>
      <c r="O73" s="98"/>
      <c r="P73" s="98"/>
    </row>
    <row r="74" hidden="1">
      <c r="A74" s="96" t="s">
        <v>326</v>
      </c>
      <c r="B74" s="101"/>
      <c r="C74" s="88" t="s">
        <v>349</v>
      </c>
      <c r="D74" s="98"/>
      <c r="E74" s="88" t="s">
        <v>35</v>
      </c>
      <c r="F74" s="98"/>
      <c r="G74" s="88" t="s">
        <v>350</v>
      </c>
      <c r="H74" s="88" t="s">
        <v>351</v>
      </c>
      <c r="I74" s="88" t="s">
        <v>352</v>
      </c>
      <c r="J74" s="99" t="s">
        <v>74</v>
      </c>
      <c r="K74" s="100" t="s">
        <v>75</v>
      </c>
      <c r="L74" s="100" t="s">
        <v>76</v>
      </c>
      <c r="M74" s="98"/>
      <c r="N74" s="98"/>
      <c r="O74" s="98"/>
      <c r="P74" s="98"/>
    </row>
    <row r="75" hidden="1">
      <c r="A75" s="96" t="s">
        <v>326</v>
      </c>
      <c r="B75" s="107"/>
      <c r="C75" s="88" t="s">
        <v>353</v>
      </c>
      <c r="D75" s="98"/>
      <c r="E75" s="88" t="s">
        <v>35</v>
      </c>
      <c r="F75" s="98"/>
      <c r="G75" s="88" t="s">
        <v>354</v>
      </c>
      <c r="H75" s="88" t="s">
        <v>355</v>
      </c>
      <c r="I75" s="88" t="s">
        <v>356</v>
      </c>
      <c r="J75" s="99" t="s">
        <v>74</v>
      </c>
      <c r="K75" s="100" t="s">
        <v>25</v>
      </c>
      <c r="L75" s="100" t="s">
        <v>25</v>
      </c>
      <c r="M75" s="91" t="s">
        <v>150</v>
      </c>
      <c r="N75" s="98"/>
      <c r="O75" s="98"/>
      <c r="P75" s="98"/>
    </row>
    <row r="76" hidden="1">
      <c r="A76" s="96" t="s">
        <v>357</v>
      </c>
      <c r="B76" s="102" t="s">
        <v>358</v>
      </c>
      <c r="C76" s="88" t="s">
        <v>359</v>
      </c>
      <c r="D76" s="88" t="s">
        <v>302</v>
      </c>
      <c r="E76" s="88" t="s">
        <v>360</v>
      </c>
      <c r="F76" s="88" t="s">
        <v>361</v>
      </c>
      <c r="G76" s="88" t="s">
        <v>362</v>
      </c>
      <c r="H76" s="88" t="s">
        <v>363</v>
      </c>
      <c r="I76" s="88" t="s">
        <v>364</v>
      </c>
      <c r="J76" s="99" t="s">
        <v>74</v>
      </c>
      <c r="K76" s="100" t="s">
        <v>75</v>
      </c>
      <c r="L76" s="100" t="s">
        <v>54</v>
      </c>
      <c r="M76" s="98"/>
      <c r="N76" s="98"/>
      <c r="O76" s="98"/>
      <c r="P76" s="98"/>
    </row>
    <row r="77" hidden="1">
      <c r="A77" s="96" t="s">
        <v>357</v>
      </c>
      <c r="B77" s="101"/>
      <c r="C77" s="88" t="s">
        <v>365</v>
      </c>
      <c r="D77" s="98"/>
      <c r="E77" s="88" t="s">
        <v>360</v>
      </c>
      <c r="F77" s="98"/>
      <c r="G77" s="88" t="s">
        <v>366</v>
      </c>
      <c r="H77" s="88" t="s">
        <v>367</v>
      </c>
      <c r="I77" s="88" t="s">
        <v>368</v>
      </c>
      <c r="J77" s="99" t="s">
        <v>74</v>
      </c>
      <c r="K77" s="100" t="s">
        <v>75</v>
      </c>
      <c r="L77" s="100" t="s">
        <v>54</v>
      </c>
      <c r="M77" s="98"/>
      <c r="N77" s="98"/>
      <c r="O77" s="98"/>
      <c r="P77" s="98"/>
    </row>
    <row r="78" hidden="1">
      <c r="A78" s="96" t="s">
        <v>357</v>
      </c>
      <c r="B78" s="101"/>
      <c r="C78" s="88" t="s">
        <v>369</v>
      </c>
      <c r="D78" s="98"/>
      <c r="E78" s="88" t="s">
        <v>360</v>
      </c>
      <c r="F78" s="98"/>
      <c r="G78" s="88" t="s">
        <v>370</v>
      </c>
      <c r="H78" s="88" t="s">
        <v>371</v>
      </c>
      <c r="I78" s="88" t="s">
        <v>314</v>
      </c>
      <c r="J78" s="99" t="s">
        <v>74</v>
      </c>
      <c r="K78" s="100" t="s">
        <v>75</v>
      </c>
      <c r="L78" s="100" t="s">
        <v>54</v>
      </c>
      <c r="M78" s="98"/>
      <c r="N78" s="98"/>
      <c r="O78" s="98"/>
      <c r="P78" s="98"/>
    </row>
    <row r="79" hidden="1">
      <c r="A79" s="96" t="s">
        <v>357</v>
      </c>
      <c r="B79" s="101"/>
      <c r="C79" s="88" t="s">
        <v>372</v>
      </c>
      <c r="D79" s="98"/>
      <c r="E79" s="88" t="s">
        <v>360</v>
      </c>
      <c r="F79" s="98"/>
      <c r="G79" s="88" t="s">
        <v>316</v>
      </c>
      <c r="H79" s="88" t="s">
        <v>373</v>
      </c>
      <c r="I79" s="88" t="s">
        <v>374</v>
      </c>
      <c r="J79" s="99" t="s">
        <v>74</v>
      </c>
      <c r="K79" s="100" t="s">
        <v>75</v>
      </c>
      <c r="L79" s="100" t="s">
        <v>54</v>
      </c>
      <c r="M79" s="98"/>
      <c r="N79" s="98"/>
      <c r="O79" s="98"/>
      <c r="P79" s="98"/>
    </row>
    <row r="80" hidden="1">
      <c r="A80" s="96" t="s">
        <v>357</v>
      </c>
      <c r="B80" s="107"/>
      <c r="C80" s="88" t="s">
        <v>375</v>
      </c>
      <c r="D80" s="98"/>
      <c r="E80" s="88" t="s">
        <v>360</v>
      </c>
      <c r="F80" s="98"/>
      <c r="G80" s="88" t="s">
        <v>376</v>
      </c>
      <c r="H80" s="88" t="s">
        <v>377</v>
      </c>
      <c r="I80" s="88" t="s">
        <v>374</v>
      </c>
      <c r="J80" s="99" t="s">
        <v>74</v>
      </c>
      <c r="K80" s="100" t="s">
        <v>75</v>
      </c>
      <c r="L80" s="100" t="s">
        <v>54</v>
      </c>
      <c r="M80" s="98"/>
      <c r="N80" s="98"/>
      <c r="O80" s="98"/>
      <c r="P80" s="98"/>
    </row>
    <row r="81" hidden="1">
      <c r="A81" s="108"/>
      <c r="B81" s="98"/>
      <c r="C81" s="88" t="s">
        <v>378</v>
      </c>
      <c r="D81" s="98"/>
      <c r="E81" s="88" t="s">
        <v>36</v>
      </c>
      <c r="F81" s="98"/>
      <c r="G81" s="98"/>
      <c r="H81" s="88" t="s">
        <v>379</v>
      </c>
      <c r="I81" s="88" t="s">
        <v>380</v>
      </c>
      <c r="J81" s="99" t="s">
        <v>74</v>
      </c>
      <c r="K81" s="100" t="s">
        <v>75</v>
      </c>
      <c r="L81" s="100" t="s">
        <v>76</v>
      </c>
      <c r="M81" s="98"/>
      <c r="N81" s="105" t="s">
        <v>381</v>
      </c>
      <c r="O81" s="98"/>
      <c r="P81" s="98"/>
    </row>
    <row r="82" hidden="1">
      <c r="A82" s="108"/>
      <c r="B82" s="98"/>
      <c r="C82" s="88" t="s">
        <v>382</v>
      </c>
      <c r="D82" s="98"/>
      <c r="E82" s="106" t="s">
        <v>34</v>
      </c>
      <c r="F82" s="98"/>
      <c r="G82" s="88" t="s">
        <v>383</v>
      </c>
      <c r="H82" s="88" t="s">
        <v>384</v>
      </c>
      <c r="I82" s="88" t="s">
        <v>385</v>
      </c>
      <c r="J82" s="99" t="s">
        <v>74</v>
      </c>
      <c r="K82" s="100" t="s">
        <v>25</v>
      </c>
      <c r="L82" s="100" t="s">
        <v>25</v>
      </c>
      <c r="M82" s="91" t="s">
        <v>386</v>
      </c>
      <c r="N82" s="105" t="s">
        <v>387</v>
      </c>
      <c r="O82" s="98"/>
      <c r="P82" s="98"/>
    </row>
    <row r="83" hidden="1">
      <c r="A83" s="108"/>
      <c r="B83" s="98"/>
      <c r="C83" s="88" t="s">
        <v>388</v>
      </c>
      <c r="D83" s="98"/>
      <c r="E83" s="88" t="s">
        <v>32</v>
      </c>
      <c r="F83" s="98"/>
      <c r="G83" s="98"/>
      <c r="H83" s="88" t="s">
        <v>389</v>
      </c>
      <c r="I83" s="88" t="s">
        <v>390</v>
      </c>
      <c r="J83" s="99" t="s">
        <v>74</v>
      </c>
      <c r="K83" s="100" t="s">
        <v>75</v>
      </c>
      <c r="L83" s="100" t="s">
        <v>76</v>
      </c>
      <c r="M83" s="98"/>
      <c r="N83" s="105" t="s">
        <v>391</v>
      </c>
      <c r="O83" s="98"/>
      <c r="P83" s="98"/>
    </row>
    <row r="84" hidden="1">
      <c r="A84" s="108"/>
      <c r="B84" s="98"/>
      <c r="C84" s="88" t="s">
        <v>392</v>
      </c>
      <c r="D84" s="98"/>
      <c r="E84" s="88" t="s">
        <v>35</v>
      </c>
      <c r="F84" s="98"/>
      <c r="G84" s="98"/>
      <c r="H84" s="88" t="s">
        <v>393</v>
      </c>
      <c r="I84" s="88" t="s">
        <v>394</v>
      </c>
      <c r="J84" s="99" t="s">
        <v>74</v>
      </c>
      <c r="K84" s="100" t="s">
        <v>75</v>
      </c>
      <c r="L84" s="100" t="s">
        <v>76</v>
      </c>
      <c r="M84" s="98"/>
      <c r="N84" s="105" t="s">
        <v>395</v>
      </c>
      <c r="O84" s="98"/>
      <c r="P84" s="98"/>
    </row>
    <row r="85" hidden="1">
      <c r="A85" s="108"/>
      <c r="B85" s="98"/>
      <c r="C85" s="88" t="s">
        <v>396</v>
      </c>
      <c r="D85" s="98"/>
      <c r="E85" s="88" t="s">
        <v>397</v>
      </c>
      <c r="F85" s="98"/>
      <c r="G85" s="88" t="s">
        <v>398</v>
      </c>
      <c r="H85" s="88" t="s">
        <v>399</v>
      </c>
      <c r="I85" s="88" t="s">
        <v>400</v>
      </c>
      <c r="J85" s="99" t="s">
        <v>74</v>
      </c>
      <c r="K85" s="100" t="s">
        <v>25</v>
      </c>
      <c r="L85" s="100" t="s">
        <v>25</v>
      </c>
      <c r="M85" s="91" t="s">
        <v>121</v>
      </c>
      <c r="N85" s="105" t="s">
        <v>401</v>
      </c>
      <c r="O85" s="98"/>
      <c r="P85" s="98"/>
    </row>
    <row r="86" hidden="1">
      <c r="A86" s="108"/>
      <c r="B86" s="98"/>
      <c r="C86" s="88" t="s">
        <v>402</v>
      </c>
      <c r="D86" s="98"/>
      <c r="E86" s="88" t="s">
        <v>360</v>
      </c>
      <c r="F86" s="98"/>
      <c r="G86" s="88" t="s">
        <v>403</v>
      </c>
      <c r="H86" s="88" t="s">
        <v>404</v>
      </c>
      <c r="I86" s="88" t="s">
        <v>405</v>
      </c>
      <c r="J86" s="99" t="s">
        <v>74</v>
      </c>
      <c r="K86" s="100" t="s">
        <v>25</v>
      </c>
      <c r="L86" s="100" t="s">
        <v>25</v>
      </c>
      <c r="M86" s="91" t="s">
        <v>406</v>
      </c>
      <c r="N86" s="105" t="s">
        <v>407</v>
      </c>
      <c r="O86" s="98"/>
      <c r="P86" s="98"/>
    </row>
    <row r="87" hidden="1">
      <c r="A87" s="108"/>
      <c r="B87" s="98"/>
      <c r="C87" s="88" t="s">
        <v>408</v>
      </c>
      <c r="D87" s="98"/>
      <c r="E87" s="88" t="s">
        <v>360</v>
      </c>
      <c r="F87" s="98"/>
      <c r="G87" s="91" t="s">
        <v>409</v>
      </c>
      <c r="H87" s="88" t="s">
        <v>410</v>
      </c>
      <c r="I87" s="88" t="s">
        <v>411</v>
      </c>
      <c r="J87" s="99" t="s">
        <v>74</v>
      </c>
      <c r="K87" s="100" t="s">
        <v>25</v>
      </c>
      <c r="L87" s="100" t="s">
        <v>25</v>
      </c>
      <c r="M87" s="91" t="s">
        <v>412</v>
      </c>
      <c r="N87" s="105" t="s">
        <v>413</v>
      </c>
      <c r="O87" s="98"/>
      <c r="P87" s="98"/>
    </row>
    <row r="88" hidden="1">
      <c r="A88" s="108"/>
      <c r="B88" s="98"/>
      <c r="C88" s="88" t="s">
        <v>414</v>
      </c>
      <c r="D88" s="98"/>
      <c r="E88" s="88" t="s">
        <v>397</v>
      </c>
      <c r="F88" s="98"/>
      <c r="G88" s="88" t="s">
        <v>415</v>
      </c>
      <c r="H88" s="88" t="s">
        <v>416</v>
      </c>
      <c r="I88" s="88" t="s">
        <v>417</v>
      </c>
      <c r="J88" s="99" t="s">
        <v>74</v>
      </c>
      <c r="K88" s="100" t="s">
        <v>75</v>
      </c>
      <c r="L88" s="100" t="s">
        <v>76</v>
      </c>
      <c r="M88" s="98"/>
      <c r="N88" s="98"/>
      <c r="O88" s="98"/>
      <c r="P88" s="98"/>
    </row>
    <row r="89" hidden="1">
      <c r="A89" s="96" t="s">
        <v>418</v>
      </c>
      <c r="B89" s="88" t="s">
        <v>419</v>
      </c>
      <c r="C89" s="88" t="s">
        <v>420</v>
      </c>
      <c r="D89" s="98"/>
      <c r="E89" s="88" t="s">
        <v>36</v>
      </c>
      <c r="F89" s="88" t="s">
        <v>25</v>
      </c>
      <c r="G89" s="88" t="s">
        <v>421</v>
      </c>
      <c r="H89" s="88" t="s">
        <v>422</v>
      </c>
      <c r="I89" s="88" t="s">
        <v>423</v>
      </c>
      <c r="J89" s="99" t="s">
        <v>74</v>
      </c>
      <c r="K89" s="100" t="s">
        <v>75</v>
      </c>
      <c r="L89" s="100" t="s">
        <v>76</v>
      </c>
      <c r="M89" s="98"/>
      <c r="N89" s="98"/>
      <c r="O89" s="98"/>
      <c r="P89" s="98"/>
    </row>
    <row r="90" hidden="1">
      <c r="A90" s="96" t="s">
        <v>418</v>
      </c>
      <c r="B90" s="88" t="s">
        <v>419</v>
      </c>
      <c r="C90" s="88" t="s">
        <v>424</v>
      </c>
      <c r="D90" s="98"/>
      <c r="E90" s="88" t="s">
        <v>36</v>
      </c>
      <c r="F90" s="88" t="s">
        <v>25</v>
      </c>
      <c r="G90" s="88" t="s">
        <v>425</v>
      </c>
      <c r="H90" s="88" t="s">
        <v>426</v>
      </c>
      <c r="I90" s="88" t="s">
        <v>427</v>
      </c>
      <c r="J90" s="99" t="s">
        <v>74</v>
      </c>
      <c r="K90" s="100" t="s">
        <v>75</v>
      </c>
      <c r="L90" s="100" t="s">
        <v>76</v>
      </c>
      <c r="M90" s="98"/>
      <c r="N90" s="98"/>
      <c r="O90" s="98"/>
      <c r="P90" s="98"/>
    </row>
    <row r="91" hidden="1">
      <c r="A91" s="96" t="s">
        <v>418</v>
      </c>
      <c r="B91" s="88" t="s">
        <v>419</v>
      </c>
      <c r="C91" s="88" t="s">
        <v>428</v>
      </c>
      <c r="D91" s="98"/>
      <c r="E91" s="88" t="s">
        <v>36</v>
      </c>
      <c r="F91" s="88" t="s">
        <v>25</v>
      </c>
      <c r="G91" s="88" t="s">
        <v>429</v>
      </c>
      <c r="H91" s="88" t="s">
        <v>430</v>
      </c>
      <c r="I91" s="88" t="s">
        <v>431</v>
      </c>
      <c r="J91" s="99" t="s">
        <v>74</v>
      </c>
      <c r="K91" s="100" t="s">
        <v>75</v>
      </c>
      <c r="L91" s="100" t="s">
        <v>76</v>
      </c>
      <c r="M91" s="98"/>
      <c r="N91" s="98"/>
      <c r="O91" s="98"/>
      <c r="P91" s="98"/>
    </row>
    <row r="92" hidden="1">
      <c r="A92" s="96" t="s">
        <v>418</v>
      </c>
      <c r="B92" s="88" t="s">
        <v>419</v>
      </c>
      <c r="C92" s="88" t="s">
        <v>432</v>
      </c>
      <c r="D92" s="98"/>
      <c r="E92" s="88" t="s">
        <v>36</v>
      </c>
      <c r="F92" s="88" t="s">
        <v>25</v>
      </c>
      <c r="G92" s="88" t="s">
        <v>433</v>
      </c>
      <c r="H92" s="88" t="s">
        <v>430</v>
      </c>
      <c r="I92" s="88" t="s">
        <v>434</v>
      </c>
      <c r="J92" s="99" t="s">
        <v>74</v>
      </c>
      <c r="K92" s="100" t="s">
        <v>75</v>
      </c>
      <c r="L92" s="100" t="s">
        <v>76</v>
      </c>
      <c r="M92" s="98"/>
      <c r="N92" s="98"/>
      <c r="O92" s="98"/>
      <c r="P92" s="98"/>
    </row>
    <row r="93" hidden="1">
      <c r="A93" s="96" t="s">
        <v>418</v>
      </c>
      <c r="B93" s="88" t="s">
        <v>419</v>
      </c>
      <c r="C93" s="88" t="s">
        <v>435</v>
      </c>
      <c r="D93" s="98"/>
      <c r="E93" s="88" t="s">
        <v>36</v>
      </c>
      <c r="F93" s="88" t="s">
        <v>25</v>
      </c>
      <c r="G93" s="88" t="s">
        <v>436</v>
      </c>
      <c r="H93" s="88" t="s">
        <v>437</v>
      </c>
      <c r="I93" s="88" t="s">
        <v>438</v>
      </c>
      <c r="J93" s="99" t="s">
        <v>74</v>
      </c>
      <c r="K93" s="100" t="s">
        <v>75</v>
      </c>
      <c r="L93" s="100" t="s">
        <v>76</v>
      </c>
      <c r="M93" s="98"/>
      <c r="N93" s="98"/>
      <c r="O93" s="98"/>
      <c r="P93" s="98"/>
    </row>
    <row r="94" hidden="1">
      <c r="A94" s="96" t="s">
        <v>418</v>
      </c>
      <c r="B94" s="88" t="s">
        <v>419</v>
      </c>
      <c r="C94" s="88" t="s">
        <v>439</v>
      </c>
      <c r="D94" s="98"/>
      <c r="E94" s="88" t="s">
        <v>36</v>
      </c>
      <c r="F94" s="88" t="s">
        <v>25</v>
      </c>
      <c r="G94" s="88" t="s">
        <v>440</v>
      </c>
      <c r="H94" s="88" t="s">
        <v>441</v>
      </c>
      <c r="I94" s="88" t="s">
        <v>442</v>
      </c>
      <c r="J94" s="99" t="s">
        <v>74</v>
      </c>
      <c r="K94" s="100" t="s">
        <v>75</v>
      </c>
      <c r="L94" s="100" t="s">
        <v>76</v>
      </c>
      <c r="M94" s="98"/>
      <c r="N94" s="98"/>
      <c r="O94" s="98"/>
      <c r="P94" s="98"/>
    </row>
    <row r="95" hidden="1">
      <c r="A95" s="96" t="s">
        <v>418</v>
      </c>
      <c r="B95" s="88" t="s">
        <v>419</v>
      </c>
      <c r="C95" s="88" t="s">
        <v>443</v>
      </c>
      <c r="D95" s="98"/>
      <c r="E95" s="88" t="s">
        <v>36</v>
      </c>
      <c r="F95" s="88" t="s">
        <v>25</v>
      </c>
      <c r="G95" s="88" t="s">
        <v>444</v>
      </c>
      <c r="H95" s="88" t="s">
        <v>445</v>
      </c>
      <c r="I95" s="88" t="s">
        <v>446</v>
      </c>
      <c r="J95" s="99" t="s">
        <v>74</v>
      </c>
      <c r="K95" s="100" t="s">
        <v>75</v>
      </c>
      <c r="L95" s="100" t="s">
        <v>76</v>
      </c>
      <c r="M95" s="98"/>
      <c r="N95" s="98"/>
      <c r="O95" s="98"/>
      <c r="P95" s="98"/>
    </row>
    <row r="96" hidden="1">
      <c r="A96" s="96" t="s">
        <v>418</v>
      </c>
      <c r="B96" s="88" t="s">
        <v>419</v>
      </c>
      <c r="C96" s="88" t="s">
        <v>447</v>
      </c>
      <c r="D96" s="98"/>
      <c r="E96" s="88" t="s">
        <v>36</v>
      </c>
      <c r="F96" s="88" t="s">
        <v>25</v>
      </c>
      <c r="G96" s="88" t="s">
        <v>448</v>
      </c>
      <c r="H96" s="88" t="s">
        <v>449</v>
      </c>
      <c r="I96" s="88" t="s">
        <v>450</v>
      </c>
      <c r="J96" s="99" t="s">
        <v>74</v>
      </c>
      <c r="K96" s="100" t="s">
        <v>75</v>
      </c>
      <c r="L96" s="100" t="s">
        <v>76</v>
      </c>
      <c r="M96" s="88" t="s">
        <v>451</v>
      </c>
      <c r="N96" s="98"/>
      <c r="O96" s="98"/>
      <c r="P96" s="98"/>
    </row>
    <row r="97" hidden="1">
      <c r="A97" s="96" t="s">
        <v>418</v>
      </c>
      <c r="B97" s="88" t="s">
        <v>419</v>
      </c>
      <c r="C97" s="88" t="s">
        <v>452</v>
      </c>
      <c r="D97" s="98"/>
      <c r="E97" s="88" t="s">
        <v>36</v>
      </c>
      <c r="F97" s="88" t="s">
        <v>25</v>
      </c>
      <c r="G97" s="88" t="s">
        <v>453</v>
      </c>
      <c r="H97" s="88" t="s">
        <v>454</v>
      </c>
      <c r="I97" s="88" t="s">
        <v>455</v>
      </c>
      <c r="J97" s="99" t="s">
        <v>74</v>
      </c>
      <c r="K97" s="100" t="s">
        <v>75</v>
      </c>
      <c r="L97" s="100" t="s">
        <v>76</v>
      </c>
      <c r="M97" s="98"/>
      <c r="N97" s="98"/>
      <c r="O97" s="98"/>
      <c r="P97" s="98"/>
    </row>
    <row r="98" hidden="1">
      <c r="A98" s="96" t="s">
        <v>418</v>
      </c>
      <c r="B98" s="88" t="s">
        <v>419</v>
      </c>
      <c r="C98" s="88" t="s">
        <v>456</v>
      </c>
      <c r="D98" s="98"/>
      <c r="E98" s="88" t="s">
        <v>36</v>
      </c>
      <c r="F98" s="88" t="s">
        <v>25</v>
      </c>
      <c r="G98" s="88" t="s">
        <v>457</v>
      </c>
      <c r="H98" s="88" t="s">
        <v>458</v>
      </c>
      <c r="I98" s="88" t="s">
        <v>459</v>
      </c>
      <c r="J98" s="99" t="s">
        <v>74</v>
      </c>
      <c r="K98" s="100" t="s">
        <v>75</v>
      </c>
      <c r="L98" s="100" t="s">
        <v>76</v>
      </c>
      <c r="M98" s="98"/>
      <c r="N98" s="98"/>
      <c r="O98" s="98"/>
      <c r="P98" s="98"/>
    </row>
    <row r="99" hidden="1">
      <c r="A99" s="96" t="s">
        <v>418</v>
      </c>
      <c r="B99" s="88" t="s">
        <v>419</v>
      </c>
      <c r="C99" s="88" t="s">
        <v>460</v>
      </c>
      <c r="D99" s="98"/>
      <c r="E99" s="88" t="s">
        <v>36</v>
      </c>
      <c r="F99" s="88" t="s">
        <v>25</v>
      </c>
      <c r="G99" s="88" t="s">
        <v>461</v>
      </c>
      <c r="H99" s="88" t="s">
        <v>462</v>
      </c>
      <c r="I99" s="88" t="s">
        <v>463</v>
      </c>
      <c r="J99" s="99" t="s">
        <v>74</v>
      </c>
      <c r="K99" s="100" t="s">
        <v>75</v>
      </c>
      <c r="L99" s="100" t="s">
        <v>76</v>
      </c>
      <c r="M99" s="98"/>
      <c r="N99" s="98"/>
      <c r="O99" s="98"/>
      <c r="P99" s="98"/>
    </row>
    <row r="100" hidden="1">
      <c r="A100" s="96" t="s">
        <v>418</v>
      </c>
      <c r="B100" s="88" t="s">
        <v>419</v>
      </c>
      <c r="C100" s="88" t="s">
        <v>464</v>
      </c>
      <c r="D100" s="98"/>
      <c r="E100" s="88" t="s">
        <v>36</v>
      </c>
      <c r="F100" s="88" t="s">
        <v>25</v>
      </c>
      <c r="G100" s="88" t="s">
        <v>465</v>
      </c>
      <c r="H100" s="88" t="s">
        <v>466</v>
      </c>
      <c r="I100" s="88" t="s">
        <v>467</v>
      </c>
      <c r="J100" s="99" t="s">
        <v>74</v>
      </c>
      <c r="K100" s="100" t="s">
        <v>25</v>
      </c>
      <c r="L100" s="100" t="s">
        <v>25</v>
      </c>
      <c r="M100" s="91" t="s">
        <v>150</v>
      </c>
      <c r="N100" s="98"/>
      <c r="O100" s="98"/>
      <c r="P100" s="98"/>
    </row>
    <row r="101" hidden="1">
      <c r="A101" s="96" t="s">
        <v>418</v>
      </c>
      <c r="B101" s="88" t="s">
        <v>419</v>
      </c>
      <c r="C101" s="88" t="s">
        <v>468</v>
      </c>
      <c r="D101" s="98"/>
      <c r="E101" s="88" t="s">
        <v>36</v>
      </c>
      <c r="F101" s="88" t="s">
        <v>25</v>
      </c>
      <c r="G101" s="88" t="s">
        <v>469</v>
      </c>
      <c r="H101" s="88" t="s">
        <v>470</v>
      </c>
      <c r="I101" s="88" t="s">
        <v>471</v>
      </c>
      <c r="J101" s="99" t="s">
        <v>74</v>
      </c>
      <c r="K101" s="100" t="s">
        <v>25</v>
      </c>
      <c r="L101" s="100" t="s">
        <v>25</v>
      </c>
      <c r="M101" s="91" t="s">
        <v>150</v>
      </c>
      <c r="N101" s="98"/>
      <c r="O101" s="98"/>
      <c r="P101" s="98"/>
    </row>
    <row r="102" hidden="1">
      <c r="A102" s="96" t="s">
        <v>418</v>
      </c>
      <c r="B102" s="88" t="s">
        <v>419</v>
      </c>
      <c r="C102" s="88" t="s">
        <v>468</v>
      </c>
      <c r="D102" s="98"/>
      <c r="E102" s="88" t="s">
        <v>36</v>
      </c>
      <c r="F102" s="88" t="s">
        <v>25</v>
      </c>
      <c r="G102" s="88" t="s">
        <v>472</v>
      </c>
      <c r="H102" s="88" t="s">
        <v>473</v>
      </c>
      <c r="I102" s="88" t="s">
        <v>474</v>
      </c>
      <c r="J102" s="99" t="s">
        <v>74</v>
      </c>
      <c r="K102" s="100" t="s">
        <v>75</v>
      </c>
      <c r="L102" s="100" t="s">
        <v>76</v>
      </c>
      <c r="M102" s="98"/>
      <c r="N102" s="98"/>
      <c r="O102" s="98"/>
      <c r="P102" s="98"/>
    </row>
    <row r="103" hidden="1">
      <c r="A103" s="96" t="s">
        <v>418</v>
      </c>
      <c r="B103" s="88" t="s">
        <v>419</v>
      </c>
      <c r="C103" s="88" t="s">
        <v>468</v>
      </c>
      <c r="D103" s="98"/>
      <c r="E103" s="88" t="s">
        <v>36</v>
      </c>
      <c r="F103" s="88" t="s">
        <v>25</v>
      </c>
      <c r="G103" s="88" t="s">
        <v>475</v>
      </c>
      <c r="H103" s="88" t="s">
        <v>476</v>
      </c>
      <c r="I103" s="88" t="s">
        <v>477</v>
      </c>
      <c r="J103" s="99" t="s">
        <v>74</v>
      </c>
      <c r="K103" s="100" t="s">
        <v>75</v>
      </c>
      <c r="L103" s="100" t="s">
        <v>76</v>
      </c>
      <c r="M103" s="98"/>
      <c r="N103" s="98"/>
      <c r="O103" s="98"/>
      <c r="P103" s="98"/>
    </row>
    <row r="104" hidden="1">
      <c r="A104" s="96" t="s">
        <v>478</v>
      </c>
      <c r="B104" s="88" t="s">
        <v>479</v>
      </c>
      <c r="C104" s="88" t="s">
        <v>480</v>
      </c>
      <c r="D104" s="98"/>
      <c r="E104" s="88" t="s">
        <v>481</v>
      </c>
      <c r="F104" s="88" t="s">
        <v>25</v>
      </c>
      <c r="G104" s="88" t="s">
        <v>482</v>
      </c>
      <c r="H104" s="88" t="s">
        <v>483</v>
      </c>
      <c r="I104" s="88" t="s">
        <v>484</v>
      </c>
      <c r="J104" s="99" t="s">
        <v>74</v>
      </c>
      <c r="K104" s="100" t="s">
        <v>25</v>
      </c>
      <c r="L104" s="100" t="s">
        <v>25</v>
      </c>
      <c r="M104" s="91" t="s">
        <v>150</v>
      </c>
      <c r="N104" s="98"/>
      <c r="O104" s="98"/>
      <c r="P104" s="98"/>
    </row>
    <row r="105" hidden="1">
      <c r="A105" s="96" t="s">
        <v>478</v>
      </c>
      <c r="B105" s="88" t="s">
        <v>479</v>
      </c>
      <c r="C105" s="88" t="s">
        <v>485</v>
      </c>
      <c r="D105" s="98"/>
      <c r="E105" s="88" t="s">
        <v>481</v>
      </c>
      <c r="F105" s="88" t="s">
        <v>25</v>
      </c>
      <c r="G105" s="88" t="s">
        <v>486</v>
      </c>
      <c r="H105" s="88" t="s">
        <v>487</v>
      </c>
      <c r="I105" s="88" t="s">
        <v>488</v>
      </c>
      <c r="J105" s="99" t="s">
        <v>74</v>
      </c>
      <c r="K105" s="100" t="s">
        <v>25</v>
      </c>
      <c r="L105" s="100" t="s">
        <v>25</v>
      </c>
      <c r="M105" s="91" t="s">
        <v>150</v>
      </c>
      <c r="N105" s="98"/>
      <c r="O105" s="98"/>
      <c r="P105" s="98"/>
    </row>
    <row r="106" hidden="1">
      <c r="A106" s="96" t="s">
        <v>478</v>
      </c>
      <c r="B106" s="88" t="s">
        <v>479</v>
      </c>
      <c r="C106" s="88" t="s">
        <v>485</v>
      </c>
      <c r="D106" s="98"/>
      <c r="E106" s="88" t="s">
        <v>481</v>
      </c>
      <c r="F106" s="88" t="s">
        <v>25</v>
      </c>
      <c r="G106" s="88" t="s">
        <v>486</v>
      </c>
      <c r="H106" s="88" t="s">
        <v>489</v>
      </c>
      <c r="I106" s="88" t="s">
        <v>490</v>
      </c>
      <c r="J106" s="99" t="s">
        <v>74</v>
      </c>
      <c r="K106" s="100" t="s">
        <v>25</v>
      </c>
      <c r="L106" s="100" t="s">
        <v>25</v>
      </c>
      <c r="M106" s="91" t="s">
        <v>150</v>
      </c>
      <c r="N106" s="98"/>
      <c r="O106" s="98"/>
      <c r="P106" s="98"/>
    </row>
    <row r="107" hidden="1">
      <c r="A107" s="96" t="s">
        <v>491</v>
      </c>
      <c r="B107" s="88" t="s">
        <v>492</v>
      </c>
      <c r="C107" s="88" t="s">
        <v>493</v>
      </c>
      <c r="D107" s="98"/>
      <c r="E107" s="106" t="s">
        <v>34</v>
      </c>
      <c r="F107" s="88" t="s">
        <v>25</v>
      </c>
      <c r="G107" s="88" t="s">
        <v>494</v>
      </c>
      <c r="H107" s="88" t="s">
        <v>495</v>
      </c>
      <c r="I107" s="88" t="s">
        <v>496</v>
      </c>
      <c r="J107" s="99" t="s">
        <v>74</v>
      </c>
      <c r="K107" s="100" t="s">
        <v>75</v>
      </c>
      <c r="L107" s="100" t="s">
        <v>76</v>
      </c>
      <c r="M107" s="98"/>
      <c r="N107" s="98"/>
      <c r="O107" s="98"/>
      <c r="P107" s="98"/>
    </row>
    <row r="108" hidden="1">
      <c r="A108" s="96" t="s">
        <v>491</v>
      </c>
      <c r="B108" s="88" t="s">
        <v>492</v>
      </c>
      <c r="C108" s="88" t="s">
        <v>497</v>
      </c>
      <c r="D108" s="98"/>
      <c r="E108" s="106" t="s">
        <v>34</v>
      </c>
      <c r="F108" s="88" t="s">
        <v>25</v>
      </c>
      <c r="G108" s="88" t="s">
        <v>498</v>
      </c>
      <c r="H108" s="88" t="s">
        <v>499</v>
      </c>
      <c r="I108" s="88" t="s">
        <v>500</v>
      </c>
      <c r="J108" s="99" t="s">
        <v>74</v>
      </c>
      <c r="K108" s="100" t="s">
        <v>25</v>
      </c>
      <c r="L108" s="100" t="s">
        <v>25</v>
      </c>
      <c r="M108" s="91" t="s">
        <v>501</v>
      </c>
      <c r="N108" s="98"/>
      <c r="O108" s="98"/>
      <c r="P108" s="98"/>
    </row>
    <row r="109" hidden="1">
      <c r="A109" s="96" t="s">
        <v>491</v>
      </c>
      <c r="B109" s="88" t="s">
        <v>492</v>
      </c>
      <c r="C109" s="88" t="s">
        <v>502</v>
      </c>
      <c r="D109" s="98"/>
      <c r="E109" s="106" t="s">
        <v>34</v>
      </c>
      <c r="F109" s="88" t="s">
        <v>25</v>
      </c>
      <c r="G109" s="88" t="s">
        <v>503</v>
      </c>
      <c r="H109" s="88" t="s">
        <v>504</v>
      </c>
      <c r="I109" s="88" t="s">
        <v>505</v>
      </c>
      <c r="J109" s="99" t="s">
        <v>74</v>
      </c>
      <c r="K109" s="100" t="s">
        <v>25</v>
      </c>
      <c r="L109" s="100" t="s">
        <v>25</v>
      </c>
      <c r="M109" s="91" t="s">
        <v>506</v>
      </c>
      <c r="N109" s="98"/>
      <c r="O109" s="98"/>
      <c r="P109" s="98"/>
    </row>
    <row r="110" hidden="1">
      <c r="A110" s="96" t="s">
        <v>491</v>
      </c>
      <c r="B110" s="88" t="s">
        <v>492</v>
      </c>
      <c r="C110" s="88" t="s">
        <v>507</v>
      </c>
      <c r="D110" s="98"/>
      <c r="E110" s="106" t="s">
        <v>34</v>
      </c>
      <c r="F110" s="88" t="s">
        <v>25</v>
      </c>
      <c r="G110" s="88" t="s">
        <v>508</v>
      </c>
      <c r="H110" s="88" t="s">
        <v>509</v>
      </c>
      <c r="I110" s="88" t="s">
        <v>510</v>
      </c>
      <c r="J110" s="99" t="s">
        <v>74</v>
      </c>
      <c r="K110" s="100" t="s">
        <v>75</v>
      </c>
      <c r="L110" s="100" t="s">
        <v>76</v>
      </c>
      <c r="M110" s="98"/>
      <c r="N110" s="98"/>
      <c r="O110" s="98"/>
      <c r="P110" s="98"/>
    </row>
    <row r="111" hidden="1">
      <c r="A111" s="96" t="s">
        <v>491</v>
      </c>
      <c r="B111" s="88" t="s">
        <v>492</v>
      </c>
      <c r="C111" s="88" t="s">
        <v>511</v>
      </c>
      <c r="D111" s="98"/>
      <c r="E111" s="106" t="s">
        <v>34</v>
      </c>
      <c r="F111" s="88" t="s">
        <v>25</v>
      </c>
      <c r="G111" s="88" t="s">
        <v>512</v>
      </c>
      <c r="H111" s="88" t="s">
        <v>513</v>
      </c>
      <c r="I111" s="88" t="s">
        <v>514</v>
      </c>
      <c r="J111" s="99" t="s">
        <v>74</v>
      </c>
      <c r="K111" s="100" t="s">
        <v>75</v>
      </c>
      <c r="L111" s="100" t="s">
        <v>76</v>
      </c>
      <c r="M111" s="98"/>
      <c r="N111" s="98"/>
      <c r="O111" s="98"/>
      <c r="P111" s="98"/>
    </row>
    <row r="112" hidden="1">
      <c r="A112" s="96" t="s">
        <v>491</v>
      </c>
      <c r="B112" s="88" t="s">
        <v>492</v>
      </c>
      <c r="C112" s="88" t="s">
        <v>515</v>
      </c>
      <c r="D112" s="98"/>
      <c r="E112" s="106" t="s">
        <v>34</v>
      </c>
      <c r="F112" s="88" t="s">
        <v>25</v>
      </c>
      <c r="G112" s="88" t="s">
        <v>516</v>
      </c>
      <c r="H112" s="88" t="s">
        <v>517</v>
      </c>
      <c r="I112" s="88" t="s">
        <v>518</v>
      </c>
      <c r="J112" s="99" t="s">
        <v>74</v>
      </c>
      <c r="K112" s="100" t="s">
        <v>25</v>
      </c>
      <c r="L112" s="100" t="s">
        <v>25</v>
      </c>
      <c r="M112" s="91" t="s">
        <v>406</v>
      </c>
      <c r="N112" s="98"/>
      <c r="O112" s="98"/>
      <c r="P112" s="98"/>
    </row>
    <row r="113" hidden="1">
      <c r="A113" s="96" t="s">
        <v>491</v>
      </c>
      <c r="B113" s="88" t="s">
        <v>492</v>
      </c>
      <c r="C113" s="88" t="s">
        <v>519</v>
      </c>
      <c r="D113" s="98"/>
      <c r="E113" s="106" t="s">
        <v>34</v>
      </c>
      <c r="F113" s="88" t="s">
        <v>25</v>
      </c>
      <c r="G113" s="88" t="s">
        <v>520</v>
      </c>
      <c r="H113" s="88" t="s">
        <v>521</v>
      </c>
      <c r="I113" s="88" t="s">
        <v>522</v>
      </c>
      <c r="J113" s="99" t="s">
        <v>74</v>
      </c>
      <c r="K113" s="100" t="s">
        <v>25</v>
      </c>
      <c r="L113" s="100" t="s">
        <v>25</v>
      </c>
      <c r="M113" s="91" t="s">
        <v>150</v>
      </c>
      <c r="N113" s="98"/>
      <c r="O113" s="98"/>
      <c r="P113" s="98"/>
    </row>
    <row r="114" hidden="1">
      <c r="A114" s="96" t="s">
        <v>523</v>
      </c>
      <c r="B114" s="88" t="s">
        <v>524</v>
      </c>
      <c r="C114" s="88" t="s">
        <v>525</v>
      </c>
      <c r="D114" s="98"/>
      <c r="E114" s="88" t="s">
        <v>35</v>
      </c>
      <c r="F114" s="88" t="s">
        <v>25</v>
      </c>
      <c r="G114" s="88" t="s">
        <v>526</v>
      </c>
      <c r="H114" s="88" t="s">
        <v>527</v>
      </c>
      <c r="I114" s="88" t="s">
        <v>528</v>
      </c>
      <c r="J114" s="99" t="s">
        <v>74</v>
      </c>
      <c r="K114" s="100" t="s">
        <v>25</v>
      </c>
      <c r="L114" s="100" t="s">
        <v>25</v>
      </c>
      <c r="M114" s="91" t="s">
        <v>121</v>
      </c>
      <c r="N114" s="98"/>
      <c r="O114" s="98"/>
      <c r="P114" s="98"/>
    </row>
    <row r="115" hidden="1">
      <c r="A115" s="96" t="s">
        <v>523</v>
      </c>
      <c r="B115" s="88" t="s">
        <v>524</v>
      </c>
      <c r="C115" s="88" t="s">
        <v>529</v>
      </c>
      <c r="D115" s="98"/>
      <c r="E115" s="88" t="s">
        <v>35</v>
      </c>
      <c r="F115" s="88" t="s">
        <v>25</v>
      </c>
      <c r="G115" s="88" t="s">
        <v>530</v>
      </c>
      <c r="H115" s="88" t="s">
        <v>531</v>
      </c>
      <c r="I115" s="88" t="s">
        <v>532</v>
      </c>
      <c r="J115" s="99" t="s">
        <v>74</v>
      </c>
      <c r="K115" s="100" t="s">
        <v>25</v>
      </c>
      <c r="L115" s="100" t="s">
        <v>25</v>
      </c>
      <c r="M115" s="91" t="s">
        <v>121</v>
      </c>
      <c r="N115" s="98"/>
      <c r="O115" s="98"/>
      <c r="P115" s="98"/>
    </row>
    <row r="116" hidden="1">
      <c r="A116" s="96" t="s">
        <v>523</v>
      </c>
      <c r="B116" s="88" t="s">
        <v>524</v>
      </c>
      <c r="C116" s="88" t="s">
        <v>533</v>
      </c>
      <c r="D116" s="98"/>
      <c r="E116" s="88" t="s">
        <v>35</v>
      </c>
      <c r="F116" s="88" t="s">
        <v>25</v>
      </c>
      <c r="G116" s="88" t="s">
        <v>534</v>
      </c>
      <c r="H116" s="88" t="s">
        <v>535</v>
      </c>
      <c r="I116" s="88" t="s">
        <v>536</v>
      </c>
      <c r="J116" s="99" t="s">
        <v>74</v>
      </c>
      <c r="K116" s="100" t="s">
        <v>25</v>
      </c>
      <c r="L116" s="100" t="s">
        <v>25</v>
      </c>
      <c r="M116" s="91" t="s">
        <v>121</v>
      </c>
      <c r="N116" s="98"/>
      <c r="O116" s="98"/>
      <c r="P116" s="98"/>
    </row>
    <row r="117" hidden="1">
      <c r="A117" s="96" t="s">
        <v>523</v>
      </c>
      <c r="B117" s="88" t="s">
        <v>524</v>
      </c>
      <c r="C117" s="88" t="s">
        <v>537</v>
      </c>
      <c r="D117" s="98"/>
      <c r="E117" s="88" t="s">
        <v>35</v>
      </c>
      <c r="F117" s="88" t="s">
        <v>25</v>
      </c>
      <c r="G117" s="88" t="s">
        <v>538</v>
      </c>
      <c r="H117" s="88" t="s">
        <v>539</v>
      </c>
      <c r="I117" s="88" t="s">
        <v>540</v>
      </c>
      <c r="J117" s="99" t="s">
        <v>74</v>
      </c>
      <c r="K117" s="100" t="s">
        <v>25</v>
      </c>
      <c r="L117" s="100" t="s">
        <v>25</v>
      </c>
      <c r="M117" s="91" t="s">
        <v>121</v>
      </c>
      <c r="N117" s="98"/>
      <c r="O117" s="98"/>
      <c r="P117" s="98"/>
    </row>
    <row r="118" hidden="1">
      <c r="A118" s="96" t="s">
        <v>523</v>
      </c>
      <c r="B118" s="88" t="s">
        <v>524</v>
      </c>
      <c r="C118" s="88" t="s">
        <v>541</v>
      </c>
      <c r="D118" s="98"/>
      <c r="E118" s="88" t="s">
        <v>35</v>
      </c>
      <c r="F118" s="88" t="s">
        <v>25</v>
      </c>
      <c r="G118" s="88" t="s">
        <v>542</v>
      </c>
      <c r="H118" s="88" t="s">
        <v>543</v>
      </c>
      <c r="I118" s="88" t="s">
        <v>544</v>
      </c>
      <c r="J118" s="99" t="s">
        <v>74</v>
      </c>
      <c r="K118" s="100" t="s">
        <v>25</v>
      </c>
      <c r="L118" s="100" t="s">
        <v>25</v>
      </c>
      <c r="M118" s="91" t="s">
        <v>121</v>
      </c>
      <c r="N118" s="98"/>
      <c r="O118" s="98"/>
      <c r="P118" s="98"/>
    </row>
    <row r="119" hidden="1">
      <c r="A119" s="96" t="s">
        <v>523</v>
      </c>
      <c r="B119" s="88" t="s">
        <v>524</v>
      </c>
      <c r="C119" s="88" t="s">
        <v>545</v>
      </c>
      <c r="D119" s="98"/>
      <c r="E119" s="88" t="s">
        <v>35</v>
      </c>
      <c r="F119" s="88" t="s">
        <v>25</v>
      </c>
      <c r="G119" s="88" t="s">
        <v>546</v>
      </c>
      <c r="H119" s="88" t="s">
        <v>547</v>
      </c>
      <c r="I119" s="88" t="s">
        <v>548</v>
      </c>
      <c r="J119" s="99" t="s">
        <v>74</v>
      </c>
      <c r="K119" s="100" t="s">
        <v>25</v>
      </c>
      <c r="L119" s="100" t="s">
        <v>25</v>
      </c>
      <c r="M119" s="91" t="s">
        <v>121</v>
      </c>
      <c r="N119" s="98"/>
      <c r="O119" s="98"/>
      <c r="P119" s="98"/>
    </row>
    <row r="120" hidden="1">
      <c r="A120" s="96" t="s">
        <v>523</v>
      </c>
      <c r="B120" s="88" t="s">
        <v>524</v>
      </c>
      <c r="C120" s="88" t="s">
        <v>549</v>
      </c>
      <c r="D120" s="98"/>
      <c r="E120" s="88" t="s">
        <v>35</v>
      </c>
      <c r="F120" s="88" t="s">
        <v>25</v>
      </c>
      <c r="G120" s="88" t="s">
        <v>550</v>
      </c>
      <c r="H120" s="88" t="s">
        <v>551</v>
      </c>
      <c r="I120" s="88" t="s">
        <v>552</v>
      </c>
      <c r="J120" s="99" t="s">
        <v>74</v>
      </c>
      <c r="K120" s="100" t="s">
        <v>25</v>
      </c>
      <c r="L120" s="100" t="s">
        <v>25</v>
      </c>
      <c r="M120" s="91" t="s">
        <v>150</v>
      </c>
      <c r="N120" s="98"/>
      <c r="O120" s="98"/>
      <c r="P120" s="98"/>
    </row>
    <row r="121" hidden="1">
      <c r="A121" s="96" t="s">
        <v>523</v>
      </c>
      <c r="B121" s="88" t="s">
        <v>524</v>
      </c>
      <c r="C121" s="88" t="s">
        <v>553</v>
      </c>
      <c r="D121" s="98"/>
      <c r="E121" s="88" t="s">
        <v>35</v>
      </c>
      <c r="F121" s="88" t="s">
        <v>25</v>
      </c>
      <c r="G121" s="88" t="s">
        <v>554</v>
      </c>
      <c r="H121" s="88" t="s">
        <v>555</v>
      </c>
      <c r="I121" s="88" t="s">
        <v>556</v>
      </c>
      <c r="J121" s="99" t="s">
        <v>74</v>
      </c>
      <c r="K121" s="100" t="s">
        <v>25</v>
      </c>
      <c r="L121" s="100" t="s">
        <v>25</v>
      </c>
      <c r="M121" s="91" t="s">
        <v>150</v>
      </c>
      <c r="N121" s="98"/>
      <c r="O121" s="98"/>
      <c r="P121" s="98"/>
    </row>
    <row r="122" hidden="1">
      <c r="A122" s="96" t="s">
        <v>523</v>
      </c>
      <c r="B122" s="88" t="s">
        <v>524</v>
      </c>
      <c r="C122" s="88" t="s">
        <v>553</v>
      </c>
      <c r="D122" s="98"/>
      <c r="E122" s="88" t="s">
        <v>35</v>
      </c>
      <c r="F122" s="88" t="s">
        <v>25</v>
      </c>
      <c r="G122" s="88" t="s">
        <v>557</v>
      </c>
      <c r="H122" s="88" t="s">
        <v>558</v>
      </c>
      <c r="I122" s="88" t="s">
        <v>559</v>
      </c>
      <c r="J122" s="99" t="s">
        <v>74</v>
      </c>
      <c r="K122" s="100" t="s">
        <v>25</v>
      </c>
      <c r="L122" s="100" t="s">
        <v>25</v>
      </c>
      <c r="M122" s="91" t="s">
        <v>150</v>
      </c>
      <c r="N122" s="98"/>
      <c r="O122" s="98"/>
      <c r="P122" s="98"/>
    </row>
    <row r="123" hidden="1">
      <c r="A123" s="96" t="s">
        <v>560</v>
      </c>
      <c r="B123" s="88" t="s">
        <v>561</v>
      </c>
      <c r="C123" s="88" t="s">
        <v>562</v>
      </c>
      <c r="D123" s="98"/>
      <c r="E123" s="88" t="s">
        <v>563</v>
      </c>
      <c r="F123" s="88" t="s">
        <v>25</v>
      </c>
      <c r="G123" s="88" t="s">
        <v>564</v>
      </c>
      <c r="H123" s="88" t="s">
        <v>565</v>
      </c>
      <c r="I123" s="88" t="s">
        <v>566</v>
      </c>
      <c r="J123" s="99" t="s">
        <v>74</v>
      </c>
      <c r="K123" s="100" t="s">
        <v>75</v>
      </c>
      <c r="L123" s="100" t="s">
        <v>76</v>
      </c>
      <c r="M123" s="98"/>
      <c r="N123" s="98"/>
      <c r="O123" s="98"/>
      <c r="P123" s="98"/>
    </row>
    <row r="124" hidden="1">
      <c r="A124" s="96" t="s">
        <v>560</v>
      </c>
      <c r="B124" s="88" t="s">
        <v>561</v>
      </c>
      <c r="C124" s="88" t="s">
        <v>567</v>
      </c>
      <c r="D124" s="98"/>
      <c r="E124" s="88" t="s">
        <v>563</v>
      </c>
      <c r="F124" s="88" t="s">
        <v>25</v>
      </c>
      <c r="G124" s="88" t="s">
        <v>568</v>
      </c>
      <c r="H124" s="88" t="s">
        <v>569</v>
      </c>
      <c r="I124" s="88" t="s">
        <v>570</v>
      </c>
      <c r="J124" s="99" t="s">
        <v>74</v>
      </c>
      <c r="K124" s="100" t="s">
        <v>75</v>
      </c>
      <c r="L124" s="100" t="s">
        <v>76</v>
      </c>
      <c r="M124" s="98"/>
      <c r="N124" s="98"/>
      <c r="O124" s="98"/>
      <c r="P124" s="98"/>
    </row>
    <row r="125" hidden="1">
      <c r="A125" s="96" t="s">
        <v>560</v>
      </c>
      <c r="B125" s="88" t="s">
        <v>561</v>
      </c>
      <c r="C125" s="88" t="s">
        <v>571</v>
      </c>
      <c r="D125" s="98"/>
      <c r="E125" s="88" t="s">
        <v>563</v>
      </c>
      <c r="F125" s="88" t="s">
        <v>25</v>
      </c>
      <c r="G125" s="88" t="s">
        <v>572</v>
      </c>
      <c r="H125" s="88" t="s">
        <v>573</v>
      </c>
      <c r="I125" s="88" t="s">
        <v>574</v>
      </c>
      <c r="J125" s="99" t="s">
        <v>74</v>
      </c>
      <c r="K125" s="100" t="s">
        <v>75</v>
      </c>
      <c r="L125" s="100" t="s">
        <v>76</v>
      </c>
      <c r="M125" s="98"/>
      <c r="N125" s="98"/>
      <c r="O125" s="98"/>
      <c r="P125" s="98"/>
    </row>
    <row r="126" hidden="1">
      <c r="A126" s="96" t="s">
        <v>560</v>
      </c>
      <c r="B126" s="88" t="s">
        <v>561</v>
      </c>
      <c r="C126" s="88" t="s">
        <v>575</v>
      </c>
      <c r="D126" s="98"/>
      <c r="E126" s="88" t="s">
        <v>563</v>
      </c>
      <c r="F126" s="88" t="s">
        <v>25</v>
      </c>
      <c r="G126" s="88" t="s">
        <v>576</v>
      </c>
      <c r="H126" s="88" t="s">
        <v>577</v>
      </c>
      <c r="I126" s="88" t="s">
        <v>578</v>
      </c>
      <c r="J126" s="99" t="s">
        <v>74</v>
      </c>
      <c r="K126" s="100" t="s">
        <v>75</v>
      </c>
      <c r="L126" s="100" t="s">
        <v>76</v>
      </c>
      <c r="M126" s="98"/>
      <c r="N126" s="98"/>
      <c r="O126" s="98"/>
      <c r="P126" s="98"/>
    </row>
    <row r="127" hidden="1">
      <c r="A127" s="96" t="s">
        <v>560</v>
      </c>
      <c r="B127" s="88" t="s">
        <v>561</v>
      </c>
      <c r="C127" s="88" t="s">
        <v>579</v>
      </c>
      <c r="D127" s="98"/>
      <c r="E127" s="88" t="s">
        <v>563</v>
      </c>
      <c r="F127" s="88" t="s">
        <v>25</v>
      </c>
      <c r="G127" s="88" t="s">
        <v>580</v>
      </c>
      <c r="H127" s="88" t="s">
        <v>581</v>
      </c>
      <c r="I127" s="88" t="s">
        <v>582</v>
      </c>
      <c r="J127" s="99" t="s">
        <v>74</v>
      </c>
      <c r="K127" s="100" t="s">
        <v>25</v>
      </c>
      <c r="L127" s="100" t="s">
        <v>25</v>
      </c>
      <c r="M127" s="91" t="s">
        <v>150</v>
      </c>
      <c r="N127" s="98"/>
      <c r="O127" s="98"/>
      <c r="P127" s="98"/>
    </row>
    <row r="128" hidden="1">
      <c r="A128" s="96" t="s">
        <v>560</v>
      </c>
      <c r="B128" s="88" t="s">
        <v>561</v>
      </c>
      <c r="C128" s="88" t="s">
        <v>583</v>
      </c>
      <c r="D128" s="98"/>
      <c r="E128" s="88" t="s">
        <v>563</v>
      </c>
      <c r="F128" s="88" t="s">
        <v>25</v>
      </c>
      <c r="G128" s="88" t="s">
        <v>584</v>
      </c>
      <c r="H128" s="88" t="s">
        <v>585</v>
      </c>
      <c r="I128" s="88" t="s">
        <v>586</v>
      </c>
      <c r="J128" s="99" t="s">
        <v>74</v>
      </c>
      <c r="K128" s="100" t="s">
        <v>25</v>
      </c>
      <c r="L128" s="100" t="s">
        <v>25</v>
      </c>
      <c r="M128" s="91" t="s">
        <v>506</v>
      </c>
      <c r="N128" s="109"/>
      <c r="O128" s="98"/>
      <c r="P128" s="98"/>
    </row>
    <row r="129" hidden="1">
      <c r="A129" s="96" t="s">
        <v>587</v>
      </c>
      <c r="B129" s="88" t="s">
        <v>37</v>
      </c>
      <c r="C129" s="88" t="s">
        <v>588</v>
      </c>
      <c r="D129" s="98"/>
      <c r="E129" s="88" t="s">
        <v>589</v>
      </c>
      <c r="F129" s="88" t="s">
        <v>25</v>
      </c>
      <c r="G129" s="88" t="s">
        <v>590</v>
      </c>
      <c r="H129" s="88" t="s">
        <v>591</v>
      </c>
      <c r="I129" s="88" t="s">
        <v>592</v>
      </c>
      <c r="J129" s="99" t="s">
        <v>74</v>
      </c>
      <c r="K129" s="100" t="s">
        <v>75</v>
      </c>
      <c r="L129" s="100" t="s">
        <v>76</v>
      </c>
      <c r="M129" s="91" t="s">
        <v>593</v>
      </c>
      <c r="N129" s="98"/>
      <c r="O129" s="98"/>
      <c r="P129" s="98"/>
    </row>
    <row r="130" hidden="1">
      <c r="A130" s="96" t="s">
        <v>587</v>
      </c>
      <c r="B130" s="88" t="s">
        <v>37</v>
      </c>
      <c r="C130" s="88" t="s">
        <v>594</v>
      </c>
      <c r="D130" s="98"/>
      <c r="E130" s="88" t="s">
        <v>589</v>
      </c>
      <c r="F130" s="88" t="s">
        <v>25</v>
      </c>
      <c r="G130" s="88" t="s">
        <v>595</v>
      </c>
      <c r="H130" s="88" t="s">
        <v>596</v>
      </c>
      <c r="I130" s="88" t="s">
        <v>592</v>
      </c>
      <c r="J130" s="99" t="s">
        <v>74</v>
      </c>
      <c r="K130" s="100" t="s">
        <v>75</v>
      </c>
      <c r="L130" s="100" t="s">
        <v>76</v>
      </c>
      <c r="M130" s="91" t="s">
        <v>593</v>
      </c>
      <c r="N130" s="105" t="s">
        <v>597</v>
      </c>
      <c r="O130" s="98"/>
      <c r="P130" s="98"/>
    </row>
    <row r="131" hidden="1">
      <c r="A131" s="96" t="s">
        <v>587</v>
      </c>
      <c r="B131" s="88" t="s">
        <v>37</v>
      </c>
      <c r="C131" s="88" t="s">
        <v>598</v>
      </c>
      <c r="D131" s="98"/>
      <c r="E131" s="88" t="s">
        <v>589</v>
      </c>
      <c r="F131" s="88" t="s">
        <v>25</v>
      </c>
      <c r="G131" s="88" t="s">
        <v>599</v>
      </c>
      <c r="H131" s="88" t="s">
        <v>600</v>
      </c>
      <c r="I131" s="88" t="s">
        <v>592</v>
      </c>
      <c r="J131" s="99" t="s">
        <v>74</v>
      </c>
      <c r="K131" s="100" t="s">
        <v>75</v>
      </c>
      <c r="L131" s="100" t="s">
        <v>76</v>
      </c>
      <c r="M131" s="91" t="s">
        <v>593</v>
      </c>
      <c r="N131" s="105" t="s">
        <v>601</v>
      </c>
      <c r="O131" s="98"/>
      <c r="P131" s="98"/>
    </row>
    <row r="132" hidden="1">
      <c r="A132" s="96" t="s">
        <v>587</v>
      </c>
      <c r="B132" s="88" t="s">
        <v>37</v>
      </c>
      <c r="C132" s="88" t="s">
        <v>602</v>
      </c>
      <c r="D132" s="98"/>
      <c r="E132" s="88" t="s">
        <v>589</v>
      </c>
      <c r="F132" s="88" t="s">
        <v>25</v>
      </c>
      <c r="G132" s="88" t="s">
        <v>603</v>
      </c>
      <c r="H132" s="88" t="s">
        <v>604</v>
      </c>
      <c r="I132" s="88" t="s">
        <v>592</v>
      </c>
      <c r="J132" s="99" t="s">
        <v>74</v>
      </c>
      <c r="K132" s="100" t="s">
        <v>75</v>
      </c>
      <c r="L132" s="100" t="s">
        <v>76</v>
      </c>
      <c r="M132" s="98"/>
      <c r="N132" s="105" t="s">
        <v>605</v>
      </c>
      <c r="O132" s="98"/>
      <c r="P132" s="98"/>
    </row>
    <row r="133" hidden="1">
      <c r="A133" s="96" t="s">
        <v>587</v>
      </c>
      <c r="B133" s="88" t="s">
        <v>37</v>
      </c>
      <c r="C133" s="88" t="s">
        <v>606</v>
      </c>
      <c r="D133" s="98"/>
      <c r="E133" s="88" t="s">
        <v>589</v>
      </c>
      <c r="F133" s="88" t="s">
        <v>25</v>
      </c>
      <c r="G133" s="88" t="s">
        <v>607</v>
      </c>
      <c r="H133" s="88" t="s">
        <v>608</v>
      </c>
      <c r="I133" s="88" t="s">
        <v>592</v>
      </c>
      <c r="J133" s="99" t="s">
        <v>74</v>
      </c>
      <c r="K133" s="100" t="s">
        <v>75</v>
      </c>
      <c r="L133" s="100" t="s">
        <v>76</v>
      </c>
      <c r="M133" s="91" t="s">
        <v>593</v>
      </c>
      <c r="N133" s="105" t="s">
        <v>609</v>
      </c>
      <c r="O133" s="98"/>
      <c r="P133" s="98"/>
    </row>
    <row r="134" hidden="1">
      <c r="A134" s="96" t="s">
        <v>587</v>
      </c>
      <c r="B134" s="88" t="s">
        <v>37</v>
      </c>
      <c r="C134" s="88" t="s">
        <v>610</v>
      </c>
      <c r="D134" s="98"/>
      <c r="E134" s="88" t="s">
        <v>589</v>
      </c>
      <c r="F134" s="88" t="s">
        <v>25</v>
      </c>
      <c r="G134" s="88" t="s">
        <v>611</v>
      </c>
      <c r="H134" s="88" t="s">
        <v>612</v>
      </c>
      <c r="I134" s="88" t="s">
        <v>592</v>
      </c>
      <c r="J134" s="99" t="s">
        <v>74</v>
      </c>
      <c r="K134" s="100" t="s">
        <v>75</v>
      </c>
      <c r="L134" s="100" t="s">
        <v>76</v>
      </c>
      <c r="M134" s="91" t="s">
        <v>593</v>
      </c>
      <c r="N134" s="105" t="s">
        <v>613</v>
      </c>
      <c r="O134" s="98"/>
      <c r="P134" s="98"/>
    </row>
    <row r="135" hidden="1">
      <c r="A135" s="96" t="s">
        <v>587</v>
      </c>
      <c r="B135" s="88" t="s">
        <v>37</v>
      </c>
      <c r="C135" s="88" t="s">
        <v>614</v>
      </c>
      <c r="D135" s="98"/>
      <c r="E135" s="88" t="s">
        <v>589</v>
      </c>
      <c r="F135" s="88" t="s">
        <v>25</v>
      </c>
      <c r="G135" s="88" t="s">
        <v>615</v>
      </c>
      <c r="H135" s="88" t="s">
        <v>616</v>
      </c>
      <c r="I135" s="88" t="s">
        <v>617</v>
      </c>
      <c r="J135" s="99" t="s">
        <v>74</v>
      </c>
      <c r="K135" s="100" t="s">
        <v>75</v>
      </c>
      <c r="L135" s="100" t="s">
        <v>76</v>
      </c>
      <c r="M135" s="91" t="s">
        <v>593</v>
      </c>
      <c r="N135" s="105" t="s">
        <v>618</v>
      </c>
      <c r="O135" s="98"/>
      <c r="P135" s="98"/>
    </row>
    <row r="136" hidden="1">
      <c r="A136" s="96" t="s">
        <v>587</v>
      </c>
      <c r="B136" s="88" t="s">
        <v>37</v>
      </c>
      <c r="C136" s="88" t="s">
        <v>619</v>
      </c>
      <c r="D136" s="98"/>
      <c r="E136" s="88" t="s">
        <v>589</v>
      </c>
      <c r="F136" s="88" t="s">
        <v>25</v>
      </c>
      <c r="G136" s="88" t="s">
        <v>620</v>
      </c>
      <c r="H136" s="88" t="s">
        <v>621</v>
      </c>
      <c r="I136" s="88" t="s">
        <v>617</v>
      </c>
      <c r="J136" s="99" t="s">
        <v>74</v>
      </c>
      <c r="K136" s="100" t="s">
        <v>75</v>
      </c>
      <c r="L136" s="100" t="s">
        <v>76</v>
      </c>
      <c r="M136" s="91" t="s">
        <v>593</v>
      </c>
      <c r="N136" s="105" t="s">
        <v>622</v>
      </c>
      <c r="O136" s="98"/>
      <c r="P136" s="98"/>
    </row>
    <row r="137" hidden="1">
      <c r="A137" s="96" t="s">
        <v>587</v>
      </c>
      <c r="B137" s="88" t="s">
        <v>37</v>
      </c>
      <c r="C137" s="88" t="s">
        <v>623</v>
      </c>
      <c r="D137" s="98"/>
      <c r="E137" s="88" t="s">
        <v>589</v>
      </c>
      <c r="F137" s="88" t="s">
        <v>25</v>
      </c>
      <c r="G137" s="88" t="s">
        <v>624</v>
      </c>
      <c r="H137" s="88" t="s">
        <v>625</v>
      </c>
      <c r="I137" s="88" t="s">
        <v>617</v>
      </c>
      <c r="J137" s="99" t="s">
        <v>74</v>
      </c>
      <c r="K137" s="100" t="s">
        <v>75</v>
      </c>
      <c r="L137" s="100" t="s">
        <v>76</v>
      </c>
      <c r="M137" s="91" t="s">
        <v>593</v>
      </c>
      <c r="N137" s="105" t="s">
        <v>626</v>
      </c>
      <c r="O137" s="98"/>
      <c r="P137" s="98"/>
    </row>
    <row r="138" hidden="1">
      <c r="A138" s="96" t="s">
        <v>587</v>
      </c>
      <c r="B138" s="88" t="s">
        <v>37</v>
      </c>
      <c r="C138" s="88" t="s">
        <v>627</v>
      </c>
      <c r="D138" s="98"/>
      <c r="E138" s="88" t="s">
        <v>589</v>
      </c>
      <c r="F138" s="88" t="s">
        <v>25</v>
      </c>
      <c r="G138" s="88" t="s">
        <v>628</v>
      </c>
      <c r="H138" s="88" t="s">
        <v>629</v>
      </c>
      <c r="I138" s="88" t="s">
        <v>617</v>
      </c>
      <c r="J138" s="99" t="s">
        <v>74</v>
      </c>
      <c r="K138" s="100" t="s">
        <v>75</v>
      </c>
      <c r="L138" s="100" t="s">
        <v>76</v>
      </c>
      <c r="M138" s="91" t="s">
        <v>593</v>
      </c>
      <c r="N138" s="105" t="s">
        <v>630</v>
      </c>
      <c r="O138" s="98"/>
      <c r="P138" s="98"/>
    </row>
    <row r="139" hidden="1">
      <c r="A139" s="96" t="s">
        <v>587</v>
      </c>
      <c r="B139" s="88" t="s">
        <v>37</v>
      </c>
      <c r="C139" s="88" t="s">
        <v>631</v>
      </c>
      <c r="D139" s="98"/>
      <c r="E139" s="88" t="s">
        <v>589</v>
      </c>
      <c r="F139" s="88" t="s">
        <v>25</v>
      </c>
      <c r="G139" s="88" t="s">
        <v>632</v>
      </c>
      <c r="H139" s="88" t="s">
        <v>633</v>
      </c>
      <c r="I139" s="88" t="s">
        <v>617</v>
      </c>
      <c r="J139" s="99" t="s">
        <v>74</v>
      </c>
      <c r="K139" s="100" t="s">
        <v>75</v>
      </c>
      <c r="L139" s="100" t="s">
        <v>76</v>
      </c>
      <c r="M139" s="91" t="s">
        <v>593</v>
      </c>
      <c r="N139" s="98"/>
      <c r="O139" s="98"/>
      <c r="P139" s="98"/>
    </row>
    <row r="140" hidden="1">
      <c r="A140" s="96" t="s">
        <v>587</v>
      </c>
      <c r="B140" s="88" t="s">
        <v>37</v>
      </c>
      <c r="C140" s="88" t="s">
        <v>634</v>
      </c>
      <c r="D140" s="98"/>
      <c r="E140" s="88" t="s">
        <v>589</v>
      </c>
      <c r="F140" s="88" t="s">
        <v>25</v>
      </c>
      <c r="G140" s="88" t="s">
        <v>635</v>
      </c>
      <c r="H140" s="88" t="s">
        <v>636</v>
      </c>
      <c r="I140" s="88" t="s">
        <v>617</v>
      </c>
      <c r="J140" s="99" t="s">
        <v>74</v>
      </c>
      <c r="K140" s="100" t="s">
        <v>75</v>
      </c>
      <c r="L140" s="100" t="s">
        <v>76</v>
      </c>
      <c r="M140" s="91" t="s">
        <v>593</v>
      </c>
      <c r="N140" s="105" t="s">
        <v>637</v>
      </c>
      <c r="O140" s="98"/>
      <c r="P140" s="98"/>
    </row>
    <row r="141" hidden="1">
      <c r="A141" s="96" t="s">
        <v>587</v>
      </c>
      <c r="B141" s="88" t="s">
        <v>37</v>
      </c>
      <c r="C141" s="88" t="s">
        <v>638</v>
      </c>
      <c r="D141" s="98"/>
      <c r="E141" s="88" t="s">
        <v>589</v>
      </c>
      <c r="F141" s="88" t="s">
        <v>25</v>
      </c>
      <c r="G141" s="88" t="s">
        <v>639</v>
      </c>
      <c r="H141" s="88" t="s">
        <v>640</v>
      </c>
      <c r="I141" s="88" t="s">
        <v>641</v>
      </c>
      <c r="J141" s="99" t="s">
        <v>74</v>
      </c>
      <c r="K141" s="100" t="s">
        <v>75</v>
      </c>
      <c r="L141" s="100" t="s">
        <v>76</v>
      </c>
      <c r="M141" s="91" t="s">
        <v>593</v>
      </c>
      <c r="N141" s="98"/>
      <c r="O141" s="98"/>
      <c r="P141" s="98"/>
    </row>
    <row r="142" hidden="1">
      <c r="A142" s="96" t="s">
        <v>587</v>
      </c>
      <c r="B142" s="88" t="s">
        <v>37</v>
      </c>
      <c r="C142" s="88" t="s">
        <v>642</v>
      </c>
      <c r="D142" s="98"/>
      <c r="E142" s="88" t="s">
        <v>589</v>
      </c>
      <c r="F142" s="88" t="s">
        <v>25</v>
      </c>
      <c r="G142" s="88" t="s">
        <v>643</v>
      </c>
      <c r="H142" s="88" t="s">
        <v>644</v>
      </c>
      <c r="I142" s="88" t="s">
        <v>641</v>
      </c>
      <c r="J142" s="99" t="s">
        <v>74</v>
      </c>
      <c r="K142" s="100" t="s">
        <v>75</v>
      </c>
      <c r="L142" s="100" t="s">
        <v>76</v>
      </c>
      <c r="M142" s="91" t="s">
        <v>593</v>
      </c>
      <c r="N142" s="98"/>
      <c r="O142" s="98"/>
      <c r="P142" s="98"/>
    </row>
    <row r="143" hidden="1">
      <c r="A143" s="96" t="s">
        <v>587</v>
      </c>
      <c r="B143" s="88" t="s">
        <v>37</v>
      </c>
      <c r="C143" s="88" t="s">
        <v>645</v>
      </c>
      <c r="D143" s="98"/>
      <c r="E143" s="88" t="s">
        <v>589</v>
      </c>
      <c r="F143" s="88" t="s">
        <v>25</v>
      </c>
      <c r="G143" s="88" t="s">
        <v>646</v>
      </c>
      <c r="H143" s="88" t="s">
        <v>647</v>
      </c>
      <c r="I143" s="88" t="s">
        <v>648</v>
      </c>
      <c r="J143" s="99" t="s">
        <v>74</v>
      </c>
      <c r="K143" s="100" t="s">
        <v>75</v>
      </c>
      <c r="L143" s="100" t="s">
        <v>76</v>
      </c>
      <c r="M143" s="91" t="s">
        <v>593</v>
      </c>
      <c r="N143" s="105" t="s">
        <v>649</v>
      </c>
      <c r="O143" s="98"/>
      <c r="P143" s="98"/>
    </row>
    <row r="144" hidden="1">
      <c r="A144" s="96" t="s">
        <v>587</v>
      </c>
      <c r="B144" s="88" t="s">
        <v>37</v>
      </c>
      <c r="C144" s="88" t="s">
        <v>650</v>
      </c>
      <c r="D144" s="98"/>
      <c r="E144" s="88" t="s">
        <v>589</v>
      </c>
      <c r="F144" s="88" t="s">
        <v>25</v>
      </c>
      <c r="G144" s="88" t="s">
        <v>651</v>
      </c>
      <c r="H144" s="88" t="s">
        <v>652</v>
      </c>
      <c r="I144" s="88" t="s">
        <v>653</v>
      </c>
      <c r="J144" s="99" t="s">
        <v>74</v>
      </c>
      <c r="K144" s="100" t="s">
        <v>75</v>
      </c>
      <c r="L144" s="100" t="s">
        <v>76</v>
      </c>
      <c r="M144" s="91" t="s">
        <v>593</v>
      </c>
      <c r="N144" s="105" t="s">
        <v>654</v>
      </c>
      <c r="O144" s="98"/>
      <c r="P144" s="98"/>
    </row>
    <row r="145" hidden="1">
      <c r="A145" s="96" t="s">
        <v>587</v>
      </c>
      <c r="B145" s="88" t="s">
        <v>37</v>
      </c>
      <c r="C145" s="88" t="s">
        <v>655</v>
      </c>
      <c r="D145" s="98"/>
      <c r="E145" s="88" t="s">
        <v>589</v>
      </c>
      <c r="F145" s="88" t="s">
        <v>25</v>
      </c>
      <c r="G145" s="88" t="s">
        <v>656</v>
      </c>
      <c r="H145" s="88" t="s">
        <v>657</v>
      </c>
      <c r="I145" s="88" t="s">
        <v>658</v>
      </c>
      <c r="J145" s="99" t="s">
        <v>74</v>
      </c>
      <c r="K145" s="100" t="s">
        <v>75</v>
      </c>
      <c r="L145" s="100" t="s">
        <v>76</v>
      </c>
      <c r="M145" s="98"/>
      <c r="N145" s="98"/>
      <c r="O145" s="98"/>
      <c r="P145" s="98"/>
    </row>
    <row r="146" hidden="1">
      <c r="A146" s="96" t="s">
        <v>587</v>
      </c>
      <c r="B146" s="88" t="s">
        <v>37</v>
      </c>
      <c r="C146" s="88" t="s">
        <v>659</v>
      </c>
      <c r="D146" s="98"/>
      <c r="E146" s="88" t="s">
        <v>589</v>
      </c>
      <c r="F146" s="88" t="s">
        <v>25</v>
      </c>
      <c r="G146" s="88" t="s">
        <v>660</v>
      </c>
      <c r="H146" s="88" t="s">
        <v>661</v>
      </c>
      <c r="I146" s="88" t="s">
        <v>662</v>
      </c>
      <c r="J146" s="99" t="s">
        <v>74</v>
      </c>
      <c r="K146" s="100" t="s">
        <v>75</v>
      </c>
      <c r="L146" s="100" t="s">
        <v>76</v>
      </c>
      <c r="M146" s="91" t="s">
        <v>593</v>
      </c>
      <c r="N146" s="98"/>
      <c r="O146" s="98"/>
      <c r="P146" s="98"/>
    </row>
    <row r="147" hidden="1">
      <c r="A147" s="108"/>
      <c r="B147" s="98"/>
      <c r="C147" s="88" t="s">
        <v>378</v>
      </c>
      <c r="D147" s="98"/>
      <c r="E147" s="88" t="s">
        <v>36</v>
      </c>
      <c r="F147" s="88" t="s">
        <v>25</v>
      </c>
      <c r="G147" s="88" t="s">
        <v>663</v>
      </c>
      <c r="H147" s="88" t="s">
        <v>664</v>
      </c>
      <c r="I147" s="88" t="s">
        <v>665</v>
      </c>
      <c r="J147" s="99" t="s">
        <v>74</v>
      </c>
      <c r="K147" s="100" t="s">
        <v>75</v>
      </c>
      <c r="L147" s="100" t="s">
        <v>76</v>
      </c>
      <c r="M147" s="98"/>
      <c r="N147" s="98"/>
      <c r="O147" s="98"/>
      <c r="P147" s="98"/>
    </row>
    <row r="148" hidden="1">
      <c r="A148" s="108"/>
      <c r="B148" s="98"/>
      <c r="C148" s="88" t="s">
        <v>491</v>
      </c>
      <c r="D148" s="98"/>
      <c r="E148" s="106" t="s">
        <v>34</v>
      </c>
      <c r="F148" s="88" t="s">
        <v>25</v>
      </c>
      <c r="G148" s="88" t="s">
        <v>666</v>
      </c>
      <c r="H148" s="88" t="s">
        <v>667</v>
      </c>
      <c r="I148" s="88" t="s">
        <v>668</v>
      </c>
      <c r="J148" s="99" t="s">
        <v>74</v>
      </c>
      <c r="K148" s="100" t="s">
        <v>25</v>
      </c>
      <c r="L148" s="100" t="s">
        <v>25</v>
      </c>
      <c r="M148" s="91" t="s">
        <v>150</v>
      </c>
      <c r="N148" s="98"/>
      <c r="O148" s="98"/>
      <c r="P148" s="98"/>
    </row>
    <row r="149" hidden="1">
      <c r="A149" s="108"/>
      <c r="B149" s="98"/>
      <c r="C149" s="88" t="s">
        <v>669</v>
      </c>
      <c r="D149" s="98"/>
      <c r="E149" s="88" t="s">
        <v>35</v>
      </c>
      <c r="F149" s="88" t="s">
        <v>25</v>
      </c>
      <c r="G149" s="88" t="s">
        <v>670</v>
      </c>
      <c r="H149" s="88" t="s">
        <v>671</v>
      </c>
      <c r="I149" s="88" t="s">
        <v>672</v>
      </c>
      <c r="J149" s="99" t="s">
        <v>74</v>
      </c>
      <c r="K149" s="100" t="s">
        <v>75</v>
      </c>
      <c r="L149" s="100" t="s">
        <v>76</v>
      </c>
      <c r="M149" s="98"/>
      <c r="N149" s="98"/>
      <c r="O149" s="98"/>
      <c r="P149" s="98"/>
    </row>
    <row r="150" hidden="1">
      <c r="A150" s="108"/>
      <c r="B150" s="98"/>
      <c r="C150" s="88" t="s">
        <v>673</v>
      </c>
      <c r="D150" s="98"/>
      <c r="E150" s="88" t="s">
        <v>35</v>
      </c>
      <c r="F150" s="88" t="s">
        <v>25</v>
      </c>
      <c r="G150" s="88" t="s">
        <v>674</v>
      </c>
      <c r="H150" s="88" t="s">
        <v>675</v>
      </c>
      <c r="I150" s="88" t="s">
        <v>676</v>
      </c>
      <c r="J150" s="99" t="s">
        <v>74</v>
      </c>
      <c r="K150" s="100" t="s">
        <v>75</v>
      </c>
      <c r="L150" s="100" t="s">
        <v>76</v>
      </c>
      <c r="M150" s="98"/>
      <c r="N150" s="98"/>
      <c r="O150" s="98"/>
      <c r="P150" s="98"/>
    </row>
    <row r="151" hidden="1">
      <c r="A151" s="108"/>
      <c r="B151" s="98"/>
      <c r="C151" s="88" t="s">
        <v>677</v>
      </c>
      <c r="D151" s="98"/>
      <c r="E151" s="88" t="s">
        <v>360</v>
      </c>
      <c r="F151" s="88" t="s">
        <v>25</v>
      </c>
      <c r="G151" s="88" t="s">
        <v>678</v>
      </c>
      <c r="H151" s="88" t="s">
        <v>679</v>
      </c>
      <c r="I151" s="88" t="s">
        <v>680</v>
      </c>
      <c r="J151" s="99" t="s">
        <v>74</v>
      </c>
      <c r="K151" s="100" t="s">
        <v>25</v>
      </c>
      <c r="L151" s="100" t="s">
        <v>25</v>
      </c>
      <c r="M151" s="91" t="s">
        <v>150</v>
      </c>
      <c r="N151" s="98"/>
      <c r="O151" s="98"/>
      <c r="P151" s="98"/>
    </row>
    <row r="152" hidden="1">
      <c r="A152" s="108"/>
      <c r="B152" s="98"/>
      <c r="C152" s="88" t="s">
        <v>677</v>
      </c>
      <c r="D152" s="98"/>
      <c r="E152" s="88" t="s">
        <v>35</v>
      </c>
      <c r="F152" s="88" t="s">
        <v>25</v>
      </c>
      <c r="G152" s="88" t="s">
        <v>681</v>
      </c>
      <c r="H152" s="88" t="s">
        <v>682</v>
      </c>
      <c r="I152" s="88" t="s">
        <v>683</v>
      </c>
      <c r="J152" s="99" t="s">
        <v>74</v>
      </c>
      <c r="K152" s="100" t="s">
        <v>75</v>
      </c>
      <c r="L152" s="100" t="s">
        <v>76</v>
      </c>
      <c r="M152" s="98"/>
      <c r="N152" s="98"/>
      <c r="O152" s="98"/>
      <c r="P152" s="98"/>
    </row>
    <row r="153" hidden="1">
      <c r="A153" s="108"/>
      <c r="B153" s="98"/>
      <c r="C153" s="88" t="s">
        <v>684</v>
      </c>
      <c r="D153" s="98"/>
      <c r="E153" s="88" t="s">
        <v>36</v>
      </c>
      <c r="F153" s="88" t="s">
        <v>25</v>
      </c>
      <c r="G153" s="88" t="s">
        <v>685</v>
      </c>
      <c r="H153" s="88" t="s">
        <v>686</v>
      </c>
      <c r="I153" s="88" t="s">
        <v>687</v>
      </c>
      <c r="J153" s="99" t="s">
        <v>74</v>
      </c>
      <c r="K153" s="100" t="s">
        <v>75</v>
      </c>
      <c r="L153" s="100" t="s">
        <v>76</v>
      </c>
      <c r="M153" s="98"/>
      <c r="N153" s="98"/>
      <c r="O153" s="98"/>
      <c r="P153" s="98"/>
    </row>
    <row r="154" hidden="1">
      <c r="A154" s="108"/>
      <c r="B154" s="98"/>
      <c r="C154" s="88" t="s">
        <v>688</v>
      </c>
      <c r="D154" s="98"/>
      <c r="E154" s="88" t="s">
        <v>35</v>
      </c>
      <c r="F154" s="88" t="s">
        <v>25</v>
      </c>
      <c r="G154" s="88" t="s">
        <v>689</v>
      </c>
      <c r="H154" s="88" t="s">
        <v>690</v>
      </c>
      <c r="I154" s="88" t="s">
        <v>691</v>
      </c>
      <c r="J154" s="99" t="s">
        <v>74</v>
      </c>
      <c r="K154" s="100" t="s">
        <v>75</v>
      </c>
      <c r="L154" s="100" t="s">
        <v>76</v>
      </c>
      <c r="M154" s="98"/>
      <c r="N154" s="98"/>
      <c r="O154" s="98"/>
      <c r="P154" s="98"/>
    </row>
    <row r="155" hidden="1">
      <c r="A155" s="108"/>
      <c r="B155" s="98"/>
      <c r="C155" s="88" t="s">
        <v>692</v>
      </c>
      <c r="D155" s="98"/>
      <c r="E155" s="88" t="s">
        <v>31</v>
      </c>
      <c r="F155" s="98"/>
      <c r="G155" s="88" t="s">
        <v>693</v>
      </c>
      <c r="H155" s="88" t="s">
        <v>694</v>
      </c>
      <c r="I155" s="88" t="s">
        <v>695</v>
      </c>
      <c r="J155" s="99" t="s">
        <v>74</v>
      </c>
      <c r="K155" s="100" t="s">
        <v>75</v>
      </c>
      <c r="L155" s="100" t="s">
        <v>76</v>
      </c>
      <c r="M155" s="91" t="s">
        <v>696</v>
      </c>
      <c r="N155" s="98"/>
      <c r="O155" s="98"/>
      <c r="P155" s="98"/>
    </row>
    <row r="156" hidden="1">
      <c r="A156" s="108"/>
      <c r="B156" s="98"/>
      <c r="C156" s="88" t="s">
        <v>697</v>
      </c>
      <c r="D156" s="98"/>
      <c r="E156" s="88" t="s">
        <v>31</v>
      </c>
      <c r="F156" s="98"/>
      <c r="G156" s="88" t="s">
        <v>698</v>
      </c>
      <c r="H156" s="88" t="s">
        <v>699</v>
      </c>
      <c r="I156" s="88" t="s">
        <v>700</v>
      </c>
      <c r="J156" s="99" t="s">
        <v>74</v>
      </c>
      <c r="K156" s="100" t="s">
        <v>75</v>
      </c>
      <c r="L156" s="100" t="s">
        <v>76</v>
      </c>
      <c r="M156" s="98"/>
      <c r="N156" s="98"/>
      <c r="O156" s="98"/>
      <c r="P156" s="98"/>
    </row>
    <row r="157" hidden="1">
      <c r="A157" s="108"/>
      <c r="B157" s="98"/>
      <c r="C157" s="88" t="s">
        <v>701</v>
      </c>
      <c r="D157" s="98"/>
      <c r="E157" s="88" t="s">
        <v>31</v>
      </c>
      <c r="F157" s="98"/>
      <c r="G157" s="88" t="s">
        <v>702</v>
      </c>
      <c r="H157" s="88" t="s">
        <v>703</v>
      </c>
      <c r="I157" s="88" t="s">
        <v>704</v>
      </c>
      <c r="J157" s="99" t="s">
        <v>74</v>
      </c>
      <c r="K157" s="100" t="s">
        <v>75</v>
      </c>
      <c r="L157" s="100" t="s">
        <v>76</v>
      </c>
      <c r="M157" s="98"/>
      <c r="N157" s="98"/>
      <c r="O157" s="98"/>
      <c r="P157" s="98"/>
    </row>
    <row r="158" hidden="1">
      <c r="A158" s="108"/>
      <c r="B158" s="98"/>
      <c r="C158" s="88" t="s">
        <v>705</v>
      </c>
      <c r="D158" s="98"/>
      <c r="E158" s="88" t="s">
        <v>31</v>
      </c>
      <c r="F158" s="98"/>
      <c r="G158" s="88" t="s">
        <v>706</v>
      </c>
      <c r="H158" s="88" t="s">
        <v>707</v>
      </c>
      <c r="I158" s="88" t="s">
        <v>708</v>
      </c>
      <c r="J158" s="99" t="s">
        <v>74</v>
      </c>
      <c r="K158" s="100" t="s">
        <v>25</v>
      </c>
      <c r="L158" s="100" t="s">
        <v>25</v>
      </c>
      <c r="M158" s="91" t="s">
        <v>406</v>
      </c>
      <c r="N158" s="105" t="s">
        <v>709</v>
      </c>
      <c r="O158" s="98"/>
      <c r="P158" s="98"/>
    </row>
    <row r="159">
      <c r="A159" s="108"/>
      <c r="B159" s="98"/>
      <c r="C159" s="88" t="s">
        <v>710</v>
      </c>
      <c r="D159" s="98"/>
      <c r="E159" s="88" t="s">
        <v>31</v>
      </c>
      <c r="F159" s="98"/>
      <c r="G159" s="88" t="s">
        <v>711</v>
      </c>
      <c r="H159" s="88" t="s">
        <v>712</v>
      </c>
      <c r="I159" s="88" t="s">
        <v>713</v>
      </c>
      <c r="J159" s="110" t="s">
        <v>714</v>
      </c>
      <c r="K159" s="100" t="s">
        <v>25</v>
      </c>
      <c r="L159" s="100" t="s">
        <v>25</v>
      </c>
      <c r="M159" s="91" t="s">
        <v>715</v>
      </c>
      <c r="N159" s="105" t="s">
        <v>716</v>
      </c>
      <c r="O159" s="98"/>
      <c r="P159" s="98"/>
    </row>
    <row r="160">
      <c r="A160" s="108"/>
      <c r="B160" s="98"/>
      <c r="C160" s="88" t="s">
        <v>717</v>
      </c>
      <c r="D160" s="98"/>
      <c r="E160" s="88" t="s">
        <v>360</v>
      </c>
      <c r="F160" s="98"/>
      <c r="G160" s="88" t="s">
        <v>718</v>
      </c>
      <c r="H160" s="88" t="s">
        <v>719</v>
      </c>
      <c r="I160" s="88" t="s">
        <v>720</v>
      </c>
      <c r="J160" s="110" t="s">
        <v>714</v>
      </c>
      <c r="K160" s="100" t="s">
        <v>25</v>
      </c>
      <c r="L160" s="100" t="s">
        <v>25</v>
      </c>
      <c r="M160" s="91" t="s">
        <v>715</v>
      </c>
      <c r="N160" s="105" t="s">
        <v>721</v>
      </c>
      <c r="O160" s="98"/>
      <c r="P160" s="98"/>
    </row>
    <row r="161">
      <c r="A161" s="108"/>
      <c r="B161" s="98"/>
      <c r="C161" s="88" t="s">
        <v>722</v>
      </c>
      <c r="D161" s="98"/>
      <c r="E161" s="88" t="s">
        <v>38</v>
      </c>
      <c r="F161" s="98"/>
      <c r="G161" s="88" t="s">
        <v>723</v>
      </c>
      <c r="H161" s="88" t="s">
        <v>724</v>
      </c>
      <c r="I161" s="88" t="s">
        <v>725</v>
      </c>
      <c r="J161" s="110" t="s">
        <v>714</v>
      </c>
      <c r="K161" s="100" t="s">
        <v>25</v>
      </c>
      <c r="L161" s="100" t="s">
        <v>25</v>
      </c>
      <c r="M161" s="91" t="s">
        <v>726</v>
      </c>
      <c r="N161" s="105" t="s">
        <v>727</v>
      </c>
      <c r="O161" s="98"/>
      <c r="P161" s="98"/>
    </row>
    <row r="162" hidden="1">
      <c r="A162" s="96" t="s">
        <v>728</v>
      </c>
      <c r="B162" s="88" t="s">
        <v>729</v>
      </c>
      <c r="C162" s="88" t="s">
        <v>730</v>
      </c>
      <c r="D162" s="98"/>
      <c r="E162" s="106" t="s">
        <v>34</v>
      </c>
      <c r="F162" s="98"/>
      <c r="G162" s="88" t="s">
        <v>731</v>
      </c>
      <c r="H162" s="88" t="s">
        <v>732</v>
      </c>
      <c r="I162" s="88" t="s">
        <v>733</v>
      </c>
      <c r="J162" s="99" t="s">
        <v>74</v>
      </c>
      <c r="K162" s="100" t="s">
        <v>25</v>
      </c>
      <c r="L162" s="100" t="s">
        <v>25</v>
      </c>
      <c r="M162" s="91" t="s">
        <v>734</v>
      </c>
      <c r="N162" s="98"/>
      <c r="O162" s="98"/>
      <c r="P162" s="98"/>
    </row>
    <row r="163" hidden="1">
      <c r="A163" s="96" t="s">
        <v>728</v>
      </c>
      <c r="B163" s="88" t="s">
        <v>729</v>
      </c>
      <c r="C163" s="88" t="s">
        <v>735</v>
      </c>
      <c r="D163" s="98"/>
      <c r="E163" s="106" t="s">
        <v>34</v>
      </c>
      <c r="F163" s="98"/>
      <c r="G163" s="88" t="s">
        <v>736</v>
      </c>
      <c r="H163" s="88" t="s">
        <v>737</v>
      </c>
      <c r="I163" s="88" t="s">
        <v>733</v>
      </c>
      <c r="J163" s="99" t="s">
        <v>74</v>
      </c>
      <c r="K163" s="100" t="s">
        <v>25</v>
      </c>
      <c r="L163" s="100" t="s">
        <v>25</v>
      </c>
      <c r="M163" s="91" t="s">
        <v>734</v>
      </c>
      <c r="N163" s="98"/>
      <c r="O163" s="98"/>
      <c r="P163" s="98"/>
    </row>
    <row r="164" hidden="1">
      <c r="A164" s="96" t="s">
        <v>728</v>
      </c>
      <c r="B164" s="88" t="s">
        <v>729</v>
      </c>
      <c r="C164" s="88" t="s">
        <v>738</v>
      </c>
      <c r="D164" s="98"/>
      <c r="E164" s="106" t="s">
        <v>34</v>
      </c>
      <c r="F164" s="98"/>
      <c r="G164" s="88" t="s">
        <v>739</v>
      </c>
      <c r="H164" s="88" t="s">
        <v>740</v>
      </c>
      <c r="I164" s="88" t="s">
        <v>741</v>
      </c>
      <c r="J164" s="99" t="s">
        <v>74</v>
      </c>
      <c r="K164" s="100" t="s">
        <v>75</v>
      </c>
      <c r="L164" s="100" t="s">
        <v>76</v>
      </c>
      <c r="M164" s="91" t="s">
        <v>742</v>
      </c>
      <c r="N164" s="98"/>
      <c r="O164" s="98"/>
      <c r="P164" s="98"/>
    </row>
    <row r="165" hidden="1">
      <c r="A165" s="96" t="s">
        <v>728</v>
      </c>
      <c r="B165" s="88" t="s">
        <v>729</v>
      </c>
      <c r="C165" s="88" t="s">
        <v>743</v>
      </c>
      <c r="D165" s="98"/>
      <c r="E165" s="106" t="s">
        <v>34</v>
      </c>
      <c r="F165" s="98"/>
      <c r="G165" s="88" t="s">
        <v>744</v>
      </c>
      <c r="H165" s="88" t="s">
        <v>745</v>
      </c>
      <c r="I165" s="88" t="s">
        <v>746</v>
      </c>
      <c r="J165" s="99" t="s">
        <v>74</v>
      </c>
      <c r="K165" s="100" t="s">
        <v>75</v>
      </c>
      <c r="L165" s="100" t="s">
        <v>76</v>
      </c>
      <c r="M165" s="91" t="s">
        <v>742</v>
      </c>
      <c r="N165" s="98"/>
      <c r="O165" s="98"/>
      <c r="P165" s="98"/>
    </row>
    <row r="166" hidden="1">
      <c r="A166" s="96" t="s">
        <v>728</v>
      </c>
      <c r="B166" s="88" t="s">
        <v>729</v>
      </c>
      <c r="C166" s="88" t="s">
        <v>747</v>
      </c>
      <c r="D166" s="98"/>
      <c r="E166" s="106" t="s">
        <v>34</v>
      </c>
      <c r="F166" s="98"/>
      <c r="G166" s="88" t="s">
        <v>748</v>
      </c>
      <c r="H166" s="88" t="s">
        <v>749</v>
      </c>
      <c r="I166" s="88" t="s">
        <v>750</v>
      </c>
      <c r="J166" s="99" t="s">
        <v>74</v>
      </c>
      <c r="K166" s="100" t="s">
        <v>75</v>
      </c>
      <c r="L166" s="100" t="s">
        <v>76</v>
      </c>
      <c r="M166" s="91" t="s">
        <v>742</v>
      </c>
      <c r="N166" s="105" t="s">
        <v>751</v>
      </c>
      <c r="O166" s="98"/>
      <c r="P166" s="98"/>
    </row>
    <row r="167" hidden="1">
      <c r="A167" s="96" t="s">
        <v>728</v>
      </c>
      <c r="B167" s="88" t="s">
        <v>729</v>
      </c>
      <c r="C167" s="88" t="s">
        <v>752</v>
      </c>
      <c r="D167" s="98"/>
      <c r="E167" s="106" t="s">
        <v>34</v>
      </c>
      <c r="F167" s="98"/>
      <c r="G167" s="88" t="s">
        <v>753</v>
      </c>
      <c r="H167" s="88" t="s">
        <v>754</v>
      </c>
      <c r="I167" s="88" t="s">
        <v>755</v>
      </c>
      <c r="J167" s="99" t="s">
        <v>74</v>
      </c>
      <c r="K167" s="100" t="s">
        <v>75</v>
      </c>
      <c r="L167" s="100" t="s">
        <v>76</v>
      </c>
      <c r="M167" s="98"/>
      <c r="N167" s="98"/>
      <c r="O167" s="98"/>
      <c r="P167" s="98"/>
    </row>
    <row r="168" hidden="1">
      <c r="A168" s="96" t="s">
        <v>728</v>
      </c>
      <c r="B168" s="88" t="s">
        <v>729</v>
      </c>
      <c r="C168" s="88" t="s">
        <v>756</v>
      </c>
      <c r="D168" s="98"/>
      <c r="E168" s="106" t="s">
        <v>34</v>
      </c>
      <c r="F168" s="98"/>
      <c r="G168" s="88" t="s">
        <v>757</v>
      </c>
      <c r="H168" s="88" t="s">
        <v>758</v>
      </c>
      <c r="I168" s="88" t="s">
        <v>759</v>
      </c>
      <c r="J168" s="99" t="s">
        <v>74</v>
      </c>
      <c r="K168" s="100" t="s">
        <v>75</v>
      </c>
      <c r="L168" s="100" t="s">
        <v>76</v>
      </c>
      <c r="M168" s="91" t="s">
        <v>742</v>
      </c>
      <c r="N168" s="98"/>
      <c r="O168" s="98"/>
      <c r="P168" s="98"/>
    </row>
    <row r="169" hidden="1">
      <c r="A169" s="96" t="s">
        <v>728</v>
      </c>
      <c r="B169" s="88" t="s">
        <v>729</v>
      </c>
      <c r="C169" s="88" t="s">
        <v>760</v>
      </c>
      <c r="D169" s="98"/>
      <c r="E169" s="106" t="s">
        <v>34</v>
      </c>
      <c r="F169" s="98"/>
      <c r="G169" s="88" t="s">
        <v>761</v>
      </c>
      <c r="H169" s="88" t="s">
        <v>762</v>
      </c>
      <c r="I169" s="88" t="s">
        <v>763</v>
      </c>
      <c r="J169" s="99" t="s">
        <v>74</v>
      </c>
      <c r="K169" s="100" t="s">
        <v>75</v>
      </c>
      <c r="L169" s="100" t="s">
        <v>76</v>
      </c>
      <c r="M169" s="91" t="s">
        <v>742</v>
      </c>
      <c r="N169" s="98"/>
      <c r="O169" s="98"/>
      <c r="P169" s="98"/>
    </row>
    <row r="170" hidden="1">
      <c r="A170" s="108"/>
      <c r="B170" s="98"/>
      <c r="C170" s="88" t="s">
        <v>764</v>
      </c>
      <c r="D170" s="98"/>
      <c r="E170" s="88" t="s">
        <v>32</v>
      </c>
      <c r="F170" s="98"/>
      <c r="G170" s="88" t="s">
        <v>765</v>
      </c>
      <c r="H170" s="88" t="s">
        <v>766</v>
      </c>
      <c r="I170" s="88" t="s">
        <v>767</v>
      </c>
      <c r="J170" s="99" t="s">
        <v>74</v>
      </c>
      <c r="K170" s="100" t="s">
        <v>25</v>
      </c>
      <c r="L170" s="100" t="s">
        <v>25</v>
      </c>
      <c r="M170" s="91" t="s">
        <v>121</v>
      </c>
      <c r="N170" s="105" t="s">
        <v>768</v>
      </c>
      <c r="O170" s="98"/>
      <c r="P170" s="98"/>
    </row>
    <row r="171" hidden="1">
      <c r="A171" s="108"/>
      <c r="B171" s="98"/>
      <c r="C171" s="88" t="s">
        <v>769</v>
      </c>
      <c r="D171" s="98"/>
      <c r="E171" s="88" t="s">
        <v>32</v>
      </c>
      <c r="F171" s="98"/>
      <c r="G171" s="88" t="s">
        <v>770</v>
      </c>
      <c r="H171" s="88" t="s">
        <v>771</v>
      </c>
      <c r="I171" s="88" t="s">
        <v>767</v>
      </c>
      <c r="J171" s="99" t="s">
        <v>74</v>
      </c>
      <c r="K171" s="100" t="s">
        <v>25</v>
      </c>
      <c r="L171" s="100" t="s">
        <v>25</v>
      </c>
      <c r="M171" s="91" t="s">
        <v>772</v>
      </c>
      <c r="N171" s="105" t="s">
        <v>773</v>
      </c>
      <c r="O171" s="98"/>
      <c r="P171" s="98"/>
    </row>
    <row r="172" hidden="1">
      <c r="A172" s="108"/>
      <c r="B172" s="98"/>
      <c r="C172" s="88" t="s">
        <v>774</v>
      </c>
      <c r="D172" s="98"/>
      <c r="E172" s="88" t="s">
        <v>39</v>
      </c>
      <c r="F172" s="98"/>
      <c r="G172" s="88" t="s">
        <v>775</v>
      </c>
      <c r="H172" s="88" t="s">
        <v>776</v>
      </c>
      <c r="I172" s="88" t="s">
        <v>777</v>
      </c>
      <c r="J172" s="99" t="s">
        <v>74</v>
      </c>
      <c r="K172" s="100" t="s">
        <v>25</v>
      </c>
      <c r="L172" s="100" t="s">
        <v>25</v>
      </c>
      <c r="M172" s="91" t="s">
        <v>778</v>
      </c>
      <c r="N172" s="105" t="s">
        <v>779</v>
      </c>
      <c r="O172" s="98"/>
      <c r="P172" s="98"/>
    </row>
    <row r="173" hidden="1">
      <c r="A173" s="108"/>
      <c r="B173" s="98"/>
      <c r="C173" s="88" t="s">
        <v>780</v>
      </c>
      <c r="D173" s="98"/>
      <c r="E173" s="88" t="s">
        <v>360</v>
      </c>
      <c r="F173" s="98"/>
      <c r="G173" s="88" t="s">
        <v>781</v>
      </c>
      <c r="H173" s="88" t="s">
        <v>782</v>
      </c>
      <c r="I173" s="88" t="s">
        <v>783</v>
      </c>
      <c r="J173" s="99" t="s">
        <v>74</v>
      </c>
      <c r="K173" s="100" t="s">
        <v>75</v>
      </c>
      <c r="L173" s="100" t="s">
        <v>76</v>
      </c>
      <c r="M173" s="91" t="s">
        <v>784</v>
      </c>
      <c r="N173" s="105" t="s">
        <v>785</v>
      </c>
      <c r="O173" s="98"/>
      <c r="P173" s="98"/>
    </row>
    <row r="174" hidden="1">
      <c r="A174" s="108"/>
      <c r="B174" s="98"/>
      <c r="C174" s="88" t="s">
        <v>786</v>
      </c>
      <c r="D174" s="98"/>
      <c r="E174" s="88" t="s">
        <v>360</v>
      </c>
      <c r="F174" s="98"/>
      <c r="G174" s="88" t="s">
        <v>787</v>
      </c>
      <c r="H174" s="88" t="s">
        <v>788</v>
      </c>
      <c r="I174" s="88" t="s">
        <v>789</v>
      </c>
      <c r="J174" s="99" t="s">
        <v>74</v>
      </c>
      <c r="K174" s="100" t="s">
        <v>25</v>
      </c>
      <c r="L174" s="100" t="s">
        <v>25</v>
      </c>
      <c r="M174" s="91" t="s">
        <v>790</v>
      </c>
      <c r="N174" s="105" t="s">
        <v>791</v>
      </c>
      <c r="O174" s="98"/>
      <c r="P174" s="98"/>
    </row>
    <row r="175" hidden="1">
      <c r="A175" s="108"/>
      <c r="B175" s="98"/>
      <c r="C175" s="88" t="s">
        <v>792</v>
      </c>
      <c r="D175" s="98"/>
      <c r="E175" s="88" t="s">
        <v>360</v>
      </c>
      <c r="F175" s="98"/>
      <c r="G175" s="88" t="s">
        <v>793</v>
      </c>
      <c r="H175" s="88" t="s">
        <v>794</v>
      </c>
      <c r="I175" s="88" t="s">
        <v>795</v>
      </c>
      <c r="J175" s="99" t="s">
        <v>74</v>
      </c>
      <c r="K175" s="100" t="s">
        <v>25</v>
      </c>
      <c r="L175" s="100" t="s">
        <v>25</v>
      </c>
      <c r="M175" s="98"/>
      <c r="N175" s="105" t="s">
        <v>796</v>
      </c>
      <c r="O175" s="98"/>
      <c r="P175" s="98"/>
    </row>
    <row r="176" hidden="1">
      <c r="A176" s="108"/>
      <c r="B176" s="98"/>
      <c r="C176" s="88" t="s">
        <v>797</v>
      </c>
      <c r="D176" s="98"/>
      <c r="E176" s="106" t="s">
        <v>34</v>
      </c>
      <c r="F176" s="98"/>
      <c r="G176" s="88" t="s">
        <v>798</v>
      </c>
      <c r="H176" s="88" t="s">
        <v>799</v>
      </c>
      <c r="I176" s="88" t="s">
        <v>800</v>
      </c>
      <c r="J176" s="99" t="s">
        <v>74</v>
      </c>
      <c r="K176" s="100" t="s">
        <v>25</v>
      </c>
      <c r="L176" s="100" t="s">
        <v>25</v>
      </c>
      <c r="M176" s="98"/>
      <c r="N176" s="105" t="s">
        <v>801</v>
      </c>
      <c r="O176" s="98"/>
      <c r="P176" s="98"/>
    </row>
    <row r="177" hidden="1">
      <c r="A177" s="108"/>
      <c r="B177" s="98"/>
      <c r="C177" s="88" t="s">
        <v>802</v>
      </c>
      <c r="D177" s="98"/>
      <c r="E177" s="106" t="s">
        <v>34</v>
      </c>
      <c r="F177" s="98"/>
      <c r="G177" s="88" t="s">
        <v>803</v>
      </c>
      <c r="H177" s="88" t="s">
        <v>804</v>
      </c>
      <c r="I177" s="88" t="s">
        <v>805</v>
      </c>
      <c r="J177" s="99" t="s">
        <v>74</v>
      </c>
      <c r="K177" s="100" t="s">
        <v>25</v>
      </c>
      <c r="L177" s="100" t="s">
        <v>25</v>
      </c>
      <c r="M177" s="91" t="s">
        <v>806</v>
      </c>
      <c r="N177" s="105" t="s">
        <v>807</v>
      </c>
      <c r="O177" s="98"/>
      <c r="P177" s="98"/>
    </row>
    <row r="178" hidden="1">
      <c r="A178" s="108"/>
      <c r="B178" s="98"/>
      <c r="C178" s="88" t="s">
        <v>808</v>
      </c>
      <c r="D178" s="98"/>
      <c r="E178" s="106" t="s">
        <v>34</v>
      </c>
      <c r="F178" s="98"/>
      <c r="G178" s="88" t="s">
        <v>809</v>
      </c>
      <c r="H178" s="88" t="s">
        <v>810</v>
      </c>
      <c r="I178" s="88" t="s">
        <v>811</v>
      </c>
      <c r="J178" s="99" t="s">
        <v>74</v>
      </c>
      <c r="K178" s="100" t="s">
        <v>75</v>
      </c>
      <c r="L178" s="100" t="s">
        <v>76</v>
      </c>
      <c r="M178" s="88" t="s">
        <v>812</v>
      </c>
      <c r="N178" s="105" t="s">
        <v>813</v>
      </c>
      <c r="O178" s="98"/>
      <c r="P178" s="98"/>
    </row>
    <row r="179" hidden="1">
      <c r="A179" s="108"/>
      <c r="B179" s="98"/>
      <c r="C179" s="88" t="s">
        <v>814</v>
      </c>
      <c r="D179" s="98"/>
      <c r="E179" s="88" t="s">
        <v>589</v>
      </c>
      <c r="F179" s="98"/>
      <c r="G179" s="88" t="s">
        <v>815</v>
      </c>
      <c r="H179" s="88" t="s">
        <v>816</v>
      </c>
      <c r="I179" s="88" t="s">
        <v>817</v>
      </c>
      <c r="J179" s="99" t="s">
        <v>74</v>
      </c>
      <c r="K179" s="100" t="s">
        <v>25</v>
      </c>
      <c r="L179" s="100" t="s">
        <v>25</v>
      </c>
      <c r="M179" s="91" t="s">
        <v>406</v>
      </c>
      <c r="N179" s="105" t="s">
        <v>818</v>
      </c>
      <c r="O179" s="98"/>
      <c r="P179" s="98"/>
    </row>
    <row r="180" hidden="1">
      <c r="A180" s="96" t="s">
        <v>819</v>
      </c>
      <c r="B180" s="88" t="s">
        <v>40</v>
      </c>
      <c r="C180" s="88" t="s">
        <v>820</v>
      </c>
      <c r="D180" s="98"/>
      <c r="E180" s="88" t="s">
        <v>40</v>
      </c>
      <c r="F180" s="98"/>
      <c r="G180" s="88" t="s">
        <v>821</v>
      </c>
      <c r="H180" s="88" t="s">
        <v>822</v>
      </c>
      <c r="I180" s="88" t="s">
        <v>823</v>
      </c>
      <c r="J180" s="99" t="s">
        <v>74</v>
      </c>
      <c r="K180" s="100" t="s">
        <v>25</v>
      </c>
      <c r="L180" s="100" t="s">
        <v>25</v>
      </c>
      <c r="M180" s="91" t="s">
        <v>824</v>
      </c>
      <c r="N180" s="98"/>
      <c r="O180" s="98"/>
      <c r="P180" s="98"/>
    </row>
    <row r="181" hidden="1">
      <c r="A181" s="96" t="s">
        <v>819</v>
      </c>
      <c r="B181" s="111"/>
      <c r="C181" s="88" t="s">
        <v>825</v>
      </c>
      <c r="D181" s="98"/>
      <c r="E181" s="88" t="s">
        <v>40</v>
      </c>
      <c r="F181" s="98"/>
      <c r="G181" s="88" t="s">
        <v>826</v>
      </c>
      <c r="H181" s="88" t="s">
        <v>827</v>
      </c>
      <c r="I181" s="88" t="s">
        <v>823</v>
      </c>
      <c r="J181" s="99" t="s">
        <v>74</v>
      </c>
      <c r="K181" s="100" t="s">
        <v>25</v>
      </c>
      <c r="L181" s="100" t="s">
        <v>25</v>
      </c>
      <c r="M181" s="91" t="s">
        <v>824</v>
      </c>
      <c r="N181" s="98"/>
      <c r="O181" s="98"/>
      <c r="P181" s="98"/>
    </row>
    <row r="182" hidden="1">
      <c r="A182" s="96" t="s">
        <v>819</v>
      </c>
      <c r="B182" s="111"/>
      <c r="C182" s="88" t="s">
        <v>828</v>
      </c>
      <c r="D182" s="98"/>
      <c r="E182" s="88" t="s">
        <v>40</v>
      </c>
      <c r="F182" s="98"/>
      <c r="G182" s="88" t="s">
        <v>829</v>
      </c>
      <c r="H182" s="88" t="s">
        <v>822</v>
      </c>
      <c r="I182" s="88" t="s">
        <v>830</v>
      </c>
      <c r="J182" s="99" t="s">
        <v>74</v>
      </c>
      <c r="K182" s="100" t="s">
        <v>25</v>
      </c>
      <c r="L182" s="100" t="s">
        <v>25</v>
      </c>
      <c r="M182" s="91" t="s">
        <v>824</v>
      </c>
      <c r="N182" s="98"/>
      <c r="O182" s="98"/>
      <c r="P182" s="98"/>
    </row>
    <row r="183" hidden="1">
      <c r="A183" s="96" t="s">
        <v>819</v>
      </c>
      <c r="B183" s="111"/>
      <c r="C183" s="88" t="s">
        <v>831</v>
      </c>
      <c r="D183" s="98"/>
      <c r="E183" s="88" t="s">
        <v>40</v>
      </c>
      <c r="F183" s="98"/>
      <c r="G183" s="88" t="s">
        <v>832</v>
      </c>
      <c r="H183" s="88" t="s">
        <v>827</v>
      </c>
      <c r="I183" s="88" t="s">
        <v>830</v>
      </c>
      <c r="J183" s="99" t="s">
        <v>74</v>
      </c>
      <c r="K183" s="100" t="s">
        <v>25</v>
      </c>
      <c r="L183" s="100" t="s">
        <v>25</v>
      </c>
      <c r="M183" s="91" t="s">
        <v>824</v>
      </c>
      <c r="N183" s="98"/>
      <c r="O183" s="98"/>
      <c r="P183" s="98"/>
    </row>
    <row r="184" hidden="1">
      <c r="A184" s="96" t="s">
        <v>819</v>
      </c>
      <c r="B184" s="111"/>
      <c r="C184" s="88" t="s">
        <v>833</v>
      </c>
      <c r="D184" s="98"/>
      <c r="E184" s="88" t="s">
        <v>40</v>
      </c>
      <c r="F184" s="98"/>
      <c r="G184" s="88" t="s">
        <v>834</v>
      </c>
      <c r="H184" s="88" t="s">
        <v>822</v>
      </c>
      <c r="I184" s="88" t="s">
        <v>823</v>
      </c>
      <c r="J184" s="99" t="s">
        <v>74</v>
      </c>
      <c r="K184" s="100" t="s">
        <v>25</v>
      </c>
      <c r="L184" s="100" t="s">
        <v>25</v>
      </c>
      <c r="M184" s="91" t="s">
        <v>824</v>
      </c>
      <c r="N184" s="98"/>
      <c r="O184" s="98"/>
      <c r="P184" s="98"/>
    </row>
    <row r="185" hidden="1">
      <c r="A185" s="96" t="s">
        <v>819</v>
      </c>
      <c r="B185" s="111"/>
      <c r="C185" s="88" t="s">
        <v>835</v>
      </c>
      <c r="D185" s="98"/>
      <c r="E185" s="88" t="s">
        <v>40</v>
      </c>
      <c r="F185" s="98"/>
      <c r="G185" s="88" t="s">
        <v>836</v>
      </c>
      <c r="H185" s="88" t="s">
        <v>827</v>
      </c>
      <c r="I185" s="88" t="s">
        <v>823</v>
      </c>
      <c r="J185" s="99" t="s">
        <v>74</v>
      </c>
      <c r="K185" s="100" t="s">
        <v>25</v>
      </c>
      <c r="L185" s="100" t="s">
        <v>25</v>
      </c>
      <c r="M185" s="91" t="s">
        <v>824</v>
      </c>
      <c r="N185" s="98"/>
      <c r="O185" s="98"/>
      <c r="P185" s="98"/>
    </row>
    <row r="186" hidden="1">
      <c r="A186" s="96" t="s">
        <v>819</v>
      </c>
      <c r="B186" s="111"/>
      <c r="C186" s="88" t="s">
        <v>837</v>
      </c>
      <c r="D186" s="98"/>
      <c r="E186" s="88" t="s">
        <v>40</v>
      </c>
      <c r="F186" s="98"/>
      <c r="G186" s="88" t="s">
        <v>838</v>
      </c>
      <c r="H186" s="88" t="s">
        <v>822</v>
      </c>
      <c r="I186" s="88" t="s">
        <v>830</v>
      </c>
      <c r="J186" s="99" t="s">
        <v>74</v>
      </c>
      <c r="K186" s="100" t="s">
        <v>25</v>
      </c>
      <c r="L186" s="100" t="s">
        <v>25</v>
      </c>
      <c r="M186" s="91" t="s">
        <v>824</v>
      </c>
      <c r="N186" s="98"/>
      <c r="O186" s="98"/>
      <c r="P186" s="98"/>
    </row>
    <row r="187" hidden="1">
      <c r="A187" s="96" t="s">
        <v>819</v>
      </c>
      <c r="B187" s="111"/>
      <c r="C187" s="88" t="s">
        <v>839</v>
      </c>
      <c r="D187" s="98"/>
      <c r="E187" s="88" t="s">
        <v>40</v>
      </c>
      <c r="F187" s="98"/>
      <c r="G187" s="88" t="s">
        <v>840</v>
      </c>
      <c r="H187" s="88" t="s">
        <v>827</v>
      </c>
      <c r="I187" s="88" t="s">
        <v>830</v>
      </c>
      <c r="J187" s="99" t="s">
        <v>74</v>
      </c>
      <c r="K187" s="100" t="s">
        <v>25</v>
      </c>
      <c r="L187" s="100" t="s">
        <v>25</v>
      </c>
      <c r="M187" s="91" t="s">
        <v>824</v>
      </c>
      <c r="N187" s="98"/>
      <c r="O187" s="98"/>
      <c r="P187" s="98"/>
    </row>
    <row r="188" hidden="1">
      <c r="A188" s="96" t="s">
        <v>819</v>
      </c>
      <c r="B188" s="111"/>
      <c r="C188" s="88" t="s">
        <v>841</v>
      </c>
      <c r="D188" s="98"/>
      <c r="E188" s="88" t="s">
        <v>40</v>
      </c>
      <c r="F188" s="98"/>
      <c r="G188" s="88" t="s">
        <v>842</v>
      </c>
      <c r="H188" s="88" t="s">
        <v>822</v>
      </c>
      <c r="I188" s="88" t="s">
        <v>843</v>
      </c>
      <c r="J188" s="99" t="s">
        <v>74</v>
      </c>
      <c r="K188" s="100" t="s">
        <v>25</v>
      </c>
      <c r="L188" s="100" t="s">
        <v>25</v>
      </c>
      <c r="M188" s="91" t="s">
        <v>824</v>
      </c>
      <c r="N188" s="98"/>
      <c r="O188" s="98"/>
      <c r="P188" s="98"/>
    </row>
    <row r="189" hidden="1">
      <c r="A189" s="96" t="s">
        <v>819</v>
      </c>
      <c r="B189" s="111"/>
      <c r="C189" s="88" t="s">
        <v>844</v>
      </c>
      <c r="D189" s="98"/>
      <c r="E189" s="88" t="s">
        <v>40</v>
      </c>
      <c r="F189" s="98"/>
      <c r="G189" s="88" t="s">
        <v>845</v>
      </c>
      <c r="H189" s="88" t="s">
        <v>822</v>
      </c>
      <c r="I189" s="88" t="s">
        <v>846</v>
      </c>
      <c r="J189" s="99" t="s">
        <v>74</v>
      </c>
      <c r="K189" s="100" t="s">
        <v>25</v>
      </c>
      <c r="L189" s="100" t="s">
        <v>25</v>
      </c>
      <c r="M189" s="91" t="s">
        <v>824</v>
      </c>
      <c r="N189" s="98"/>
      <c r="O189" s="98"/>
      <c r="P189" s="98"/>
    </row>
    <row r="190" hidden="1">
      <c r="A190" s="96" t="s">
        <v>819</v>
      </c>
      <c r="B190" s="111"/>
      <c r="C190" s="88" t="s">
        <v>847</v>
      </c>
      <c r="D190" s="98"/>
      <c r="E190" s="88" t="s">
        <v>40</v>
      </c>
      <c r="F190" s="98"/>
      <c r="G190" s="88" t="s">
        <v>848</v>
      </c>
      <c r="H190" s="88" t="s">
        <v>849</v>
      </c>
      <c r="I190" s="88" t="s">
        <v>850</v>
      </c>
      <c r="J190" s="99" t="s">
        <v>74</v>
      </c>
      <c r="K190" s="100" t="s">
        <v>25</v>
      </c>
      <c r="L190" s="100" t="s">
        <v>25</v>
      </c>
      <c r="M190" s="91" t="s">
        <v>824</v>
      </c>
      <c r="N190" s="98"/>
      <c r="O190" s="98"/>
      <c r="P190" s="98"/>
    </row>
    <row r="191" hidden="1">
      <c r="A191" s="96" t="s">
        <v>819</v>
      </c>
      <c r="B191" s="111"/>
      <c r="C191" s="88" t="s">
        <v>851</v>
      </c>
      <c r="D191" s="98"/>
      <c r="E191" s="88" t="s">
        <v>40</v>
      </c>
      <c r="F191" s="98"/>
      <c r="G191" s="88" t="s">
        <v>852</v>
      </c>
      <c r="H191" s="88" t="s">
        <v>822</v>
      </c>
      <c r="I191" s="88" t="s">
        <v>853</v>
      </c>
      <c r="J191" s="99" t="s">
        <v>74</v>
      </c>
      <c r="K191" s="100" t="s">
        <v>25</v>
      </c>
      <c r="L191" s="100" t="s">
        <v>25</v>
      </c>
      <c r="M191" s="91" t="s">
        <v>824</v>
      </c>
      <c r="N191" s="98"/>
      <c r="O191" s="98"/>
      <c r="P191" s="98"/>
    </row>
    <row r="192" hidden="1">
      <c r="A192" s="96" t="s">
        <v>819</v>
      </c>
      <c r="B192" s="111"/>
      <c r="C192" s="88" t="s">
        <v>854</v>
      </c>
      <c r="D192" s="98"/>
      <c r="E192" s="88" t="s">
        <v>40</v>
      </c>
      <c r="F192" s="98"/>
      <c r="G192" s="88" t="s">
        <v>855</v>
      </c>
      <c r="H192" s="88" t="s">
        <v>856</v>
      </c>
      <c r="I192" s="88" t="s">
        <v>857</v>
      </c>
      <c r="J192" s="99" t="s">
        <v>74</v>
      </c>
      <c r="K192" s="100" t="s">
        <v>25</v>
      </c>
      <c r="L192" s="100" t="s">
        <v>25</v>
      </c>
      <c r="M192" s="91" t="s">
        <v>858</v>
      </c>
      <c r="N192" s="98"/>
      <c r="O192" s="98"/>
      <c r="P192" s="98"/>
    </row>
    <row r="193" hidden="1">
      <c r="A193" s="96" t="s">
        <v>819</v>
      </c>
      <c r="B193" s="111"/>
      <c r="C193" s="88" t="s">
        <v>859</v>
      </c>
      <c r="D193" s="98"/>
      <c r="E193" s="88" t="s">
        <v>40</v>
      </c>
      <c r="F193" s="98"/>
      <c r="G193" s="88" t="s">
        <v>860</v>
      </c>
      <c r="H193" s="88" t="s">
        <v>822</v>
      </c>
      <c r="I193" s="88" t="s">
        <v>861</v>
      </c>
      <c r="J193" s="99" t="s">
        <v>74</v>
      </c>
      <c r="K193" s="100" t="s">
        <v>75</v>
      </c>
      <c r="L193" s="100" t="s">
        <v>76</v>
      </c>
      <c r="M193" s="91" t="s">
        <v>812</v>
      </c>
      <c r="N193" s="98"/>
      <c r="O193" s="98"/>
      <c r="P193" s="98"/>
    </row>
    <row r="194" hidden="1">
      <c r="A194" s="96" t="s">
        <v>819</v>
      </c>
      <c r="B194" s="111"/>
      <c r="C194" s="88" t="s">
        <v>862</v>
      </c>
      <c r="D194" s="98"/>
      <c r="E194" s="88" t="s">
        <v>40</v>
      </c>
      <c r="F194" s="98"/>
      <c r="G194" s="88" t="s">
        <v>863</v>
      </c>
      <c r="H194" s="88" t="s">
        <v>864</v>
      </c>
      <c r="I194" s="88" t="s">
        <v>865</v>
      </c>
      <c r="J194" s="99" t="s">
        <v>74</v>
      </c>
      <c r="K194" s="100" t="s">
        <v>75</v>
      </c>
      <c r="L194" s="100" t="s">
        <v>76</v>
      </c>
      <c r="M194" s="91" t="s">
        <v>812</v>
      </c>
      <c r="N194" s="98"/>
      <c r="O194" s="98"/>
      <c r="P194" s="98"/>
    </row>
    <row r="195" hidden="1">
      <c r="A195" s="96" t="s">
        <v>819</v>
      </c>
      <c r="B195" s="111"/>
      <c r="C195" s="88" t="s">
        <v>866</v>
      </c>
      <c r="D195" s="98"/>
      <c r="E195" s="88" t="s">
        <v>40</v>
      </c>
      <c r="F195" s="98"/>
      <c r="G195" s="88" t="s">
        <v>867</v>
      </c>
      <c r="H195" s="88" t="s">
        <v>868</v>
      </c>
      <c r="I195" s="88" t="s">
        <v>865</v>
      </c>
      <c r="J195" s="99" t="s">
        <v>74</v>
      </c>
      <c r="K195" s="100" t="s">
        <v>25</v>
      </c>
      <c r="L195" s="100" t="s">
        <v>25</v>
      </c>
      <c r="M195" s="91" t="s">
        <v>824</v>
      </c>
      <c r="N195" s="98"/>
      <c r="O195" s="98"/>
      <c r="P195" s="98"/>
    </row>
    <row r="196" hidden="1">
      <c r="A196" s="96" t="s">
        <v>819</v>
      </c>
      <c r="B196" s="111"/>
      <c r="C196" s="88" t="s">
        <v>869</v>
      </c>
      <c r="D196" s="98"/>
      <c r="E196" s="88" t="s">
        <v>40</v>
      </c>
      <c r="F196" s="98"/>
      <c r="G196" s="88" t="s">
        <v>870</v>
      </c>
      <c r="H196" s="88" t="s">
        <v>868</v>
      </c>
      <c r="I196" s="88" t="s">
        <v>865</v>
      </c>
      <c r="J196" s="99" t="s">
        <v>74</v>
      </c>
      <c r="K196" s="100" t="s">
        <v>25</v>
      </c>
      <c r="L196" s="100" t="s">
        <v>25</v>
      </c>
      <c r="M196" s="91" t="s">
        <v>824</v>
      </c>
      <c r="N196" s="98"/>
      <c r="O196" s="98"/>
      <c r="P196" s="98"/>
    </row>
    <row r="197" hidden="1">
      <c r="A197" s="96" t="s">
        <v>871</v>
      </c>
      <c r="B197" s="88" t="s">
        <v>872</v>
      </c>
      <c r="C197" s="88" t="s">
        <v>873</v>
      </c>
      <c r="D197" s="98"/>
      <c r="E197" s="88" t="s">
        <v>39</v>
      </c>
      <c r="F197" s="98"/>
      <c r="G197" s="88" t="s">
        <v>874</v>
      </c>
      <c r="H197" s="88" t="s">
        <v>875</v>
      </c>
      <c r="I197" s="88" t="s">
        <v>876</v>
      </c>
      <c r="J197" s="99" t="s">
        <v>74</v>
      </c>
      <c r="K197" s="100" t="s">
        <v>25</v>
      </c>
      <c r="L197" s="100" t="s">
        <v>25</v>
      </c>
      <c r="M197" s="91" t="s">
        <v>858</v>
      </c>
      <c r="N197" s="98"/>
      <c r="O197" s="98"/>
      <c r="P197" s="98"/>
    </row>
    <row r="198" hidden="1">
      <c r="A198" s="96" t="s">
        <v>871</v>
      </c>
      <c r="B198" s="111"/>
      <c r="C198" s="88" t="s">
        <v>877</v>
      </c>
      <c r="D198" s="98"/>
      <c r="E198" s="88" t="s">
        <v>39</v>
      </c>
      <c r="F198" s="98"/>
      <c r="G198" s="88" t="s">
        <v>878</v>
      </c>
      <c r="H198" s="88" t="s">
        <v>879</v>
      </c>
      <c r="I198" s="88" t="s">
        <v>880</v>
      </c>
      <c r="J198" s="99" t="s">
        <v>74</v>
      </c>
      <c r="K198" s="100" t="s">
        <v>25</v>
      </c>
      <c r="L198" s="100" t="s">
        <v>25</v>
      </c>
      <c r="M198" s="91" t="s">
        <v>881</v>
      </c>
      <c r="N198" s="98"/>
      <c r="O198" s="98"/>
      <c r="P198" s="98"/>
    </row>
    <row r="199" hidden="1">
      <c r="A199" s="96" t="s">
        <v>871</v>
      </c>
      <c r="B199" s="111"/>
      <c r="C199" s="88" t="s">
        <v>882</v>
      </c>
      <c r="D199" s="98"/>
      <c r="E199" s="88" t="s">
        <v>39</v>
      </c>
      <c r="F199" s="98"/>
      <c r="G199" s="88" t="s">
        <v>883</v>
      </c>
      <c r="H199" s="88" t="s">
        <v>884</v>
      </c>
      <c r="I199" s="88" t="s">
        <v>885</v>
      </c>
      <c r="J199" s="99" t="s">
        <v>74</v>
      </c>
      <c r="K199" s="100" t="s">
        <v>25</v>
      </c>
      <c r="L199" s="100" t="s">
        <v>25</v>
      </c>
      <c r="M199" s="91" t="s">
        <v>881</v>
      </c>
      <c r="N199" s="98"/>
      <c r="O199" s="98"/>
      <c r="P199" s="98"/>
    </row>
    <row r="200" hidden="1">
      <c r="A200" s="96" t="s">
        <v>871</v>
      </c>
      <c r="B200" s="111"/>
      <c r="C200" s="88" t="s">
        <v>886</v>
      </c>
      <c r="D200" s="98"/>
      <c r="E200" s="88" t="s">
        <v>39</v>
      </c>
      <c r="F200" s="98"/>
      <c r="G200" s="88" t="s">
        <v>887</v>
      </c>
      <c r="H200" s="88" t="s">
        <v>888</v>
      </c>
      <c r="I200" s="88" t="s">
        <v>889</v>
      </c>
      <c r="J200" s="99" t="s">
        <v>74</v>
      </c>
      <c r="K200" s="100" t="s">
        <v>25</v>
      </c>
      <c r="L200" s="100" t="s">
        <v>25</v>
      </c>
      <c r="M200" s="91" t="s">
        <v>890</v>
      </c>
      <c r="N200" s="98"/>
      <c r="O200" s="98"/>
      <c r="P200" s="98"/>
    </row>
    <row r="201" hidden="1">
      <c r="A201" s="96" t="s">
        <v>871</v>
      </c>
      <c r="B201" s="111"/>
      <c r="C201" s="88" t="s">
        <v>891</v>
      </c>
      <c r="D201" s="98"/>
      <c r="E201" s="88" t="s">
        <v>39</v>
      </c>
      <c r="F201" s="98"/>
      <c r="G201" s="88" t="s">
        <v>892</v>
      </c>
      <c r="H201" s="88" t="s">
        <v>893</v>
      </c>
      <c r="I201" s="88" t="s">
        <v>894</v>
      </c>
      <c r="J201" s="99" t="s">
        <v>74</v>
      </c>
      <c r="K201" s="100" t="s">
        <v>25</v>
      </c>
      <c r="L201" s="100" t="s">
        <v>25</v>
      </c>
      <c r="M201" s="91" t="s">
        <v>890</v>
      </c>
      <c r="N201" s="98"/>
      <c r="O201" s="98"/>
      <c r="P201" s="98"/>
    </row>
    <row r="202" hidden="1">
      <c r="A202" s="96" t="s">
        <v>871</v>
      </c>
      <c r="B202" s="111"/>
      <c r="C202" s="88" t="s">
        <v>895</v>
      </c>
      <c r="D202" s="98"/>
      <c r="E202" s="88" t="s">
        <v>39</v>
      </c>
      <c r="F202" s="98"/>
      <c r="G202" s="88" t="s">
        <v>896</v>
      </c>
      <c r="H202" s="88" t="s">
        <v>897</v>
      </c>
      <c r="I202" s="88" t="s">
        <v>876</v>
      </c>
      <c r="J202" s="99" t="s">
        <v>74</v>
      </c>
      <c r="K202" s="100" t="s">
        <v>25</v>
      </c>
      <c r="L202" s="100" t="s">
        <v>25</v>
      </c>
      <c r="M202" s="91" t="s">
        <v>898</v>
      </c>
      <c r="N202" s="98"/>
      <c r="O202" s="98"/>
      <c r="P202" s="98"/>
    </row>
    <row r="203" hidden="1">
      <c r="A203" s="96" t="s">
        <v>871</v>
      </c>
      <c r="B203" s="111"/>
      <c r="C203" s="88" t="s">
        <v>899</v>
      </c>
      <c r="D203" s="98"/>
      <c r="E203" s="88" t="s">
        <v>39</v>
      </c>
      <c r="F203" s="98"/>
      <c r="G203" s="88" t="s">
        <v>900</v>
      </c>
      <c r="H203" s="112" t="s">
        <v>901</v>
      </c>
      <c r="I203" s="88" t="s">
        <v>902</v>
      </c>
      <c r="J203" s="99" t="s">
        <v>74</v>
      </c>
      <c r="K203" s="100" t="s">
        <v>25</v>
      </c>
      <c r="L203" s="100" t="s">
        <v>25</v>
      </c>
      <c r="M203" s="91" t="s">
        <v>898</v>
      </c>
      <c r="N203" s="98"/>
      <c r="O203" s="98"/>
      <c r="P203" s="98"/>
    </row>
    <row r="204" hidden="1">
      <c r="A204" s="96" t="s">
        <v>871</v>
      </c>
      <c r="B204" s="111"/>
      <c r="C204" s="88" t="s">
        <v>903</v>
      </c>
      <c r="D204" s="98"/>
      <c r="E204" s="88" t="s">
        <v>39</v>
      </c>
      <c r="F204" s="98"/>
      <c r="G204" s="88" t="s">
        <v>904</v>
      </c>
      <c r="H204" s="112" t="s">
        <v>905</v>
      </c>
      <c r="I204" s="88" t="s">
        <v>902</v>
      </c>
      <c r="J204" s="99" t="s">
        <v>74</v>
      </c>
      <c r="K204" s="100" t="s">
        <v>25</v>
      </c>
      <c r="L204" s="100" t="s">
        <v>25</v>
      </c>
      <c r="M204" s="91" t="s">
        <v>898</v>
      </c>
      <c r="N204" s="98"/>
      <c r="O204" s="98"/>
      <c r="P204" s="98"/>
    </row>
    <row r="205" hidden="1">
      <c r="A205" s="96" t="s">
        <v>871</v>
      </c>
      <c r="B205" s="111"/>
      <c r="C205" s="88" t="s">
        <v>906</v>
      </c>
      <c r="D205" s="98"/>
      <c r="E205" s="88" t="s">
        <v>39</v>
      </c>
      <c r="F205" s="98"/>
      <c r="G205" s="88" t="s">
        <v>907</v>
      </c>
      <c r="H205" s="112" t="s">
        <v>908</v>
      </c>
      <c r="I205" s="88" t="s">
        <v>909</v>
      </c>
      <c r="J205" s="99" t="s">
        <v>74</v>
      </c>
      <c r="K205" s="100" t="s">
        <v>25</v>
      </c>
      <c r="L205" s="100" t="s">
        <v>25</v>
      </c>
      <c r="M205" s="91" t="s">
        <v>898</v>
      </c>
      <c r="N205" s="98"/>
      <c r="O205" s="98"/>
      <c r="P205" s="98"/>
    </row>
    <row r="206" hidden="1">
      <c r="A206" s="96" t="s">
        <v>871</v>
      </c>
      <c r="B206" s="111"/>
      <c r="C206" s="88" t="s">
        <v>910</v>
      </c>
      <c r="D206" s="98"/>
      <c r="E206" s="88" t="s">
        <v>39</v>
      </c>
      <c r="F206" s="98"/>
      <c r="G206" s="88" t="s">
        <v>911</v>
      </c>
      <c r="H206" s="88" t="s">
        <v>912</v>
      </c>
      <c r="I206" s="88" t="s">
        <v>913</v>
      </c>
      <c r="J206" s="99" t="s">
        <v>74</v>
      </c>
      <c r="K206" s="100" t="s">
        <v>25</v>
      </c>
      <c r="L206" s="100" t="s">
        <v>25</v>
      </c>
      <c r="M206" s="91" t="s">
        <v>914</v>
      </c>
      <c r="N206" s="98"/>
      <c r="O206" s="98"/>
      <c r="P206" s="98"/>
    </row>
    <row r="207" hidden="1">
      <c r="A207" s="96" t="s">
        <v>871</v>
      </c>
      <c r="B207" s="111"/>
      <c r="C207" s="88" t="s">
        <v>915</v>
      </c>
      <c r="D207" s="98"/>
      <c r="E207" s="88" t="s">
        <v>39</v>
      </c>
      <c r="F207" s="98"/>
      <c r="G207" s="88" t="s">
        <v>916</v>
      </c>
      <c r="H207" s="88" t="s">
        <v>917</v>
      </c>
      <c r="I207" s="88" t="s">
        <v>918</v>
      </c>
      <c r="J207" s="99" t="s">
        <v>74</v>
      </c>
      <c r="K207" s="100" t="s">
        <v>25</v>
      </c>
      <c r="L207" s="100" t="s">
        <v>25</v>
      </c>
      <c r="M207" s="91" t="s">
        <v>914</v>
      </c>
      <c r="N207" s="98"/>
      <c r="O207" s="98"/>
      <c r="P207" s="98"/>
    </row>
    <row r="208" hidden="1">
      <c r="A208" s="96" t="s">
        <v>871</v>
      </c>
      <c r="B208" s="111"/>
      <c r="C208" s="88" t="s">
        <v>919</v>
      </c>
      <c r="D208" s="98"/>
      <c r="E208" s="88" t="s">
        <v>39</v>
      </c>
      <c r="F208" s="98"/>
      <c r="G208" s="88" t="s">
        <v>920</v>
      </c>
      <c r="H208" s="88" t="s">
        <v>921</v>
      </c>
      <c r="I208" s="88" t="s">
        <v>918</v>
      </c>
      <c r="J208" s="99" t="s">
        <v>74</v>
      </c>
      <c r="K208" s="100" t="s">
        <v>25</v>
      </c>
      <c r="L208" s="100" t="s">
        <v>25</v>
      </c>
      <c r="M208" s="91" t="s">
        <v>914</v>
      </c>
      <c r="N208" s="98"/>
      <c r="O208" s="98"/>
      <c r="P208" s="98"/>
    </row>
    <row r="209" hidden="1">
      <c r="A209" s="96" t="s">
        <v>871</v>
      </c>
      <c r="B209" s="111"/>
      <c r="C209" s="88" t="s">
        <v>922</v>
      </c>
      <c r="D209" s="98"/>
      <c r="E209" s="88" t="s">
        <v>39</v>
      </c>
      <c r="F209" s="98"/>
      <c r="G209" s="88" t="s">
        <v>923</v>
      </c>
      <c r="H209" s="88" t="s">
        <v>924</v>
      </c>
      <c r="I209" s="88" t="s">
        <v>925</v>
      </c>
      <c r="J209" s="99" t="s">
        <v>74</v>
      </c>
      <c r="K209" s="100" t="s">
        <v>25</v>
      </c>
      <c r="L209" s="100" t="s">
        <v>25</v>
      </c>
      <c r="M209" s="91" t="s">
        <v>914</v>
      </c>
      <c r="N209" s="98"/>
      <c r="O209" s="98"/>
      <c r="P209" s="98"/>
    </row>
    <row r="210" hidden="1">
      <c r="A210" s="96" t="s">
        <v>871</v>
      </c>
      <c r="B210" s="111"/>
      <c r="C210" s="88" t="s">
        <v>926</v>
      </c>
      <c r="D210" s="98"/>
      <c r="E210" s="88" t="s">
        <v>39</v>
      </c>
      <c r="F210" s="98"/>
      <c r="G210" s="88" t="s">
        <v>927</v>
      </c>
      <c r="H210" s="88" t="s">
        <v>928</v>
      </c>
      <c r="I210" s="88" t="s">
        <v>925</v>
      </c>
      <c r="J210" s="99" t="s">
        <v>74</v>
      </c>
      <c r="K210" s="100" t="s">
        <v>25</v>
      </c>
      <c r="L210" s="100" t="s">
        <v>25</v>
      </c>
      <c r="M210" s="91" t="s">
        <v>914</v>
      </c>
      <c r="N210" s="98"/>
      <c r="O210" s="98"/>
      <c r="P210" s="98"/>
    </row>
    <row r="211" hidden="1">
      <c r="A211" s="96" t="s">
        <v>871</v>
      </c>
      <c r="B211" s="111"/>
      <c r="C211" s="88" t="s">
        <v>929</v>
      </c>
      <c r="D211" s="98"/>
      <c r="E211" s="88" t="s">
        <v>39</v>
      </c>
      <c r="F211" s="98"/>
      <c r="G211" s="88" t="s">
        <v>930</v>
      </c>
      <c r="H211" s="88" t="s">
        <v>917</v>
      </c>
      <c r="I211" s="88" t="s">
        <v>918</v>
      </c>
      <c r="J211" s="99" t="s">
        <v>74</v>
      </c>
      <c r="K211" s="100" t="s">
        <v>25</v>
      </c>
      <c r="L211" s="100" t="s">
        <v>25</v>
      </c>
      <c r="M211" s="91" t="s">
        <v>914</v>
      </c>
      <c r="N211" s="98"/>
      <c r="O211" s="98"/>
      <c r="P211" s="98"/>
    </row>
    <row r="212" hidden="1">
      <c r="A212" s="96" t="s">
        <v>871</v>
      </c>
      <c r="B212" s="111"/>
      <c r="C212" s="88" t="s">
        <v>931</v>
      </c>
      <c r="D212" s="98"/>
      <c r="E212" s="88" t="s">
        <v>39</v>
      </c>
      <c r="F212" s="98"/>
      <c r="G212" s="88" t="s">
        <v>932</v>
      </c>
      <c r="H212" s="88" t="s">
        <v>921</v>
      </c>
      <c r="I212" s="88" t="s">
        <v>918</v>
      </c>
      <c r="J212" s="99" t="s">
        <v>74</v>
      </c>
      <c r="K212" s="100" t="s">
        <v>25</v>
      </c>
      <c r="L212" s="100" t="s">
        <v>25</v>
      </c>
      <c r="M212" s="91" t="s">
        <v>914</v>
      </c>
      <c r="N212" s="98"/>
      <c r="O212" s="98"/>
      <c r="P212" s="98"/>
    </row>
    <row r="213" hidden="1">
      <c r="A213" s="96" t="s">
        <v>871</v>
      </c>
      <c r="B213" s="111"/>
      <c r="C213" s="88" t="s">
        <v>933</v>
      </c>
      <c r="D213" s="98"/>
      <c r="E213" s="88" t="s">
        <v>39</v>
      </c>
      <c r="F213" s="98"/>
      <c r="G213" s="88" t="s">
        <v>934</v>
      </c>
      <c r="H213" s="88" t="s">
        <v>924</v>
      </c>
      <c r="I213" s="88" t="s">
        <v>925</v>
      </c>
      <c r="J213" s="99" t="s">
        <v>74</v>
      </c>
      <c r="K213" s="100" t="s">
        <v>25</v>
      </c>
      <c r="L213" s="100" t="s">
        <v>25</v>
      </c>
      <c r="M213" s="91" t="s">
        <v>914</v>
      </c>
      <c r="N213" s="98"/>
      <c r="O213" s="98"/>
      <c r="P213" s="98"/>
    </row>
    <row r="214" hidden="1">
      <c r="A214" s="96" t="s">
        <v>871</v>
      </c>
      <c r="B214" s="111"/>
      <c r="C214" s="88" t="s">
        <v>935</v>
      </c>
      <c r="D214" s="98"/>
      <c r="E214" s="88" t="s">
        <v>39</v>
      </c>
      <c r="F214" s="98"/>
      <c r="G214" s="88" t="s">
        <v>936</v>
      </c>
      <c r="H214" s="88" t="s">
        <v>928</v>
      </c>
      <c r="I214" s="88" t="s">
        <v>925</v>
      </c>
      <c r="J214" s="99" t="s">
        <v>74</v>
      </c>
      <c r="K214" s="100" t="s">
        <v>25</v>
      </c>
      <c r="L214" s="100" t="s">
        <v>25</v>
      </c>
      <c r="M214" s="91" t="s">
        <v>914</v>
      </c>
      <c r="N214" s="98"/>
      <c r="O214" s="98"/>
      <c r="P214" s="98"/>
    </row>
    <row r="215" hidden="1">
      <c r="A215" s="96" t="s">
        <v>871</v>
      </c>
      <c r="B215" s="111"/>
      <c r="C215" s="88" t="s">
        <v>937</v>
      </c>
      <c r="D215" s="98"/>
      <c r="E215" s="88" t="s">
        <v>39</v>
      </c>
      <c r="F215" s="98"/>
      <c r="G215" s="88" t="s">
        <v>938</v>
      </c>
      <c r="H215" s="88" t="s">
        <v>939</v>
      </c>
      <c r="I215" s="88" t="s">
        <v>940</v>
      </c>
      <c r="J215" s="99" t="s">
        <v>74</v>
      </c>
      <c r="K215" s="100" t="s">
        <v>25</v>
      </c>
      <c r="L215" s="100" t="s">
        <v>25</v>
      </c>
      <c r="M215" s="91" t="s">
        <v>914</v>
      </c>
      <c r="N215" s="98"/>
      <c r="O215" s="98"/>
      <c r="P215" s="98"/>
    </row>
    <row r="216" hidden="1">
      <c r="A216" s="96" t="s">
        <v>871</v>
      </c>
      <c r="B216" s="111"/>
      <c r="C216" s="88" t="s">
        <v>941</v>
      </c>
      <c r="D216" s="98"/>
      <c r="E216" s="88" t="s">
        <v>39</v>
      </c>
      <c r="F216" s="98"/>
      <c r="G216" s="88" t="s">
        <v>942</v>
      </c>
      <c r="H216" s="88" t="s">
        <v>943</v>
      </c>
      <c r="I216" s="88" t="s">
        <v>944</v>
      </c>
      <c r="J216" s="99" t="s">
        <v>74</v>
      </c>
      <c r="K216" s="100" t="s">
        <v>25</v>
      </c>
      <c r="L216" s="100" t="s">
        <v>25</v>
      </c>
      <c r="M216" s="91" t="s">
        <v>914</v>
      </c>
      <c r="N216" s="98"/>
      <c r="O216" s="98"/>
      <c r="P216" s="98"/>
    </row>
    <row r="217" hidden="1">
      <c r="A217" s="96" t="s">
        <v>945</v>
      </c>
      <c r="B217" s="88" t="s">
        <v>946</v>
      </c>
      <c r="C217" s="88" t="s">
        <v>947</v>
      </c>
      <c r="D217" s="98"/>
      <c r="E217" s="88" t="s">
        <v>397</v>
      </c>
      <c r="F217" s="98"/>
      <c r="G217" s="88" t="s">
        <v>948</v>
      </c>
      <c r="H217" s="88" t="s">
        <v>949</v>
      </c>
      <c r="I217" s="88" t="s">
        <v>950</v>
      </c>
      <c r="J217" s="99" t="s">
        <v>74</v>
      </c>
      <c r="K217" s="100" t="s">
        <v>25</v>
      </c>
      <c r="L217" s="100" t="s">
        <v>25</v>
      </c>
      <c r="M217" s="91" t="s">
        <v>914</v>
      </c>
      <c r="N217" s="98"/>
      <c r="O217" s="98"/>
      <c r="P217" s="98"/>
    </row>
    <row r="218" hidden="1">
      <c r="A218" s="96" t="s">
        <v>945</v>
      </c>
      <c r="B218" s="113"/>
      <c r="C218" s="88" t="s">
        <v>951</v>
      </c>
      <c r="D218" s="98"/>
      <c r="E218" s="88" t="s">
        <v>397</v>
      </c>
      <c r="F218" s="98"/>
      <c r="G218" s="88" t="s">
        <v>952</v>
      </c>
      <c r="H218" s="88" t="s">
        <v>953</v>
      </c>
      <c r="I218" s="88" t="s">
        <v>950</v>
      </c>
      <c r="J218" s="99" t="s">
        <v>74</v>
      </c>
      <c r="K218" s="100" t="s">
        <v>25</v>
      </c>
      <c r="L218" s="100" t="s">
        <v>25</v>
      </c>
      <c r="M218" s="91" t="s">
        <v>890</v>
      </c>
      <c r="N218" s="98"/>
      <c r="O218" s="98"/>
      <c r="P218" s="98"/>
    </row>
    <row r="219" hidden="1">
      <c r="A219" s="96" t="s">
        <v>945</v>
      </c>
      <c r="B219" s="113"/>
      <c r="C219" s="88" t="s">
        <v>954</v>
      </c>
      <c r="D219" s="98"/>
      <c r="E219" s="88" t="s">
        <v>397</v>
      </c>
      <c r="F219" s="98"/>
      <c r="G219" s="88" t="s">
        <v>955</v>
      </c>
      <c r="H219" s="88" t="s">
        <v>956</v>
      </c>
      <c r="I219" s="88" t="s">
        <v>950</v>
      </c>
      <c r="J219" s="99" t="s">
        <v>74</v>
      </c>
      <c r="K219" s="100" t="s">
        <v>25</v>
      </c>
      <c r="L219" s="100" t="s">
        <v>25</v>
      </c>
      <c r="M219" s="91" t="s">
        <v>890</v>
      </c>
      <c r="N219" s="98"/>
      <c r="O219" s="98"/>
      <c r="P219" s="98"/>
    </row>
    <row r="220" hidden="1">
      <c r="A220" s="96" t="s">
        <v>945</v>
      </c>
      <c r="B220" s="113"/>
      <c r="C220" s="88" t="s">
        <v>957</v>
      </c>
      <c r="D220" s="98"/>
      <c r="E220" s="88" t="s">
        <v>397</v>
      </c>
      <c r="F220" s="98"/>
      <c r="G220" s="88" t="s">
        <v>958</v>
      </c>
      <c r="H220" s="88" t="s">
        <v>959</v>
      </c>
      <c r="I220" s="88" t="s">
        <v>960</v>
      </c>
      <c r="J220" s="99" t="s">
        <v>74</v>
      </c>
      <c r="K220" s="100" t="s">
        <v>75</v>
      </c>
      <c r="L220" s="100" t="s">
        <v>76</v>
      </c>
      <c r="M220" s="91" t="s">
        <v>961</v>
      </c>
      <c r="N220" s="98"/>
      <c r="O220" s="98"/>
      <c r="P220" s="98"/>
    </row>
    <row r="221" hidden="1">
      <c r="A221" s="96" t="s">
        <v>945</v>
      </c>
      <c r="B221" s="113"/>
      <c r="C221" s="88" t="s">
        <v>962</v>
      </c>
      <c r="D221" s="98"/>
      <c r="E221" s="88" t="s">
        <v>397</v>
      </c>
      <c r="F221" s="98"/>
      <c r="G221" s="88" t="s">
        <v>963</v>
      </c>
      <c r="H221" s="88" t="s">
        <v>959</v>
      </c>
      <c r="I221" s="88" t="s">
        <v>964</v>
      </c>
      <c r="J221" s="99" t="s">
        <v>74</v>
      </c>
      <c r="K221" s="100" t="s">
        <v>75</v>
      </c>
      <c r="L221" s="100" t="s">
        <v>76</v>
      </c>
      <c r="M221" s="91" t="s">
        <v>961</v>
      </c>
      <c r="N221" s="98"/>
      <c r="O221" s="98"/>
      <c r="P221" s="98"/>
    </row>
    <row r="222" hidden="1">
      <c r="A222" s="96" t="s">
        <v>945</v>
      </c>
      <c r="B222" s="113"/>
      <c r="C222" s="88" t="s">
        <v>965</v>
      </c>
      <c r="D222" s="98"/>
      <c r="E222" s="88" t="s">
        <v>397</v>
      </c>
      <c r="F222" s="98"/>
      <c r="G222" s="88" t="s">
        <v>966</v>
      </c>
      <c r="H222" s="88" t="s">
        <v>967</v>
      </c>
      <c r="I222" s="88" t="s">
        <v>960</v>
      </c>
      <c r="J222" s="99" t="s">
        <v>74</v>
      </c>
      <c r="K222" s="100" t="s">
        <v>25</v>
      </c>
      <c r="L222" s="100" t="s">
        <v>25</v>
      </c>
      <c r="M222" s="98"/>
      <c r="N222" s="98"/>
      <c r="O222" s="98"/>
      <c r="P222" s="98"/>
    </row>
    <row r="223" hidden="1">
      <c r="A223" s="96" t="s">
        <v>945</v>
      </c>
      <c r="B223" s="113"/>
      <c r="C223" s="88" t="s">
        <v>968</v>
      </c>
      <c r="D223" s="98"/>
      <c r="E223" s="88" t="s">
        <v>397</v>
      </c>
      <c r="F223" s="98"/>
      <c r="G223" s="88" t="s">
        <v>969</v>
      </c>
      <c r="H223" s="88" t="s">
        <v>970</v>
      </c>
      <c r="I223" s="88" t="s">
        <v>971</v>
      </c>
      <c r="J223" s="99" t="s">
        <v>74</v>
      </c>
      <c r="K223" s="100" t="s">
        <v>25</v>
      </c>
      <c r="L223" s="100" t="s">
        <v>25</v>
      </c>
      <c r="M223" s="98"/>
      <c r="N223" s="98"/>
      <c r="O223" s="98"/>
      <c r="P223" s="98"/>
    </row>
    <row r="224" hidden="1">
      <c r="A224" s="96" t="s">
        <v>945</v>
      </c>
      <c r="B224" s="113"/>
      <c r="C224" s="88" t="s">
        <v>972</v>
      </c>
      <c r="D224" s="98"/>
      <c r="E224" s="88" t="s">
        <v>397</v>
      </c>
      <c r="F224" s="98"/>
      <c r="G224" s="88" t="s">
        <v>973</v>
      </c>
      <c r="H224" s="88" t="s">
        <v>974</v>
      </c>
      <c r="I224" s="88" t="s">
        <v>975</v>
      </c>
      <c r="J224" s="99" t="s">
        <v>74</v>
      </c>
      <c r="K224" s="100" t="s">
        <v>25</v>
      </c>
      <c r="L224" s="100" t="s">
        <v>25</v>
      </c>
      <c r="M224" s="98"/>
      <c r="N224" s="98"/>
      <c r="O224" s="98"/>
      <c r="P224" s="98"/>
    </row>
    <row r="225" hidden="1">
      <c r="A225" s="96" t="s">
        <v>945</v>
      </c>
      <c r="B225" s="113"/>
      <c r="C225" s="88" t="s">
        <v>976</v>
      </c>
      <c r="D225" s="98"/>
      <c r="E225" s="88" t="s">
        <v>397</v>
      </c>
      <c r="F225" s="98"/>
      <c r="G225" s="88" t="s">
        <v>977</v>
      </c>
      <c r="H225" s="88" t="s">
        <v>978</v>
      </c>
      <c r="I225" s="88" t="s">
        <v>979</v>
      </c>
      <c r="J225" s="99" t="s">
        <v>74</v>
      </c>
      <c r="K225" s="100" t="s">
        <v>25</v>
      </c>
      <c r="L225" s="100" t="s">
        <v>25</v>
      </c>
      <c r="M225" s="98"/>
      <c r="N225" s="105" t="s">
        <v>980</v>
      </c>
      <c r="O225" s="98"/>
      <c r="P225" s="98"/>
    </row>
    <row r="226" hidden="1">
      <c r="A226" s="96" t="s">
        <v>945</v>
      </c>
      <c r="B226" s="113"/>
      <c r="C226" s="88" t="s">
        <v>981</v>
      </c>
      <c r="D226" s="98"/>
      <c r="E226" s="88" t="s">
        <v>397</v>
      </c>
      <c r="F226" s="98"/>
      <c r="G226" s="88" t="s">
        <v>982</v>
      </c>
      <c r="H226" s="88" t="s">
        <v>983</v>
      </c>
      <c r="I226" s="88" t="s">
        <v>984</v>
      </c>
      <c r="J226" s="99" t="s">
        <v>74</v>
      </c>
      <c r="K226" s="100" t="s">
        <v>25</v>
      </c>
      <c r="L226" s="100" t="s">
        <v>25</v>
      </c>
      <c r="M226" s="98"/>
      <c r="N226" s="114"/>
      <c r="O226" s="98"/>
      <c r="P226" s="98"/>
    </row>
    <row r="227" hidden="1">
      <c r="A227" s="96" t="s">
        <v>985</v>
      </c>
      <c r="B227" s="102"/>
      <c r="C227" s="88" t="s">
        <v>986</v>
      </c>
      <c r="D227" s="98"/>
      <c r="E227" s="88" t="s">
        <v>40</v>
      </c>
      <c r="F227" s="98"/>
      <c r="G227" s="88" t="s">
        <v>987</v>
      </c>
      <c r="H227" s="88" t="s">
        <v>988</v>
      </c>
      <c r="I227" s="88" t="s">
        <v>989</v>
      </c>
      <c r="J227" s="99" t="s">
        <v>74</v>
      </c>
      <c r="K227" s="100" t="s">
        <v>25</v>
      </c>
      <c r="L227" s="100" t="s">
        <v>25</v>
      </c>
      <c r="M227" s="91" t="s">
        <v>890</v>
      </c>
      <c r="N227" s="98"/>
      <c r="O227" s="98"/>
      <c r="P227" s="98"/>
    </row>
    <row r="228" hidden="1">
      <c r="A228" s="96" t="s">
        <v>985</v>
      </c>
      <c r="B228" s="101"/>
      <c r="C228" s="88" t="s">
        <v>990</v>
      </c>
      <c r="D228" s="98"/>
      <c r="E228" s="88" t="s">
        <v>40</v>
      </c>
      <c r="F228" s="98"/>
      <c r="G228" s="88" t="s">
        <v>991</v>
      </c>
      <c r="H228" s="88" t="s">
        <v>992</v>
      </c>
      <c r="I228" s="88" t="s">
        <v>993</v>
      </c>
      <c r="J228" s="99" t="s">
        <v>74</v>
      </c>
      <c r="K228" s="100" t="s">
        <v>25</v>
      </c>
      <c r="L228" s="100" t="s">
        <v>25</v>
      </c>
      <c r="M228" s="91" t="s">
        <v>890</v>
      </c>
      <c r="N228" s="98"/>
      <c r="O228" s="98"/>
      <c r="P228" s="98"/>
    </row>
    <row r="229" hidden="1">
      <c r="A229" s="96" t="s">
        <v>985</v>
      </c>
      <c r="B229" s="101"/>
      <c r="C229" s="88" t="s">
        <v>994</v>
      </c>
      <c r="D229" s="98"/>
      <c r="E229" s="88" t="s">
        <v>40</v>
      </c>
      <c r="F229" s="98"/>
      <c r="G229" s="88" t="s">
        <v>995</v>
      </c>
      <c r="H229" s="88" t="s">
        <v>996</v>
      </c>
      <c r="I229" s="88" t="s">
        <v>993</v>
      </c>
      <c r="J229" s="99" t="s">
        <v>74</v>
      </c>
      <c r="K229" s="100" t="s">
        <v>25</v>
      </c>
      <c r="L229" s="100" t="s">
        <v>25</v>
      </c>
      <c r="M229" s="91" t="s">
        <v>890</v>
      </c>
      <c r="N229" s="98"/>
      <c r="O229" s="98"/>
      <c r="P229" s="98"/>
    </row>
    <row r="230" hidden="1">
      <c r="A230" s="96" t="s">
        <v>985</v>
      </c>
      <c r="B230" s="101"/>
      <c r="C230" s="88" t="s">
        <v>997</v>
      </c>
      <c r="D230" s="98"/>
      <c r="E230" s="88" t="s">
        <v>40</v>
      </c>
      <c r="F230" s="98"/>
      <c r="G230" s="88" t="s">
        <v>998</v>
      </c>
      <c r="H230" s="88" t="s">
        <v>999</v>
      </c>
      <c r="I230" s="88" t="s">
        <v>993</v>
      </c>
      <c r="J230" s="99" t="s">
        <v>74</v>
      </c>
      <c r="K230" s="100" t="s">
        <v>25</v>
      </c>
      <c r="L230" s="100" t="s">
        <v>25</v>
      </c>
      <c r="M230" s="91" t="s">
        <v>890</v>
      </c>
      <c r="N230" s="98"/>
      <c r="O230" s="98"/>
      <c r="P230" s="98"/>
    </row>
    <row r="231" hidden="1">
      <c r="A231" s="96" t="s">
        <v>985</v>
      </c>
      <c r="B231" s="101"/>
      <c r="C231" s="88" t="s">
        <v>1000</v>
      </c>
      <c r="D231" s="98"/>
      <c r="E231" s="88" t="s">
        <v>40</v>
      </c>
      <c r="F231" s="98"/>
      <c r="G231" s="88" t="s">
        <v>1001</v>
      </c>
      <c r="H231" s="88" t="s">
        <v>1002</v>
      </c>
      <c r="I231" s="88" t="s">
        <v>993</v>
      </c>
      <c r="J231" s="99" t="s">
        <v>74</v>
      </c>
      <c r="K231" s="100" t="s">
        <v>25</v>
      </c>
      <c r="L231" s="100" t="s">
        <v>25</v>
      </c>
      <c r="M231" s="91" t="s">
        <v>890</v>
      </c>
      <c r="N231" s="98"/>
      <c r="O231" s="98"/>
      <c r="P231" s="98"/>
    </row>
    <row r="232" hidden="1">
      <c r="A232" s="96" t="s">
        <v>985</v>
      </c>
      <c r="B232" s="101"/>
      <c r="C232" s="88" t="s">
        <v>1003</v>
      </c>
      <c r="D232" s="98"/>
      <c r="E232" s="88" t="s">
        <v>40</v>
      </c>
      <c r="F232" s="98"/>
      <c r="G232" s="88" t="s">
        <v>1004</v>
      </c>
      <c r="H232" s="88" t="s">
        <v>1005</v>
      </c>
      <c r="I232" s="88" t="s">
        <v>993</v>
      </c>
      <c r="J232" s="99" t="s">
        <v>74</v>
      </c>
      <c r="K232" s="100" t="s">
        <v>25</v>
      </c>
      <c r="L232" s="100" t="s">
        <v>25</v>
      </c>
      <c r="M232" s="91" t="s">
        <v>890</v>
      </c>
      <c r="N232" s="98"/>
      <c r="O232" s="98"/>
      <c r="P232" s="98"/>
    </row>
    <row r="233" hidden="1">
      <c r="A233" s="96" t="s">
        <v>985</v>
      </c>
      <c r="B233" s="101"/>
      <c r="C233" s="88" t="s">
        <v>1006</v>
      </c>
      <c r="D233" s="98"/>
      <c r="E233" s="88" t="s">
        <v>40</v>
      </c>
      <c r="F233" s="98"/>
      <c r="G233" s="88" t="s">
        <v>1007</v>
      </c>
      <c r="H233" s="88" t="s">
        <v>1008</v>
      </c>
      <c r="I233" s="88" t="s">
        <v>993</v>
      </c>
      <c r="J233" s="99" t="s">
        <v>74</v>
      </c>
      <c r="K233" s="100" t="s">
        <v>25</v>
      </c>
      <c r="L233" s="100" t="s">
        <v>25</v>
      </c>
      <c r="M233" s="91" t="s">
        <v>890</v>
      </c>
      <c r="N233" s="98"/>
      <c r="O233" s="98"/>
      <c r="P233" s="98"/>
    </row>
    <row r="234" hidden="1">
      <c r="A234" s="96" t="s">
        <v>985</v>
      </c>
      <c r="B234" s="101"/>
      <c r="C234" s="88" t="s">
        <v>1009</v>
      </c>
      <c r="D234" s="98"/>
      <c r="E234" s="88" t="s">
        <v>40</v>
      </c>
      <c r="F234" s="98"/>
      <c r="G234" s="88" t="s">
        <v>1010</v>
      </c>
      <c r="H234" s="88" t="s">
        <v>1011</v>
      </c>
      <c r="I234" s="88" t="s">
        <v>1012</v>
      </c>
      <c r="J234" s="99" t="s">
        <v>74</v>
      </c>
      <c r="K234" s="100" t="s">
        <v>25</v>
      </c>
      <c r="L234" s="100" t="s">
        <v>25</v>
      </c>
      <c r="M234" s="91" t="s">
        <v>890</v>
      </c>
      <c r="N234" s="98"/>
      <c r="O234" s="98"/>
      <c r="P234" s="98"/>
    </row>
    <row r="235" hidden="1">
      <c r="A235" s="96" t="s">
        <v>985</v>
      </c>
      <c r="B235" s="101"/>
      <c r="C235" s="88" t="s">
        <v>1013</v>
      </c>
      <c r="D235" s="98"/>
      <c r="E235" s="88" t="s">
        <v>40</v>
      </c>
      <c r="F235" s="98"/>
      <c r="G235" s="88" t="s">
        <v>1014</v>
      </c>
      <c r="H235" s="88" t="s">
        <v>1015</v>
      </c>
      <c r="I235" s="88" t="s">
        <v>1012</v>
      </c>
      <c r="J235" s="99" t="s">
        <v>74</v>
      </c>
      <c r="K235" s="100" t="s">
        <v>25</v>
      </c>
      <c r="L235" s="100" t="s">
        <v>25</v>
      </c>
      <c r="M235" s="91" t="s">
        <v>890</v>
      </c>
      <c r="N235" s="98"/>
      <c r="O235" s="98"/>
      <c r="P235" s="98"/>
    </row>
    <row r="236" hidden="1">
      <c r="A236" s="96" t="s">
        <v>985</v>
      </c>
      <c r="B236" s="101"/>
      <c r="C236" s="88" t="s">
        <v>1016</v>
      </c>
      <c r="D236" s="98"/>
      <c r="E236" s="88" t="s">
        <v>40</v>
      </c>
      <c r="F236" s="98"/>
      <c r="G236" s="88" t="s">
        <v>1017</v>
      </c>
      <c r="H236" s="88" t="s">
        <v>1018</v>
      </c>
      <c r="I236" s="88" t="s">
        <v>1012</v>
      </c>
      <c r="J236" s="99" t="s">
        <v>74</v>
      </c>
      <c r="K236" s="100" t="s">
        <v>25</v>
      </c>
      <c r="L236" s="100" t="s">
        <v>25</v>
      </c>
      <c r="M236" s="91" t="s">
        <v>890</v>
      </c>
      <c r="N236" s="98"/>
      <c r="O236" s="98"/>
      <c r="P236" s="98"/>
    </row>
    <row r="237" hidden="1">
      <c r="A237" s="96" t="s">
        <v>985</v>
      </c>
      <c r="B237" s="101"/>
      <c r="C237" s="88" t="s">
        <v>1019</v>
      </c>
      <c r="D237" s="98"/>
      <c r="E237" s="88" t="s">
        <v>40</v>
      </c>
      <c r="F237" s="98"/>
      <c r="G237" s="88" t="s">
        <v>1020</v>
      </c>
      <c r="H237" s="88" t="s">
        <v>1021</v>
      </c>
      <c r="I237" s="88" t="s">
        <v>1022</v>
      </c>
      <c r="J237" s="99" t="s">
        <v>74</v>
      </c>
      <c r="K237" s="100" t="s">
        <v>25</v>
      </c>
      <c r="L237" s="100" t="s">
        <v>25</v>
      </c>
      <c r="M237" s="91" t="s">
        <v>890</v>
      </c>
      <c r="N237" s="98"/>
      <c r="O237" s="98"/>
      <c r="P237" s="98"/>
    </row>
    <row r="238" hidden="1">
      <c r="A238" s="96" t="s">
        <v>985</v>
      </c>
      <c r="B238" s="101"/>
      <c r="C238" s="88" t="s">
        <v>1023</v>
      </c>
      <c r="D238" s="98"/>
      <c r="E238" s="88" t="s">
        <v>40</v>
      </c>
      <c r="F238" s="98"/>
      <c r="G238" s="88" t="s">
        <v>1024</v>
      </c>
      <c r="H238" s="88" t="s">
        <v>1025</v>
      </c>
      <c r="I238" s="88" t="s">
        <v>1026</v>
      </c>
      <c r="J238" s="99" t="s">
        <v>74</v>
      </c>
      <c r="K238" s="100" t="s">
        <v>25</v>
      </c>
      <c r="L238" s="100" t="s">
        <v>25</v>
      </c>
      <c r="M238" s="91" t="s">
        <v>890</v>
      </c>
      <c r="N238" s="98"/>
      <c r="O238" s="98"/>
      <c r="P238" s="98"/>
    </row>
    <row r="239" hidden="1">
      <c r="A239" s="96" t="s">
        <v>985</v>
      </c>
      <c r="B239" s="101"/>
      <c r="C239" s="88" t="s">
        <v>1027</v>
      </c>
      <c r="D239" s="98"/>
      <c r="E239" s="88" t="s">
        <v>40</v>
      </c>
      <c r="F239" s="98"/>
      <c r="G239" s="88" t="s">
        <v>1028</v>
      </c>
      <c r="H239" s="88" t="s">
        <v>1029</v>
      </c>
      <c r="I239" s="88" t="s">
        <v>1030</v>
      </c>
      <c r="J239" s="99" t="s">
        <v>74</v>
      </c>
      <c r="K239" s="100" t="s">
        <v>25</v>
      </c>
      <c r="L239" s="100" t="s">
        <v>25</v>
      </c>
      <c r="M239" s="91" t="s">
        <v>890</v>
      </c>
      <c r="N239" s="98"/>
      <c r="O239" s="98"/>
      <c r="P239" s="98"/>
    </row>
    <row r="240" hidden="1">
      <c r="A240" s="96" t="s">
        <v>985</v>
      </c>
      <c r="B240" s="101"/>
      <c r="C240" s="88" t="s">
        <v>1031</v>
      </c>
      <c r="D240" s="98"/>
      <c r="E240" s="88" t="s">
        <v>40</v>
      </c>
      <c r="F240" s="98"/>
      <c r="G240" s="88" t="s">
        <v>1014</v>
      </c>
      <c r="H240" s="88" t="s">
        <v>1032</v>
      </c>
      <c r="I240" s="88" t="s">
        <v>1033</v>
      </c>
      <c r="J240" s="99" t="s">
        <v>74</v>
      </c>
      <c r="K240" s="100" t="s">
        <v>25</v>
      </c>
      <c r="L240" s="100" t="s">
        <v>25</v>
      </c>
      <c r="M240" s="91" t="s">
        <v>890</v>
      </c>
      <c r="N240" s="98"/>
      <c r="O240" s="98"/>
      <c r="P240" s="98"/>
    </row>
    <row r="241" hidden="1">
      <c r="A241" s="96" t="s">
        <v>985</v>
      </c>
      <c r="B241" s="101"/>
      <c r="C241" s="88" t="s">
        <v>1034</v>
      </c>
      <c r="D241" s="98"/>
      <c r="E241" s="88" t="s">
        <v>40</v>
      </c>
      <c r="F241" s="98"/>
      <c r="G241" s="88" t="s">
        <v>1035</v>
      </c>
      <c r="H241" s="88" t="s">
        <v>1036</v>
      </c>
      <c r="I241" s="88" t="s">
        <v>1022</v>
      </c>
      <c r="J241" s="99" t="s">
        <v>74</v>
      </c>
      <c r="K241" s="100" t="s">
        <v>25</v>
      </c>
      <c r="L241" s="100" t="s">
        <v>25</v>
      </c>
      <c r="M241" s="91" t="s">
        <v>890</v>
      </c>
      <c r="N241" s="98"/>
      <c r="O241" s="98"/>
      <c r="P241" s="98"/>
    </row>
    <row r="242" hidden="1">
      <c r="A242" s="96" t="s">
        <v>985</v>
      </c>
      <c r="B242" s="101"/>
      <c r="C242" s="88" t="s">
        <v>1037</v>
      </c>
      <c r="D242" s="98"/>
      <c r="E242" s="88" t="s">
        <v>40</v>
      </c>
      <c r="F242" s="98"/>
      <c r="G242" s="88" t="s">
        <v>1038</v>
      </c>
      <c r="H242" s="88" t="s">
        <v>1039</v>
      </c>
      <c r="I242" s="88" t="s">
        <v>1026</v>
      </c>
      <c r="J242" s="99" t="s">
        <v>74</v>
      </c>
      <c r="K242" s="100" t="s">
        <v>25</v>
      </c>
      <c r="L242" s="100" t="s">
        <v>25</v>
      </c>
      <c r="M242" s="91" t="s">
        <v>890</v>
      </c>
      <c r="N242" s="98"/>
      <c r="O242" s="98"/>
      <c r="P242" s="98"/>
    </row>
    <row r="243" hidden="1">
      <c r="A243" s="96" t="s">
        <v>985</v>
      </c>
      <c r="B243" s="101"/>
      <c r="C243" s="88" t="s">
        <v>1040</v>
      </c>
      <c r="D243" s="98"/>
      <c r="E243" s="88" t="s">
        <v>40</v>
      </c>
      <c r="F243" s="98"/>
      <c r="G243" s="88" t="s">
        <v>1041</v>
      </c>
      <c r="H243" s="88" t="s">
        <v>1042</v>
      </c>
      <c r="I243" s="88" t="s">
        <v>1030</v>
      </c>
      <c r="J243" s="99" t="s">
        <v>74</v>
      </c>
      <c r="K243" s="100" t="s">
        <v>25</v>
      </c>
      <c r="L243" s="100" t="s">
        <v>25</v>
      </c>
      <c r="M243" s="91" t="s">
        <v>890</v>
      </c>
      <c r="N243" s="98"/>
      <c r="O243" s="98"/>
      <c r="P243" s="98"/>
    </row>
    <row r="244" hidden="1">
      <c r="A244" s="96" t="s">
        <v>985</v>
      </c>
      <c r="B244" s="101"/>
      <c r="C244" s="88" t="s">
        <v>1043</v>
      </c>
      <c r="D244" s="98"/>
      <c r="E244" s="88" t="s">
        <v>40</v>
      </c>
      <c r="F244" s="98"/>
      <c r="G244" s="88" t="s">
        <v>1044</v>
      </c>
      <c r="H244" s="88" t="s">
        <v>1011</v>
      </c>
      <c r="I244" s="88" t="s">
        <v>1033</v>
      </c>
      <c r="J244" s="99" t="s">
        <v>74</v>
      </c>
      <c r="K244" s="100" t="s">
        <v>25</v>
      </c>
      <c r="L244" s="100" t="s">
        <v>25</v>
      </c>
      <c r="M244" s="91" t="s">
        <v>890</v>
      </c>
      <c r="N244" s="98"/>
      <c r="O244" s="98"/>
      <c r="P244" s="98"/>
    </row>
    <row r="245" hidden="1">
      <c r="A245" s="96" t="s">
        <v>985</v>
      </c>
      <c r="B245" s="101"/>
      <c r="C245" s="88" t="s">
        <v>1045</v>
      </c>
      <c r="D245" s="98"/>
      <c r="E245" s="88" t="s">
        <v>40</v>
      </c>
      <c r="F245" s="98"/>
      <c r="G245" s="88" t="s">
        <v>1046</v>
      </c>
      <c r="H245" s="88" t="s">
        <v>1047</v>
      </c>
      <c r="I245" s="88" t="s">
        <v>1048</v>
      </c>
      <c r="J245" s="99" t="s">
        <v>74</v>
      </c>
      <c r="K245" s="100" t="s">
        <v>25</v>
      </c>
      <c r="L245" s="100" t="s">
        <v>25</v>
      </c>
      <c r="M245" s="91" t="s">
        <v>890</v>
      </c>
      <c r="N245" s="98"/>
      <c r="O245" s="98"/>
      <c r="P245" s="98"/>
    </row>
    <row r="246" hidden="1">
      <c r="A246" s="96" t="s">
        <v>985</v>
      </c>
      <c r="B246" s="101"/>
      <c r="C246" s="88" t="s">
        <v>1049</v>
      </c>
      <c r="D246" s="98"/>
      <c r="E246" s="88" t="s">
        <v>40</v>
      </c>
      <c r="F246" s="98"/>
      <c r="G246" s="88" t="s">
        <v>1050</v>
      </c>
      <c r="H246" s="88" t="s">
        <v>1051</v>
      </c>
      <c r="I246" s="88" t="s">
        <v>1052</v>
      </c>
      <c r="J246" s="99" t="s">
        <v>74</v>
      </c>
      <c r="K246" s="100" t="s">
        <v>25</v>
      </c>
      <c r="L246" s="100" t="s">
        <v>25</v>
      </c>
      <c r="M246" s="91" t="s">
        <v>890</v>
      </c>
      <c r="N246" s="88" t="s">
        <v>1053</v>
      </c>
      <c r="O246" s="98"/>
      <c r="P246" s="98"/>
    </row>
    <row r="247" hidden="1">
      <c r="A247" s="96" t="s">
        <v>985</v>
      </c>
      <c r="B247" s="101"/>
      <c r="C247" s="88" t="s">
        <v>1054</v>
      </c>
      <c r="D247" s="98"/>
      <c r="E247" s="88" t="s">
        <v>40</v>
      </c>
      <c r="F247" s="98"/>
      <c r="G247" s="88" t="s">
        <v>1055</v>
      </c>
      <c r="H247" s="88" t="s">
        <v>1056</v>
      </c>
      <c r="I247" s="88" t="s">
        <v>1030</v>
      </c>
      <c r="J247" s="99" t="s">
        <v>74</v>
      </c>
      <c r="K247" s="100" t="s">
        <v>25</v>
      </c>
      <c r="L247" s="100" t="s">
        <v>25</v>
      </c>
      <c r="M247" s="91" t="s">
        <v>890</v>
      </c>
      <c r="N247" s="98"/>
      <c r="O247" s="98"/>
      <c r="P247" s="98"/>
    </row>
    <row r="248" hidden="1">
      <c r="A248" s="96" t="s">
        <v>985</v>
      </c>
      <c r="B248" s="101"/>
      <c r="C248" s="88" t="s">
        <v>1057</v>
      </c>
      <c r="D248" s="98"/>
      <c r="E248" s="88" t="s">
        <v>40</v>
      </c>
      <c r="F248" s="98"/>
      <c r="G248" s="88" t="s">
        <v>1058</v>
      </c>
      <c r="H248" s="88" t="s">
        <v>1059</v>
      </c>
      <c r="I248" s="88" t="s">
        <v>1060</v>
      </c>
      <c r="J248" s="99" t="s">
        <v>74</v>
      </c>
      <c r="K248" s="100" t="s">
        <v>25</v>
      </c>
      <c r="L248" s="100" t="s">
        <v>25</v>
      </c>
      <c r="M248" s="91" t="s">
        <v>890</v>
      </c>
      <c r="N248" s="98"/>
      <c r="O248" s="98"/>
      <c r="P248" s="98"/>
    </row>
    <row r="249" hidden="1">
      <c r="A249" s="108"/>
      <c r="B249" s="98"/>
      <c r="C249" s="88" t="s">
        <v>1061</v>
      </c>
      <c r="D249" s="98"/>
      <c r="E249" s="88" t="s">
        <v>33</v>
      </c>
      <c r="F249" s="98"/>
      <c r="G249" s="88" t="s">
        <v>1062</v>
      </c>
      <c r="H249" s="88" t="s">
        <v>1063</v>
      </c>
      <c r="I249" s="88" t="s">
        <v>1064</v>
      </c>
      <c r="J249" s="99" t="s">
        <v>74</v>
      </c>
      <c r="K249" s="100" t="s">
        <v>25</v>
      </c>
      <c r="L249" s="100" t="s">
        <v>25</v>
      </c>
      <c r="M249" s="98"/>
      <c r="N249" s="105" t="s">
        <v>1065</v>
      </c>
      <c r="O249" s="98"/>
      <c r="P249" s="98"/>
    </row>
    <row r="250" hidden="1">
      <c r="A250" s="108"/>
      <c r="B250" s="98"/>
      <c r="C250" s="88" t="s">
        <v>1066</v>
      </c>
      <c r="D250" s="98"/>
      <c r="E250" s="88" t="s">
        <v>33</v>
      </c>
      <c r="F250" s="98"/>
      <c r="G250" s="88" t="s">
        <v>1067</v>
      </c>
      <c r="H250" s="88" t="s">
        <v>1068</v>
      </c>
      <c r="I250" s="88" t="s">
        <v>1069</v>
      </c>
      <c r="J250" s="99" t="s">
        <v>74</v>
      </c>
      <c r="K250" s="100" t="s">
        <v>25</v>
      </c>
      <c r="L250" s="100" t="s">
        <v>25</v>
      </c>
      <c r="M250" s="91" t="s">
        <v>1070</v>
      </c>
      <c r="N250" s="105" t="s">
        <v>1071</v>
      </c>
      <c r="O250" s="98"/>
      <c r="P250" s="98"/>
    </row>
    <row r="251" hidden="1">
      <c r="A251" s="108"/>
      <c r="B251" s="98"/>
      <c r="C251" s="88" t="s">
        <v>1072</v>
      </c>
      <c r="D251" s="98"/>
      <c r="E251" s="88" t="s">
        <v>33</v>
      </c>
      <c r="F251" s="98"/>
      <c r="G251" s="88" t="s">
        <v>1073</v>
      </c>
      <c r="H251" s="88" t="s">
        <v>1063</v>
      </c>
      <c r="I251" s="88" t="s">
        <v>1074</v>
      </c>
      <c r="J251" s="99" t="s">
        <v>74</v>
      </c>
      <c r="K251" s="100" t="s">
        <v>25</v>
      </c>
      <c r="L251" s="100" t="s">
        <v>25</v>
      </c>
      <c r="M251" s="98"/>
      <c r="N251" s="105" t="s">
        <v>1075</v>
      </c>
      <c r="O251" s="98"/>
      <c r="P251" s="98"/>
    </row>
    <row r="252" hidden="1">
      <c r="A252" s="108"/>
      <c r="B252" s="98"/>
      <c r="C252" s="88" t="s">
        <v>1076</v>
      </c>
      <c r="D252" s="98"/>
      <c r="E252" s="88" t="s">
        <v>33</v>
      </c>
      <c r="F252" s="98"/>
      <c r="G252" s="88" t="s">
        <v>1077</v>
      </c>
      <c r="H252" s="88" t="s">
        <v>1078</v>
      </c>
      <c r="I252" s="88" t="s">
        <v>1079</v>
      </c>
      <c r="J252" s="99" t="s">
        <v>74</v>
      </c>
      <c r="K252" s="100" t="s">
        <v>75</v>
      </c>
      <c r="L252" s="100" t="s">
        <v>76</v>
      </c>
      <c r="M252" s="98"/>
      <c r="N252" s="105" t="s">
        <v>1080</v>
      </c>
      <c r="O252" s="98"/>
      <c r="P252" s="98"/>
    </row>
    <row r="253" hidden="1">
      <c r="A253" s="108"/>
      <c r="B253" s="98"/>
      <c r="C253" s="88" t="s">
        <v>1081</v>
      </c>
      <c r="D253" s="98"/>
      <c r="E253" s="88" t="s">
        <v>33</v>
      </c>
      <c r="F253" s="98"/>
      <c r="G253" s="88" t="s">
        <v>1082</v>
      </c>
      <c r="H253" s="88" t="s">
        <v>1083</v>
      </c>
      <c r="I253" s="88" t="s">
        <v>1084</v>
      </c>
      <c r="J253" s="99" t="s">
        <v>74</v>
      </c>
      <c r="K253" s="100" t="s">
        <v>75</v>
      </c>
      <c r="L253" s="100" t="s">
        <v>76</v>
      </c>
      <c r="M253" s="98"/>
      <c r="N253" s="105" t="s">
        <v>1085</v>
      </c>
      <c r="O253" s="98"/>
      <c r="P253" s="98"/>
    </row>
    <row r="254" hidden="1">
      <c r="A254" s="108"/>
      <c r="B254" s="98"/>
      <c r="C254" s="88" t="s">
        <v>1086</v>
      </c>
      <c r="D254" s="98"/>
      <c r="E254" s="88" t="s">
        <v>33</v>
      </c>
      <c r="F254" s="98"/>
      <c r="G254" s="88" t="s">
        <v>1087</v>
      </c>
      <c r="H254" s="88" t="s">
        <v>1088</v>
      </c>
      <c r="I254" s="88" t="s">
        <v>1089</v>
      </c>
      <c r="J254" s="99" t="s">
        <v>74</v>
      </c>
      <c r="K254" s="100" t="s">
        <v>25</v>
      </c>
      <c r="L254" s="100" t="s">
        <v>25</v>
      </c>
      <c r="M254" s="98"/>
      <c r="N254" s="105" t="s">
        <v>1090</v>
      </c>
      <c r="O254" s="98"/>
      <c r="P254" s="98"/>
    </row>
    <row r="255" hidden="1">
      <c r="A255" s="108"/>
      <c r="B255" s="98"/>
      <c r="C255" s="88" t="s">
        <v>1091</v>
      </c>
      <c r="D255" s="98"/>
      <c r="E255" s="88" t="s">
        <v>33</v>
      </c>
      <c r="F255" s="98"/>
      <c r="G255" s="88" t="s">
        <v>1092</v>
      </c>
      <c r="H255" s="88" t="s">
        <v>1088</v>
      </c>
      <c r="I255" s="88" t="s">
        <v>1093</v>
      </c>
      <c r="J255" s="99" t="s">
        <v>74</v>
      </c>
      <c r="K255" s="100" t="s">
        <v>25</v>
      </c>
      <c r="L255" s="100" t="s">
        <v>25</v>
      </c>
      <c r="M255" s="98"/>
      <c r="N255" s="105" t="s">
        <v>1094</v>
      </c>
      <c r="O255" s="98"/>
      <c r="P255" s="98"/>
    </row>
    <row r="256" hidden="1">
      <c r="A256" s="108"/>
      <c r="B256" s="98"/>
      <c r="C256" s="88" t="s">
        <v>1095</v>
      </c>
      <c r="D256" s="98"/>
      <c r="E256" s="88" t="s">
        <v>33</v>
      </c>
      <c r="F256" s="98"/>
      <c r="G256" s="88" t="s">
        <v>1096</v>
      </c>
      <c r="H256" s="88" t="s">
        <v>1097</v>
      </c>
      <c r="I256" s="88" t="s">
        <v>1098</v>
      </c>
      <c r="J256" s="99" t="s">
        <v>74</v>
      </c>
      <c r="K256" s="100" t="s">
        <v>25</v>
      </c>
      <c r="L256" s="100" t="s">
        <v>25</v>
      </c>
      <c r="M256" s="98"/>
      <c r="N256" s="105" t="s">
        <v>1099</v>
      </c>
      <c r="O256" s="98"/>
      <c r="P256" s="98"/>
    </row>
    <row r="257" hidden="1">
      <c r="A257" s="108"/>
      <c r="B257" s="98"/>
      <c r="C257" s="88" t="s">
        <v>1100</v>
      </c>
      <c r="D257" s="98"/>
      <c r="E257" s="88" t="s">
        <v>33</v>
      </c>
      <c r="F257" s="98"/>
      <c r="G257" s="88" t="s">
        <v>1101</v>
      </c>
      <c r="H257" s="88" t="s">
        <v>1078</v>
      </c>
      <c r="I257" s="88" t="s">
        <v>1102</v>
      </c>
      <c r="J257" s="99" t="s">
        <v>74</v>
      </c>
      <c r="K257" s="100" t="s">
        <v>25</v>
      </c>
      <c r="L257" s="100" t="s">
        <v>25</v>
      </c>
      <c r="M257" s="98"/>
      <c r="N257" s="105" t="s">
        <v>1103</v>
      </c>
      <c r="O257" s="98"/>
      <c r="P257" s="98"/>
    </row>
    <row r="258" hidden="1">
      <c r="A258" s="96" t="s">
        <v>1104</v>
      </c>
      <c r="B258" s="102" t="s">
        <v>1105</v>
      </c>
      <c r="C258" s="88" t="s">
        <v>1106</v>
      </c>
      <c r="D258" s="98"/>
      <c r="E258" s="88" t="s">
        <v>1107</v>
      </c>
      <c r="F258" s="98"/>
      <c r="G258" s="88" t="s">
        <v>1108</v>
      </c>
      <c r="H258" s="88" t="s">
        <v>1109</v>
      </c>
      <c r="I258" s="88" t="s">
        <v>1110</v>
      </c>
      <c r="J258" s="99" t="s">
        <v>74</v>
      </c>
      <c r="K258" s="100" t="s">
        <v>75</v>
      </c>
      <c r="L258" s="100" t="s">
        <v>76</v>
      </c>
      <c r="M258" s="98"/>
      <c r="N258" s="98"/>
      <c r="O258" s="98"/>
      <c r="P258" s="98"/>
    </row>
    <row r="259" hidden="1">
      <c r="A259" s="96" t="s">
        <v>1104</v>
      </c>
      <c r="B259" s="101"/>
      <c r="C259" s="88" t="s">
        <v>1111</v>
      </c>
      <c r="D259" s="98"/>
      <c r="E259" s="88" t="s">
        <v>1107</v>
      </c>
      <c r="F259" s="98"/>
      <c r="G259" s="88" t="s">
        <v>1112</v>
      </c>
      <c r="H259" s="88" t="s">
        <v>1113</v>
      </c>
      <c r="I259" s="88" t="s">
        <v>1114</v>
      </c>
      <c r="J259" s="99" t="s">
        <v>74</v>
      </c>
      <c r="K259" s="100" t="s">
        <v>75</v>
      </c>
      <c r="L259" s="100" t="s">
        <v>76</v>
      </c>
      <c r="M259" s="98"/>
      <c r="N259" s="98"/>
      <c r="O259" s="98"/>
      <c r="P259" s="98"/>
    </row>
    <row r="260" hidden="1">
      <c r="A260" s="96" t="s">
        <v>1104</v>
      </c>
      <c r="B260" s="101"/>
      <c r="C260" s="88" t="s">
        <v>1115</v>
      </c>
      <c r="D260" s="98"/>
      <c r="E260" s="88" t="s">
        <v>1107</v>
      </c>
      <c r="F260" s="98"/>
      <c r="G260" s="88" t="s">
        <v>1116</v>
      </c>
      <c r="H260" s="88" t="s">
        <v>1117</v>
      </c>
      <c r="I260" s="88" t="s">
        <v>1118</v>
      </c>
      <c r="J260" s="99" t="s">
        <v>74</v>
      </c>
      <c r="K260" s="100" t="s">
        <v>75</v>
      </c>
      <c r="L260" s="100" t="s">
        <v>76</v>
      </c>
      <c r="M260" s="98"/>
      <c r="N260" s="98"/>
      <c r="O260" s="98"/>
      <c r="P260" s="98"/>
    </row>
    <row r="261" hidden="1">
      <c r="A261" s="96" t="s">
        <v>1104</v>
      </c>
      <c r="B261" s="101"/>
      <c r="C261" s="88" t="s">
        <v>1119</v>
      </c>
      <c r="D261" s="98"/>
      <c r="E261" s="88" t="s">
        <v>1107</v>
      </c>
      <c r="F261" s="98"/>
      <c r="G261" s="88" t="s">
        <v>1120</v>
      </c>
      <c r="H261" s="88" t="s">
        <v>1121</v>
      </c>
      <c r="I261" s="88" t="s">
        <v>1122</v>
      </c>
      <c r="J261" s="99" t="s">
        <v>74</v>
      </c>
      <c r="K261" s="100" t="s">
        <v>75</v>
      </c>
      <c r="L261" s="100" t="s">
        <v>76</v>
      </c>
      <c r="M261" s="98"/>
      <c r="N261" s="98"/>
      <c r="O261" s="98"/>
      <c r="P261" s="98"/>
    </row>
    <row r="262" hidden="1">
      <c r="A262" s="96" t="s">
        <v>1123</v>
      </c>
      <c r="B262" s="102" t="s">
        <v>1124</v>
      </c>
      <c r="C262" s="88" t="s">
        <v>1125</v>
      </c>
      <c r="D262" s="98"/>
      <c r="E262" s="88" t="s">
        <v>1126</v>
      </c>
      <c r="F262" s="98"/>
      <c r="G262" s="88" t="s">
        <v>1127</v>
      </c>
      <c r="H262" s="88" t="s">
        <v>1128</v>
      </c>
      <c r="I262" s="88" t="s">
        <v>1129</v>
      </c>
      <c r="J262" s="99" t="s">
        <v>74</v>
      </c>
      <c r="K262" s="100" t="s">
        <v>25</v>
      </c>
      <c r="L262" s="100" t="s">
        <v>25</v>
      </c>
      <c r="M262" s="91" t="s">
        <v>1130</v>
      </c>
      <c r="N262" s="98"/>
      <c r="O262" s="98"/>
      <c r="P262" s="98"/>
    </row>
    <row r="263" hidden="1">
      <c r="A263" s="96" t="s">
        <v>1123</v>
      </c>
      <c r="B263" s="101"/>
      <c r="C263" s="88" t="s">
        <v>1131</v>
      </c>
      <c r="D263" s="98"/>
      <c r="E263" s="88" t="s">
        <v>1126</v>
      </c>
      <c r="F263" s="98"/>
      <c r="G263" s="88" t="s">
        <v>1132</v>
      </c>
      <c r="H263" s="88" t="s">
        <v>1128</v>
      </c>
      <c r="I263" s="88" t="s">
        <v>1129</v>
      </c>
      <c r="J263" s="99" t="s">
        <v>74</v>
      </c>
      <c r="K263" s="100" t="s">
        <v>25</v>
      </c>
      <c r="L263" s="100" t="s">
        <v>25</v>
      </c>
      <c r="M263" s="91" t="s">
        <v>1130</v>
      </c>
      <c r="N263" s="98"/>
      <c r="O263" s="98"/>
      <c r="P263" s="98"/>
    </row>
    <row r="264" hidden="1">
      <c r="A264" s="96" t="s">
        <v>1123</v>
      </c>
      <c r="B264" s="101"/>
      <c r="C264" s="88" t="s">
        <v>1133</v>
      </c>
      <c r="D264" s="98"/>
      <c r="E264" s="88" t="s">
        <v>1126</v>
      </c>
      <c r="F264" s="98"/>
      <c r="G264" s="88" t="s">
        <v>1134</v>
      </c>
      <c r="H264" s="88" t="s">
        <v>1128</v>
      </c>
      <c r="I264" s="88" t="s">
        <v>1135</v>
      </c>
      <c r="J264" s="99" t="s">
        <v>74</v>
      </c>
      <c r="K264" s="100" t="s">
        <v>25</v>
      </c>
      <c r="L264" s="100" t="s">
        <v>25</v>
      </c>
      <c r="M264" s="91" t="s">
        <v>1130</v>
      </c>
      <c r="N264" s="98"/>
      <c r="O264" s="98"/>
      <c r="P264" s="98"/>
    </row>
    <row r="265" hidden="1">
      <c r="A265" s="96" t="s">
        <v>1123</v>
      </c>
      <c r="B265" s="101"/>
      <c r="C265" s="88" t="s">
        <v>1136</v>
      </c>
      <c r="D265" s="98"/>
      <c r="E265" s="88" t="s">
        <v>1126</v>
      </c>
      <c r="F265" s="98"/>
      <c r="G265" s="88" t="s">
        <v>1137</v>
      </c>
      <c r="H265" s="88" t="s">
        <v>1128</v>
      </c>
      <c r="I265" s="88" t="s">
        <v>1135</v>
      </c>
      <c r="J265" s="99" t="s">
        <v>74</v>
      </c>
      <c r="K265" s="100" t="s">
        <v>25</v>
      </c>
      <c r="L265" s="100" t="s">
        <v>25</v>
      </c>
      <c r="M265" s="91" t="s">
        <v>1130</v>
      </c>
      <c r="N265" s="98"/>
      <c r="O265" s="98"/>
      <c r="P265" s="98"/>
    </row>
    <row r="266" hidden="1">
      <c r="A266" s="96" t="s">
        <v>1123</v>
      </c>
      <c r="B266" s="101"/>
      <c r="C266" s="88" t="s">
        <v>1138</v>
      </c>
      <c r="D266" s="98"/>
      <c r="E266" s="88" t="s">
        <v>1126</v>
      </c>
      <c r="F266" s="98"/>
      <c r="G266" s="88" t="s">
        <v>1139</v>
      </c>
      <c r="H266" s="88" t="s">
        <v>1140</v>
      </c>
      <c r="I266" s="88" t="s">
        <v>1141</v>
      </c>
      <c r="J266" s="99" t="s">
        <v>74</v>
      </c>
      <c r="K266" s="100" t="s">
        <v>25</v>
      </c>
      <c r="L266" s="100" t="s">
        <v>25</v>
      </c>
      <c r="M266" s="91" t="s">
        <v>1130</v>
      </c>
      <c r="N266" s="98"/>
      <c r="O266" s="98"/>
      <c r="P266" s="98"/>
    </row>
    <row r="267" hidden="1">
      <c r="A267" s="96" t="s">
        <v>1123</v>
      </c>
      <c r="B267" s="101"/>
      <c r="C267" s="88" t="s">
        <v>1142</v>
      </c>
      <c r="D267" s="98"/>
      <c r="E267" s="88" t="s">
        <v>1126</v>
      </c>
      <c r="F267" s="98"/>
      <c r="G267" s="88" t="s">
        <v>1143</v>
      </c>
      <c r="H267" s="88" t="s">
        <v>1140</v>
      </c>
      <c r="I267" s="88" t="s">
        <v>1141</v>
      </c>
      <c r="J267" s="99" t="s">
        <v>74</v>
      </c>
      <c r="K267" s="100" t="s">
        <v>25</v>
      </c>
      <c r="L267" s="100" t="s">
        <v>25</v>
      </c>
      <c r="M267" s="91" t="s">
        <v>1130</v>
      </c>
      <c r="N267" s="98"/>
      <c r="O267" s="98"/>
      <c r="P267" s="98"/>
    </row>
    <row r="268" hidden="1">
      <c r="A268" s="96" t="s">
        <v>1123</v>
      </c>
      <c r="B268" s="101"/>
      <c r="C268" s="88" t="s">
        <v>1144</v>
      </c>
      <c r="D268" s="98"/>
      <c r="E268" s="88" t="s">
        <v>1126</v>
      </c>
      <c r="F268" s="98"/>
      <c r="G268" s="88" t="s">
        <v>1145</v>
      </c>
      <c r="H268" s="88" t="s">
        <v>1146</v>
      </c>
      <c r="I268" s="88" t="s">
        <v>1147</v>
      </c>
      <c r="J268" s="99" t="s">
        <v>74</v>
      </c>
      <c r="K268" s="100" t="s">
        <v>75</v>
      </c>
      <c r="L268" s="100" t="s">
        <v>76</v>
      </c>
      <c r="M268" s="91" t="s">
        <v>696</v>
      </c>
      <c r="N268" s="98"/>
      <c r="O268" s="98"/>
      <c r="P268" s="98"/>
    </row>
    <row r="269" hidden="1">
      <c r="A269" s="96" t="s">
        <v>1123</v>
      </c>
      <c r="B269" s="101"/>
      <c r="C269" s="88" t="s">
        <v>1148</v>
      </c>
      <c r="D269" s="98"/>
      <c r="E269" s="88" t="s">
        <v>1126</v>
      </c>
      <c r="F269" s="98"/>
      <c r="G269" s="88" t="s">
        <v>1149</v>
      </c>
      <c r="H269" s="88" t="s">
        <v>1146</v>
      </c>
      <c r="I269" s="88" t="s">
        <v>1147</v>
      </c>
      <c r="J269" s="99" t="s">
        <v>74</v>
      </c>
      <c r="K269" s="100" t="s">
        <v>75</v>
      </c>
      <c r="L269" s="100" t="s">
        <v>76</v>
      </c>
      <c r="M269" s="91" t="s">
        <v>696</v>
      </c>
      <c r="N269" s="98"/>
      <c r="O269" s="98"/>
      <c r="P269" s="98"/>
    </row>
    <row r="270" hidden="1">
      <c r="A270" s="96" t="s">
        <v>1123</v>
      </c>
      <c r="B270" s="101"/>
      <c r="C270" s="88" t="s">
        <v>1150</v>
      </c>
      <c r="D270" s="98"/>
      <c r="E270" s="88" t="s">
        <v>1126</v>
      </c>
      <c r="F270" s="98"/>
      <c r="G270" s="88" t="s">
        <v>1151</v>
      </c>
      <c r="H270" s="88" t="s">
        <v>1152</v>
      </c>
      <c r="I270" s="88" t="s">
        <v>1153</v>
      </c>
      <c r="J270" s="99" t="s">
        <v>74</v>
      </c>
      <c r="K270" s="100" t="s">
        <v>75</v>
      </c>
      <c r="L270" s="100" t="s">
        <v>76</v>
      </c>
      <c r="M270" s="91" t="s">
        <v>696</v>
      </c>
      <c r="N270" s="98"/>
      <c r="O270" s="98"/>
      <c r="P270" s="98"/>
    </row>
    <row r="271" hidden="1">
      <c r="A271" s="96" t="s">
        <v>1123</v>
      </c>
      <c r="B271" s="101"/>
      <c r="C271" s="88" t="s">
        <v>1154</v>
      </c>
      <c r="D271" s="98"/>
      <c r="E271" s="88" t="s">
        <v>1126</v>
      </c>
      <c r="F271" s="98"/>
      <c r="G271" s="88" t="s">
        <v>1155</v>
      </c>
      <c r="H271" s="88" t="s">
        <v>1152</v>
      </c>
      <c r="I271" s="88" t="s">
        <v>1153</v>
      </c>
      <c r="J271" s="99" t="s">
        <v>74</v>
      </c>
      <c r="K271" s="100" t="s">
        <v>75</v>
      </c>
      <c r="L271" s="100" t="s">
        <v>76</v>
      </c>
      <c r="M271" s="91" t="s">
        <v>696</v>
      </c>
      <c r="N271" s="98"/>
      <c r="O271" s="98"/>
      <c r="P271" s="98"/>
    </row>
    <row r="272" hidden="1">
      <c r="A272" s="96" t="s">
        <v>1123</v>
      </c>
      <c r="B272" s="101"/>
      <c r="C272" s="88" t="s">
        <v>1156</v>
      </c>
      <c r="D272" s="98"/>
      <c r="E272" s="88" t="s">
        <v>1126</v>
      </c>
      <c r="F272" s="98"/>
      <c r="G272" s="88" t="s">
        <v>1157</v>
      </c>
      <c r="H272" s="88" t="s">
        <v>1128</v>
      </c>
      <c r="I272" s="88" t="s">
        <v>1158</v>
      </c>
      <c r="J272" s="99" t="s">
        <v>74</v>
      </c>
      <c r="K272" s="100" t="s">
        <v>75</v>
      </c>
      <c r="L272" s="100" t="s">
        <v>76</v>
      </c>
      <c r="M272" s="98"/>
      <c r="N272" s="98"/>
      <c r="O272" s="98"/>
      <c r="P272" s="98"/>
    </row>
    <row r="273" hidden="1">
      <c r="A273" s="96" t="s">
        <v>1123</v>
      </c>
      <c r="B273" s="101"/>
      <c r="C273" s="88" t="s">
        <v>1159</v>
      </c>
      <c r="D273" s="98"/>
      <c r="E273" s="88" t="s">
        <v>1126</v>
      </c>
      <c r="F273" s="98"/>
      <c r="G273" s="88" t="s">
        <v>1160</v>
      </c>
      <c r="H273" s="88" t="s">
        <v>1128</v>
      </c>
      <c r="I273" s="88" t="s">
        <v>1161</v>
      </c>
      <c r="J273" s="99" t="s">
        <v>74</v>
      </c>
      <c r="K273" s="100" t="s">
        <v>75</v>
      </c>
      <c r="L273" s="100" t="s">
        <v>76</v>
      </c>
      <c r="M273" s="98"/>
      <c r="N273" s="98"/>
      <c r="O273" s="98"/>
      <c r="P273" s="98"/>
    </row>
    <row r="274" hidden="1">
      <c r="A274" s="96" t="s">
        <v>1123</v>
      </c>
      <c r="B274" s="101"/>
      <c r="C274" s="88" t="s">
        <v>1162</v>
      </c>
      <c r="D274" s="98"/>
      <c r="E274" s="88" t="s">
        <v>1126</v>
      </c>
      <c r="F274" s="98"/>
      <c r="G274" s="88" t="s">
        <v>1163</v>
      </c>
      <c r="H274" s="88" t="s">
        <v>1128</v>
      </c>
      <c r="I274" s="88" t="s">
        <v>1164</v>
      </c>
      <c r="J274" s="99" t="s">
        <v>74</v>
      </c>
      <c r="K274" s="100" t="s">
        <v>75</v>
      </c>
      <c r="L274" s="100" t="s">
        <v>76</v>
      </c>
      <c r="M274" s="98"/>
      <c r="N274" s="98"/>
      <c r="O274" s="98"/>
      <c r="P274" s="98"/>
    </row>
    <row r="275" hidden="1">
      <c r="A275" s="96" t="s">
        <v>1123</v>
      </c>
      <c r="B275" s="107"/>
      <c r="C275" s="88" t="s">
        <v>1165</v>
      </c>
      <c r="D275" s="98"/>
      <c r="E275" s="88" t="s">
        <v>1126</v>
      </c>
      <c r="F275" s="98"/>
      <c r="G275" s="88" t="s">
        <v>1166</v>
      </c>
      <c r="H275" s="88" t="s">
        <v>1140</v>
      </c>
      <c r="I275" s="88" t="s">
        <v>1167</v>
      </c>
      <c r="J275" s="99" t="s">
        <v>74</v>
      </c>
      <c r="K275" s="100" t="s">
        <v>75</v>
      </c>
      <c r="L275" s="100" t="s">
        <v>76</v>
      </c>
      <c r="M275" s="98"/>
      <c r="N275" s="98"/>
      <c r="O275" s="98"/>
      <c r="P275" s="98"/>
    </row>
    <row r="276" hidden="1">
      <c r="A276" s="96" t="s">
        <v>1168</v>
      </c>
      <c r="B276" s="102" t="s">
        <v>1169</v>
      </c>
      <c r="C276" s="88" t="s">
        <v>1170</v>
      </c>
      <c r="D276" s="98"/>
      <c r="E276" s="106" t="s">
        <v>34</v>
      </c>
      <c r="F276" s="88" t="s">
        <v>1171</v>
      </c>
      <c r="G276" s="88" t="s">
        <v>1172</v>
      </c>
      <c r="H276" s="88" t="s">
        <v>1173</v>
      </c>
      <c r="I276" s="88" t="s">
        <v>1174</v>
      </c>
      <c r="J276" s="99" t="s">
        <v>74</v>
      </c>
      <c r="K276" s="100" t="s">
        <v>75</v>
      </c>
      <c r="L276" s="100" t="s">
        <v>76</v>
      </c>
      <c r="M276" s="98"/>
      <c r="N276" s="98"/>
      <c r="O276" s="98"/>
      <c r="P276" s="98"/>
    </row>
    <row r="277" hidden="1">
      <c r="A277" s="96" t="s">
        <v>1168</v>
      </c>
      <c r="B277" s="101"/>
      <c r="C277" s="88" t="s">
        <v>1175</v>
      </c>
      <c r="D277" s="98"/>
      <c r="E277" s="106" t="s">
        <v>34</v>
      </c>
      <c r="F277" s="98"/>
      <c r="G277" s="88" t="s">
        <v>1176</v>
      </c>
      <c r="H277" s="88" t="s">
        <v>1177</v>
      </c>
      <c r="I277" s="88" t="s">
        <v>1174</v>
      </c>
      <c r="J277" s="99" t="s">
        <v>74</v>
      </c>
      <c r="K277" s="100" t="s">
        <v>25</v>
      </c>
      <c r="L277" s="100" t="s">
        <v>25</v>
      </c>
      <c r="M277" s="91" t="s">
        <v>1130</v>
      </c>
      <c r="N277" s="98"/>
      <c r="O277" s="98"/>
      <c r="P277" s="98"/>
    </row>
    <row r="278" hidden="1">
      <c r="A278" s="96" t="s">
        <v>1168</v>
      </c>
      <c r="B278" s="101"/>
      <c r="C278" s="88" t="s">
        <v>1178</v>
      </c>
      <c r="D278" s="98"/>
      <c r="E278" s="106" t="s">
        <v>34</v>
      </c>
      <c r="F278" s="98"/>
      <c r="G278" s="88" t="s">
        <v>1179</v>
      </c>
      <c r="H278" s="88" t="s">
        <v>1180</v>
      </c>
      <c r="I278" s="88" t="s">
        <v>1181</v>
      </c>
      <c r="J278" s="99" t="s">
        <v>74</v>
      </c>
      <c r="K278" s="100" t="s">
        <v>25</v>
      </c>
      <c r="L278" s="100" t="s">
        <v>25</v>
      </c>
      <c r="M278" s="91" t="s">
        <v>1130</v>
      </c>
      <c r="N278" s="98"/>
      <c r="O278" s="98"/>
      <c r="P278" s="98"/>
    </row>
    <row r="279" hidden="1">
      <c r="A279" s="96" t="s">
        <v>1168</v>
      </c>
      <c r="B279" s="101"/>
      <c r="C279" s="88" t="s">
        <v>1182</v>
      </c>
      <c r="D279" s="98"/>
      <c r="E279" s="106" t="s">
        <v>34</v>
      </c>
      <c r="F279" s="98"/>
      <c r="G279" s="88" t="s">
        <v>1183</v>
      </c>
      <c r="H279" s="88" t="s">
        <v>1184</v>
      </c>
      <c r="I279" s="88" t="s">
        <v>1185</v>
      </c>
      <c r="J279" s="99" t="s">
        <v>74</v>
      </c>
      <c r="K279" s="100" t="s">
        <v>25</v>
      </c>
      <c r="L279" s="100" t="s">
        <v>25</v>
      </c>
      <c r="M279" s="91" t="s">
        <v>1130</v>
      </c>
      <c r="N279" s="98"/>
      <c r="O279" s="98"/>
      <c r="P279" s="98"/>
    </row>
    <row r="280" hidden="1">
      <c r="A280" s="96" t="s">
        <v>1168</v>
      </c>
      <c r="B280" s="101"/>
      <c r="C280" s="88" t="s">
        <v>1186</v>
      </c>
      <c r="D280" s="98"/>
      <c r="E280" s="106" t="s">
        <v>34</v>
      </c>
      <c r="F280" s="98"/>
      <c r="G280" s="88" t="s">
        <v>1187</v>
      </c>
      <c r="H280" s="88" t="s">
        <v>1188</v>
      </c>
      <c r="I280" s="88" t="s">
        <v>1189</v>
      </c>
      <c r="J280" s="99" t="s">
        <v>74</v>
      </c>
      <c r="K280" s="100" t="s">
        <v>75</v>
      </c>
      <c r="L280" s="100" t="s">
        <v>76</v>
      </c>
      <c r="M280" s="98"/>
      <c r="N280" s="98"/>
      <c r="O280" s="98"/>
      <c r="P280" s="98"/>
    </row>
    <row r="281" hidden="1">
      <c r="A281" s="96" t="s">
        <v>1168</v>
      </c>
      <c r="B281" s="101"/>
      <c r="C281" s="88" t="s">
        <v>1190</v>
      </c>
      <c r="D281" s="98"/>
      <c r="E281" s="106" t="s">
        <v>34</v>
      </c>
      <c r="F281" s="98"/>
      <c r="G281" s="88" t="s">
        <v>1191</v>
      </c>
      <c r="H281" s="88" t="s">
        <v>1192</v>
      </c>
      <c r="I281" s="88" t="s">
        <v>1174</v>
      </c>
      <c r="J281" s="99" t="s">
        <v>74</v>
      </c>
      <c r="K281" s="100" t="s">
        <v>75</v>
      </c>
      <c r="L281" s="100" t="s">
        <v>76</v>
      </c>
      <c r="M281" s="98"/>
      <c r="N281" s="98"/>
      <c r="O281" s="98"/>
      <c r="P281" s="98"/>
    </row>
    <row r="282" hidden="1">
      <c r="A282" s="96" t="s">
        <v>1168</v>
      </c>
      <c r="B282" s="101"/>
      <c r="C282" s="88" t="s">
        <v>1193</v>
      </c>
      <c r="D282" s="98"/>
      <c r="E282" s="106" t="s">
        <v>34</v>
      </c>
      <c r="F282" s="98"/>
      <c r="G282" s="88" t="s">
        <v>1194</v>
      </c>
      <c r="H282" s="88" t="s">
        <v>1195</v>
      </c>
      <c r="I282" s="88" t="s">
        <v>1196</v>
      </c>
      <c r="J282" s="99" t="s">
        <v>74</v>
      </c>
      <c r="K282" s="100" t="s">
        <v>75</v>
      </c>
      <c r="L282" s="100" t="s">
        <v>76</v>
      </c>
      <c r="M282" s="98"/>
      <c r="N282" s="98"/>
      <c r="O282" s="98"/>
      <c r="P282" s="98"/>
    </row>
    <row r="283" hidden="1">
      <c r="A283" s="96" t="s">
        <v>1168</v>
      </c>
      <c r="B283" s="101"/>
      <c r="C283" s="88" t="s">
        <v>1197</v>
      </c>
      <c r="D283" s="98"/>
      <c r="E283" s="106" t="s">
        <v>34</v>
      </c>
      <c r="F283" s="98"/>
      <c r="G283" s="88" t="s">
        <v>1198</v>
      </c>
      <c r="H283" s="88" t="s">
        <v>1199</v>
      </c>
      <c r="I283" s="88" t="s">
        <v>1174</v>
      </c>
      <c r="J283" s="99" t="s">
        <v>74</v>
      </c>
      <c r="K283" s="100" t="s">
        <v>75</v>
      </c>
      <c r="L283" s="100" t="s">
        <v>76</v>
      </c>
      <c r="M283" s="98"/>
      <c r="N283" s="98"/>
      <c r="O283" s="98"/>
      <c r="P283" s="98"/>
    </row>
    <row r="284" hidden="1">
      <c r="A284" s="96" t="s">
        <v>1168</v>
      </c>
      <c r="B284" s="101"/>
      <c r="C284" s="88" t="s">
        <v>1200</v>
      </c>
      <c r="D284" s="98"/>
      <c r="E284" s="106" t="s">
        <v>34</v>
      </c>
      <c r="F284" s="98"/>
      <c r="G284" s="88" t="s">
        <v>1201</v>
      </c>
      <c r="H284" s="88" t="s">
        <v>1202</v>
      </c>
      <c r="I284" s="88" t="s">
        <v>1181</v>
      </c>
      <c r="J284" s="99" t="s">
        <v>74</v>
      </c>
      <c r="K284" s="100" t="s">
        <v>75</v>
      </c>
      <c r="L284" s="100" t="s">
        <v>76</v>
      </c>
      <c r="M284" s="98"/>
      <c r="N284" s="98"/>
      <c r="O284" s="98"/>
      <c r="P284" s="98"/>
    </row>
    <row r="285" hidden="1">
      <c r="A285" s="96" t="s">
        <v>1168</v>
      </c>
      <c r="B285" s="101"/>
      <c r="C285" s="88" t="s">
        <v>1203</v>
      </c>
      <c r="D285" s="98"/>
      <c r="E285" s="106" t="s">
        <v>34</v>
      </c>
      <c r="F285" s="88" t="s">
        <v>1204</v>
      </c>
      <c r="G285" s="88" t="s">
        <v>1205</v>
      </c>
      <c r="H285" s="88" t="s">
        <v>1173</v>
      </c>
      <c r="I285" s="88" t="s">
        <v>1206</v>
      </c>
      <c r="J285" s="99" t="s">
        <v>74</v>
      </c>
      <c r="K285" s="100" t="s">
        <v>25</v>
      </c>
      <c r="L285" s="100" t="s">
        <v>25</v>
      </c>
      <c r="M285" s="91" t="s">
        <v>1207</v>
      </c>
      <c r="N285" s="98"/>
      <c r="O285" s="98"/>
      <c r="P285" s="98"/>
    </row>
    <row r="286" hidden="1">
      <c r="A286" s="96" t="s">
        <v>1168</v>
      </c>
      <c r="B286" s="101"/>
      <c r="C286" s="88" t="s">
        <v>1208</v>
      </c>
      <c r="D286" s="98"/>
      <c r="E286" s="106" t="s">
        <v>34</v>
      </c>
      <c r="F286" s="98"/>
      <c r="G286" s="88" t="s">
        <v>1209</v>
      </c>
      <c r="H286" s="88" t="s">
        <v>1173</v>
      </c>
      <c r="I286" s="88" t="s">
        <v>1206</v>
      </c>
      <c r="J286" s="99" t="s">
        <v>74</v>
      </c>
      <c r="K286" s="100" t="s">
        <v>25</v>
      </c>
      <c r="L286" s="100" t="s">
        <v>25</v>
      </c>
      <c r="M286" s="91" t="s">
        <v>1130</v>
      </c>
      <c r="N286" s="98"/>
      <c r="O286" s="98"/>
      <c r="P286" s="98"/>
    </row>
    <row r="287" hidden="1">
      <c r="A287" s="96" t="s">
        <v>1168</v>
      </c>
      <c r="B287" s="101"/>
      <c r="C287" s="88" t="s">
        <v>1210</v>
      </c>
      <c r="D287" s="98"/>
      <c r="E287" s="106" t="s">
        <v>34</v>
      </c>
      <c r="F287" s="98"/>
      <c r="G287" s="88" t="s">
        <v>1211</v>
      </c>
      <c r="H287" s="88" t="s">
        <v>1173</v>
      </c>
      <c r="I287" s="88" t="s">
        <v>1206</v>
      </c>
      <c r="J287" s="99" t="s">
        <v>74</v>
      </c>
      <c r="K287" s="100" t="s">
        <v>25</v>
      </c>
      <c r="L287" s="100" t="s">
        <v>25</v>
      </c>
      <c r="M287" s="91" t="s">
        <v>1130</v>
      </c>
      <c r="N287" s="98"/>
      <c r="O287" s="98"/>
      <c r="P287" s="98"/>
    </row>
    <row r="288" hidden="1">
      <c r="A288" s="96" t="s">
        <v>1168</v>
      </c>
      <c r="B288" s="107"/>
      <c r="C288" s="88" t="s">
        <v>1212</v>
      </c>
      <c r="D288" s="98"/>
      <c r="E288" s="106" t="s">
        <v>34</v>
      </c>
      <c r="F288" s="98"/>
      <c r="G288" s="88" t="s">
        <v>1187</v>
      </c>
      <c r="H288" s="88" t="s">
        <v>1213</v>
      </c>
      <c r="I288" s="88" t="s">
        <v>1214</v>
      </c>
      <c r="J288" s="99" t="s">
        <v>74</v>
      </c>
      <c r="K288" s="100" t="s">
        <v>75</v>
      </c>
      <c r="L288" s="100" t="s">
        <v>76</v>
      </c>
      <c r="M288" s="98"/>
      <c r="N288" s="98"/>
      <c r="O288" s="98"/>
      <c r="P288" s="98"/>
    </row>
    <row r="289" hidden="1">
      <c r="A289" s="96" t="s">
        <v>1215</v>
      </c>
      <c r="B289" s="88" t="s">
        <v>1216</v>
      </c>
      <c r="C289" s="88" t="s">
        <v>1217</v>
      </c>
      <c r="D289" s="98"/>
      <c r="E289" s="88" t="s">
        <v>31</v>
      </c>
      <c r="F289" s="98"/>
      <c r="G289" s="88" t="s">
        <v>1218</v>
      </c>
      <c r="H289" s="88" t="s">
        <v>1219</v>
      </c>
      <c r="I289" s="88" t="s">
        <v>1220</v>
      </c>
      <c r="J289" s="99" t="s">
        <v>74</v>
      </c>
      <c r="K289" s="100" t="s">
        <v>25</v>
      </c>
      <c r="L289" s="100" t="s">
        <v>25</v>
      </c>
      <c r="M289" s="91" t="s">
        <v>1130</v>
      </c>
      <c r="N289" s="98"/>
      <c r="O289" s="98"/>
      <c r="P289" s="98"/>
    </row>
    <row r="290" hidden="1">
      <c r="A290" s="96" t="s">
        <v>1215</v>
      </c>
      <c r="B290" s="88" t="s">
        <v>1216</v>
      </c>
      <c r="C290" s="88" t="s">
        <v>1221</v>
      </c>
      <c r="D290" s="98"/>
      <c r="E290" s="88" t="s">
        <v>31</v>
      </c>
      <c r="F290" s="98"/>
      <c r="G290" s="88" t="s">
        <v>1222</v>
      </c>
      <c r="H290" s="88" t="s">
        <v>1223</v>
      </c>
      <c r="I290" s="88" t="s">
        <v>1220</v>
      </c>
      <c r="J290" s="99" t="s">
        <v>74</v>
      </c>
      <c r="K290" s="100" t="s">
        <v>75</v>
      </c>
      <c r="L290" s="100" t="s">
        <v>76</v>
      </c>
      <c r="M290" s="98"/>
      <c r="N290" s="98"/>
      <c r="O290" s="98"/>
      <c r="P290" s="98"/>
    </row>
    <row r="291" hidden="1">
      <c r="A291" s="96" t="s">
        <v>1215</v>
      </c>
      <c r="B291" s="88" t="s">
        <v>1216</v>
      </c>
      <c r="C291" s="88" t="s">
        <v>1224</v>
      </c>
      <c r="D291" s="98"/>
      <c r="E291" s="88" t="s">
        <v>31</v>
      </c>
      <c r="F291" s="98"/>
      <c r="G291" s="88" t="s">
        <v>1225</v>
      </c>
      <c r="H291" s="88" t="s">
        <v>1226</v>
      </c>
      <c r="I291" s="88" t="s">
        <v>1227</v>
      </c>
      <c r="J291" s="99" t="s">
        <v>74</v>
      </c>
      <c r="K291" s="100" t="s">
        <v>75</v>
      </c>
      <c r="L291" s="100" t="s">
        <v>76</v>
      </c>
      <c r="M291" s="98"/>
      <c r="N291" s="98"/>
      <c r="O291" s="98"/>
      <c r="P291" s="98"/>
    </row>
    <row r="292" hidden="1">
      <c r="A292" s="96" t="s">
        <v>1215</v>
      </c>
      <c r="B292" s="88" t="s">
        <v>1216</v>
      </c>
      <c r="C292" s="88" t="s">
        <v>1228</v>
      </c>
      <c r="D292" s="98"/>
      <c r="E292" s="88" t="s">
        <v>31</v>
      </c>
      <c r="F292" s="98"/>
      <c r="G292" s="88" t="s">
        <v>1229</v>
      </c>
      <c r="H292" s="88" t="s">
        <v>1230</v>
      </c>
      <c r="I292" s="88" t="s">
        <v>1231</v>
      </c>
      <c r="J292" s="99" t="s">
        <v>74</v>
      </c>
      <c r="K292" s="100" t="s">
        <v>75</v>
      </c>
      <c r="L292" s="100" t="s">
        <v>76</v>
      </c>
      <c r="M292" s="98"/>
      <c r="N292" s="98"/>
      <c r="O292" s="98"/>
      <c r="P292" s="98"/>
    </row>
    <row r="293" hidden="1">
      <c r="A293" s="96" t="s">
        <v>1215</v>
      </c>
      <c r="B293" s="88" t="s">
        <v>1216</v>
      </c>
      <c r="C293" s="88" t="s">
        <v>1232</v>
      </c>
      <c r="D293" s="98"/>
      <c r="E293" s="88" t="s">
        <v>31</v>
      </c>
      <c r="F293" s="98"/>
      <c r="G293" s="88" t="s">
        <v>1233</v>
      </c>
      <c r="H293" s="88" t="s">
        <v>1234</v>
      </c>
      <c r="I293" s="88" t="s">
        <v>1235</v>
      </c>
      <c r="J293" s="99" t="s">
        <v>74</v>
      </c>
      <c r="K293" s="100" t="s">
        <v>75</v>
      </c>
      <c r="L293" s="100" t="s">
        <v>76</v>
      </c>
      <c r="M293" s="98"/>
      <c r="N293" s="98"/>
      <c r="O293" s="98"/>
      <c r="P293" s="98"/>
    </row>
    <row r="294" hidden="1">
      <c r="A294" s="96" t="s">
        <v>1215</v>
      </c>
      <c r="B294" s="88" t="s">
        <v>1216</v>
      </c>
      <c r="C294" s="88" t="s">
        <v>1236</v>
      </c>
      <c r="D294" s="98"/>
      <c r="E294" s="88" t="s">
        <v>31</v>
      </c>
      <c r="F294" s="98"/>
      <c r="G294" s="88" t="s">
        <v>1237</v>
      </c>
      <c r="H294" s="88" t="s">
        <v>1238</v>
      </c>
      <c r="I294" s="88" t="s">
        <v>1239</v>
      </c>
      <c r="J294" s="99" t="s">
        <v>74</v>
      </c>
      <c r="K294" s="100" t="s">
        <v>75</v>
      </c>
      <c r="L294" s="100" t="s">
        <v>76</v>
      </c>
      <c r="M294" s="98"/>
      <c r="N294" s="98"/>
      <c r="O294" s="98"/>
      <c r="P294" s="98"/>
    </row>
    <row r="295" hidden="1">
      <c r="A295" s="96" t="s">
        <v>1215</v>
      </c>
      <c r="B295" s="88" t="s">
        <v>1216</v>
      </c>
      <c r="C295" s="88" t="s">
        <v>1240</v>
      </c>
      <c r="D295" s="98"/>
      <c r="E295" s="88" t="s">
        <v>31</v>
      </c>
      <c r="F295" s="98"/>
      <c r="G295" s="88" t="s">
        <v>1241</v>
      </c>
      <c r="H295" s="88" t="s">
        <v>1242</v>
      </c>
      <c r="I295" s="88" t="s">
        <v>1243</v>
      </c>
      <c r="J295" s="99" t="s">
        <v>74</v>
      </c>
      <c r="K295" s="100" t="s">
        <v>75</v>
      </c>
      <c r="L295" s="100" t="s">
        <v>76</v>
      </c>
      <c r="M295" s="98"/>
      <c r="N295" s="98"/>
      <c r="O295" s="98"/>
      <c r="P295" s="98"/>
    </row>
    <row r="296" hidden="1">
      <c r="A296" s="96" t="s">
        <v>1215</v>
      </c>
      <c r="B296" s="88" t="s">
        <v>1216</v>
      </c>
      <c r="C296" s="88" t="s">
        <v>1244</v>
      </c>
      <c r="D296" s="98"/>
      <c r="E296" s="88" t="s">
        <v>31</v>
      </c>
      <c r="F296" s="98"/>
      <c r="G296" s="88" t="s">
        <v>1245</v>
      </c>
      <c r="H296" s="88" t="s">
        <v>1246</v>
      </c>
      <c r="I296" s="88" t="s">
        <v>1247</v>
      </c>
      <c r="J296" s="99" t="s">
        <v>74</v>
      </c>
      <c r="K296" s="100" t="s">
        <v>75</v>
      </c>
      <c r="L296" s="100" t="s">
        <v>76</v>
      </c>
      <c r="M296" s="98"/>
      <c r="N296" s="98"/>
      <c r="O296" s="98"/>
      <c r="P296" s="98"/>
    </row>
    <row r="297" hidden="1">
      <c r="A297" s="96" t="s">
        <v>1215</v>
      </c>
      <c r="B297" s="88" t="s">
        <v>1216</v>
      </c>
      <c r="C297" s="88" t="s">
        <v>1248</v>
      </c>
      <c r="D297" s="98"/>
      <c r="E297" s="88" t="s">
        <v>31</v>
      </c>
      <c r="F297" s="98"/>
      <c r="G297" s="88" t="s">
        <v>1249</v>
      </c>
      <c r="H297" s="88" t="s">
        <v>1250</v>
      </c>
      <c r="I297" s="88" t="s">
        <v>1251</v>
      </c>
      <c r="J297" s="99" t="s">
        <v>74</v>
      </c>
      <c r="K297" s="100" t="s">
        <v>75</v>
      </c>
      <c r="L297" s="100" t="s">
        <v>76</v>
      </c>
      <c r="M297" s="98"/>
      <c r="N297" s="98"/>
      <c r="O297" s="98"/>
      <c r="P297" s="98"/>
    </row>
    <row r="298" hidden="1">
      <c r="A298" s="96" t="s">
        <v>1215</v>
      </c>
      <c r="B298" s="88" t="s">
        <v>1216</v>
      </c>
      <c r="C298" s="88" t="s">
        <v>1252</v>
      </c>
      <c r="D298" s="98"/>
      <c r="E298" s="88" t="s">
        <v>31</v>
      </c>
      <c r="F298" s="98"/>
      <c r="G298" s="88" t="s">
        <v>1249</v>
      </c>
      <c r="H298" s="88" t="s">
        <v>1253</v>
      </c>
      <c r="I298" s="88" t="s">
        <v>1254</v>
      </c>
      <c r="J298" s="99" t="s">
        <v>74</v>
      </c>
      <c r="K298" s="100" t="s">
        <v>75</v>
      </c>
      <c r="L298" s="100" t="s">
        <v>76</v>
      </c>
      <c r="M298" s="98"/>
      <c r="N298" s="98"/>
      <c r="O298" s="98"/>
      <c r="P298" s="98"/>
    </row>
    <row r="299" hidden="1">
      <c r="A299" s="96" t="s">
        <v>1215</v>
      </c>
      <c r="B299" s="88" t="s">
        <v>1216</v>
      </c>
      <c r="C299" s="88" t="s">
        <v>1255</v>
      </c>
      <c r="D299" s="98"/>
      <c r="E299" s="88" t="s">
        <v>31</v>
      </c>
      <c r="F299" s="98"/>
      <c r="G299" s="88" t="s">
        <v>1256</v>
      </c>
      <c r="H299" s="88" t="s">
        <v>1257</v>
      </c>
      <c r="I299" s="88" t="s">
        <v>1258</v>
      </c>
      <c r="J299" s="99" t="s">
        <v>74</v>
      </c>
      <c r="K299" s="100" t="s">
        <v>75</v>
      </c>
      <c r="L299" s="100" t="s">
        <v>76</v>
      </c>
      <c r="M299" s="98"/>
      <c r="N299" s="98"/>
      <c r="O299" s="98"/>
      <c r="P299" s="98"/>
    </row>
    <row r="300" hidden="1">
      <c r="A300" s="96" t="s">
        <v>1215</v>
      </c>
      <c r="B300" s="88" t="s">
        <v>1216</v>
      </c>
      <c r="C300" s="88" t="s">
        <v>1259</v>
      </c>
      <c r="D300" s="98"/>
      <c r="E300" s="88" t="s">
        <v>31</v>
      </c>
      <c r="F300" s="98"/>
      <c r="G300" s="88" t="s">
        <v>1260</v>
      </c>
      <c r="H300" s="88" t="s">
        <v>1261</v>
      </c>
      <c r="I300" s="88" t="s">
        <v>1262</v>
      </c>
      <c r="J300" s="99" t="s">
        <v>74</v>
      </c>
      <c r="K300" s="100" t="s">
        <v>75</v>
      </c>
      <c r="L300" s="100" t="s">
        <v>76</v>
      </c>
      <c r="M300" s="98"/>
      <c r="N300" s="98"/>
      <c r="O300" s="98"/>
      <c r="P300" s="98"/>
    </row>
    <row r="301" hidden="1">
      <c r="A301" s="96" t="s">
        <v>1215</v>
      </c>
      <c r="B301" s="88" t="s">
        <v>1216</v>
      </c>
      <c r="C301" s="88" t="s">
        <v>1263</v>
      </c>
      <c r="D301" s="98"/>
      <c r="E301" s="88" t="s">
        <v>31</v>
      </c>
      <c r="F301" s="98"/>
      <c r="G301" s="88" t="s">
        <v>1264</v>
      </c>
      <c r="H301" s="88" t="s">
        <v>1265</v>
      </c>
      <c r="I301" s="88" t="s">
        <v>1266</v>
      </c>
      <c r="J301" s="99" t="s">
        <v>74</v>
      </c>
      <c r="K301" s="100" t="s">
        <v>75</v>
      </c>
      <c r="L301" s="100" t="s">
        <v>76</v>
      </c>
      <c r="M301" s="98"/>
      <c r="N301" s="98"/>
      <c r="O301" s="98"/>
      <c r="P301" s="98"/>
    </row>
    <row r="302" hidden="1">
      <c r="A302" s="96" t="s">
        <v>1215</v>
      </c>
      <c r="B302" s="88" t="s">
        <v>1216</v>
      </c>
      <c r="C302" s="88" t="s">
        <v>1267</v>
      </c>
      <c r="D302" s="98"/>
      <c r="E302" s="88" t="s">
        <v>31</v>
      </c>
      <c r="F302" s="98"/>
      <c r="G302" s="88" t="s">
        <v>1264</v>
      </c>
      <c r="H302" s="88" t="s">
        <v>1268</v>
      </c>
      <c r="I302" s="88" t="s">
        <v>1269</v>
      </c>
      <c r="J302" s="99" t="s">
        <v>74</v>
      </c>
      <c r="K302" s="100" t="s">
        <v>75</v>
      </c>
      <c r="L302" s="100" t="s">
        <v>76</v>
      </c>
      <c r="M302" s="98"/>
      <c r="N302" s="98"/>
      <c r="O302" s="98"/>
      <c r="P302" s="98"/>
    </row>
    <row r="303" hidden="1">
      <c r="A303" s="96" t="s">
        <v>1215</v>
      </c>
      <c r="B303" s="88" t="s">
        <v>1216</v>
      </c>
      <c r="C303" s="88" t="s">
        <v>1270</v>
      </c>
      <c r="D303" s="98"/>
      <c r="E303" s="88" t="s">
        <v>31</v>
      </c>
      <c r="F303" s="98"/>
      <c r="G303" s="88" t="s">
        <v>1271</v>
      </c>
      <c r="H303" s="88" t="s">
        <v>1272</v>
      </c>
      <c r="I303" s="88" t="s">
        <v>1273</v>
      </c>
      <c r="J303" s="99" t="s">
        <v>74</v>
      </c>
      <c r="K303" s="100" t="s">
        <v>75</v>
      </c>
      <c r="L303" s="100" t="s">
        <v>76</v>
      </c>
      <c r="M303" s="98"/>
      <c r="N303" s="98"/>
      <c r="O303" s="98"/>
      <c r="P303" s="98"/>
    </row>
    <row r="304" hidden="1">
      <c r="A304" s="96" t="s">
        <v>1215</v>
      </c>
      <c r="B304" s="88" t="s">
        <v>1216</v>
      </c>
      <c r="C304" s="88" t="s">
        <v>1274</v>
      </c>
      <c r="D304" s="98"/>
      <c r="E304" s="88" t="s">
        <v>31</v>
      </c>
      <c r="F304" s="98"/>
      <c r="G304" s="88" t="s">
        <v>1275</v>
      </c>
      <c r="H304" s="88" t="s">
        <v>1276</v>
      </c>
      <c r="I304" s="88" t="s">
        <v>1277</v>
      </c>
      <c r="J304" s="99" t="s">
        <v>74</v>
      </c>
      <c r="K304" s="100" t="s">
        <v>75</v>
      </c>
      <c r="L304" s="100" t="s">
        <v>76</v>
      </c>
      <c r="M304" s="98"/>
      <c r="N304" s="98"/>
      <c r="O304" s="98"/>
      <c r="P304" s="98"/>
    </row>
    <row r="305" hidden="1">
      <c r="A305" s="96" t="s">
        <v>1215</v>
      </c>
      <c r="B305" s="88" t="s">
        <v>1216</v>
      </c>
      <c r="C305" s="88" t="s">
        <v>1278</v>
      </c>
      <c r="D305" s="98"/>
      <c r="E305" s="88" t="s">
        <v>31</v>
      </c>
      <c r="F305" s="98"/>
      <c r="G305" s="88" t="s">
        <v>1279</v>
      </c>
      <c r="H305" s="88" t="s">
        <v>1280</v>
      </c>
      <c r="I305" s="88" t="s">
        <v>1281</v>
      </c>
      <c r="J305" s="99" t="s">
        <v>74</v>
      </c>
      <c r="K305" s="100" t="s">
        <v>75</v>
      </c>
      <c r="L305" s="100" t="s">
        <v>76</v>
      </c>
      <c r="M305" s="98"/>
      <c r="N305" s="98"/>
      <c r="O305" s="98"/>
      <c r="P305" s="98"/>
    </row>
    <row r="306" hidden="1">
      <c r="A306" s="96" t="s">
        <v>1215</v>
      </c>
      <c r="B306" s="88" t="s">
        <v>1216</v>
      </c>
      <c r="C306" s="88" t="s">
        <v>1282</v>
      </c>
      <c r="D306" s="98"/>
      <c r="E306" s="88" t="s">
        <v>31</v>
      </c>
      <c r="F306" s="98"/>
      <c r="G306" s="88" t="s">
        <v>1283</v>
      </c>
      <c r="H306" s="88" t="s">
        <v>1284</v>
      </c>
      <c r="I306" s="88" t="s">
        <v>1285</v>
      </c>
      <c r="J306" s="99" t="s">
        <v>74</v>
      </c>
      <c r="K306" s="100" t="s">
        <v>75</v>
      </c>
      <c r="L306" s="100" t="s">
        <v>76</v>
      </c>
      <c r="M306" s="98"/>
      <c r="N306" s="98"/>
      <c r="O306" s="98"/>
      <c r="P306" s="98"/>
    </row>
    <row r="307" hidden="1">
      <c r="A307" s="96" t="s">
        <v>1215</v>
      </c>
      <c r="B307" s="88" t="s">
        <v>1216</v>
      </c>
      <c r="C307" s="88" t="s">
        <v>1286</v>
      </c>
      <c r="D307" s="98"/>
      <c r="E307" s="88" t="s">
        <v>31</v>
      </c>
      <c r="F307" s="98"/>
      <c r="G307" s="88" t="s">
        <v>1287</v>
      </c>
      <c r="H307" s="88" t="s">
        <v>1288</v>
      </c>
      <c r="I307" s="88" t="s">
        <v>1289</v>
      </c>
      <c r="J307" s="99" t="s">
        <v>74</v>
      </c>
      <c r="K307" s="100" t="s">
        <v>75</v>
      </c>
      <c r="L307" s="100" t="s">
        <v>76</v>
      </c>
      <c r="M307" s="98"/>
      <c r="N307" s="98"/>
      <c r="O307" s="98"/>
      <c r="P307" s="98"/>
    </row>
    <row r="308" hidden="1">
      <c r="A308" s="96" t="s">
        <v>1215</v>
      </c>
      <c r="B308" s="88" t="s">
        <v>1216</v>
      </c>
      <c r="C308" s="88" t="s">
        <v>1290</v>
      </c>
      <c r="D308" s="98"/>
      <c r="E308" s="88" t="s">
        <v>31</v>
      </c>
      <c r="F308" s="98"/>
      <c r="G308" s="88" t="s">
        <v>1291</v>
      </c>
      <c r="H308" s="88" t="s">
        <v>1292</v>
      </c>
      <c r="I308" s="88" t="s">
        <v>1293</v>
      </c>
      <c r="J308" s="99" t="s">
        <v>74</v>
      </c>
      <c r="K308" s="100" t="s">
        <v>75</v>
      </c>
      <c r="L308" s="100" t="s">
        <v>76</v>
      </c>
      <c r="M308" s="98"/>
      <c r="N308" s="98"/>
      <c r="O308" s="98"/>
      <c r="P308" s="98"/>
    </row>
    <row r="309" hidden="1">
      <c r="A309" s="96" t="s">
        <v>1215</v>
      </c>
      <c r="B309" s="88" t="s">
        <v>1216</v>
      </c>
      <c r="C309" s="88" t="s">
        <v>1294</v>
      </c>
      <c r="D309" s="98"/>
      <c r="E309" s="88" t="s">
        <v>31</v>
      </c>
      <c r="F309" s="98"/>
      <c r="G309" s="88" t="s">
        <v>1295</v>
      </c>
      <c r="H309" s="88" t="s">
        <v>1296</v>
      </c>
      <c r="I309" s="88" t="s">
        <v>1297</v>
      </c>
      <c r="J309" s="99" t="s">
        <v>74</v>
      </c>
      <c r="K309" s="100" t="s">
        <v>75</v>
      </c>
      <c r="L309" s="100" t="s">
        <v>76</v>
      </c>
      <c r="M309" s="98"/>
      <c r="N309" s="98"/>
      <c r="O309" s="98"/>
      <c r="P309" s="98"/>
    </row>
    <row r="310" hidden="1">
      <c r="A310" s="96" t="s">
        <v>1215</v>
      </c>
      <c r="B310" s="88" t="s">
        <v>1216</v>
      </c>
      <c r="C310" s="88" t="s">
        <v>1298</v>
      </c>
      <c r="D310" s="98"/>
      <c r="E310" s="88" t="s">
        <v>31</v>
      </c>
      <c r="F310" s="98"/>
      <c r="G310" s="88" t="s">
        <v>1299</v>
      </c>
      <c r="H310" s="88" t="s">
        <v>1300</v>
      </c>
      <c r="I310" s="88" t="s">
        <v>1301</v>
      </c>
      <c r="J310" s="99" t="s">
        <v>74</v>
      </c>
      <c r="K310" s="100" t="s">
        <v>75</v>
      </c>
      <c r="L310" s="100" t="s">
        <v>76</v>
      </c>
      <c r="M310" s="98"/>
      <c r="N310" s="98"/>
      <c r="O310" s="98"/>
      <c r="P310" s="98"/>
    </row>
    <row r="311" hidden="1">
      <c r="A311" s="96" t="s">
        <v>1215</v>
      </c>
      <c r="B311" s="88" t="s">
        <v>1216</v>
      </c>
      <c r="C311" s="88" t="s">
        <v>1302</v>
      </c>
      <c r="D311" s="98"/>
      <c r="E311" s="88" t="s">
        <v>31</v>
      </c>
      <c r="F311" s="98"/>
      <c r="G311" s="88" t="s">
        <v>1303</v>
      </c>
      <c r="H311" s="88" t="s">
        <v>1304</v>
      </c>
      <c r="I311" s="88" t="s">
        <v>1305</v>
      </c>
      <c r="J311" s="99" t="s">
        <v>74</v>
      </c>
      <c r="K311" s="100" t="s">
        <v>75</v>
      </c>
      <c r="L311" s="100" t="s">
        <v>76</v>
      </c>
      <c r="M311" s="98"/>
      <c r="N311" s="98"/>
      <c r="O311" s="98"/>
      <c r="P311" s="98"/>
    </row>
    <row r="312" hidden="1">
      <c r="A312" s="96" t="s">
        <v>1215</v>
      </c>
      <c r="B312" s="88" t="s">
        <v>1216</v>
      </c>
      <c r="C312" s="88" t="s">
        <v>1306</v>
      </c>
      <c r="D312" s="98"/>
      <c r="E312" s="88" t="s">
        <v>31</v>
      </c>
      <c r="F312" s="98"/>
      <c r="G312" s="88" t="s">
        <v>1307</v>
      </c>
      <c r="H312" s="88" t="s">
        <v>1308</v>
      </c>
      <c r="I312" s="88" t="s">
        <v>1309</v>
      </c>
      <c r="J312" s="99" t="s">
        <v>74</v>
      </c>
      <c r="K312" s="100" t="s">
        <v>75</v>
      </c>
      <c r="L312" s="100" t="s">
        <v>76</v>
      </c>
      <c r="M312" s="98"/>
      <c r="N312" s="98"/>
      <c r="O312" s="98"/>
      <c r="P312" s="98"/>
    </row>
    <row r="313" hidden="1">
      <c r="A313" s="96" t="s">
        <v>1215</v>
      </c>
      <c r="B313" s="88" t="s">
        <v>1216</v>
      </c>
      <c r="C313" s="88" t="s">
        <v>1310</v>
      </c>
      <c r="D313" s="98"/>
      <c r="E313" s="88" t="s">
        <v>31</v>
      </c>
      <c r="F313" s="98"/>
      <c r="G313" s="88" t="s">
        <v>1311</v>
      </c>
      <c r="H313" s="88" t="s">
        <v>1312</v>
      </c>
      <c r="I313" s="88" t="s">
        <v>1313</v>
      </c>
      <c r="J313" s="99" t="s">
        <v>74</v>
      </c>
      <c r="K313" s="100" t="s">
        <v>75</v>
      </c>
      <c r="L313" s="100" t="s">
        <v>76</v>
      </c>
      <c r="M313" s="98"/>
      <c r="N313" s="98"/>
      <c r="O313" s="98"/>
      <c r="P313" s="98"/>
    </row>
    <row r="314" hidden="1">
      <c r="A314" s="96" t="s">
        <v>1215</v>
      </c>
      <c r="B314" s="88" t="s">
        <v>1216</v>
      </c>
      <c r="C314" s="88" t="s">
        <v>1314</v>
      </c>
      <c r="D314" s="98"/>
      <c r="E314" s="88" t="s">
        <v>31</v>
      </c>
      <c r="F314" s="98"/>
      <c r="G314" s="88" t="s">
        <v>1315</v>
      </c>
      <c r="H314" s="88" t="s">
        <v>1316</v>
      </c>
      <c r="I314" s="88" t="s">
        <v>1297</v>
      </c>
      <c r="J314" s="99" t="s">
        <v>74</v>
      </c>
      <c r="K314" s="100" t="s">
        <v>75</v>
      </c>
      <c r="L314" s="100" t="s">
        <v>76</v>
      </c>
      <c r="M314" s="98"/>
      <c r="N314" s="98"/>
      <c r="O314" s="98"/>
      <c r="P314" s="98"/>
    </row>
    <row r="315" hidden="1">
      <c r="A315" s="96" t="s">
        <v>1215</v>
      </c>
      <c r="B315" s="88" t="s">
        <v>1216</v>
      </c>
      <c r="C315" s="88" t="s">
        <v>1317</v>
      </c>
      <c r="D315" s="98"/>
      <c r="E315" s="88" t="s">
        <v>31</v>
      </c>
      <c r="F315" s="98"/>
      <c r="G315" s="88" t="s">
        <v>1318</v>
      </c>
      <c r="H315" s="88" t="s">
        <v>1319</v>
      </c>
      <c r="I315" s="88" t="s">
        <v>1320</v>
      </c>
      <c r="J315" s="99" t="s">
        <v>74</v>
      </c>
      <c r="K315" s="100" t="s">
        <v>75</v>
      </c>
      <c r="L315" s="100" t="s">
        <v>76</v>
      </c>
      <c r="M315" s="98"/>
      <c r="N315" s="98"/>
      <c r="O315" s="98"/>
      <c r="P315" s="98"/>
    </row>
    <row r="316" hidden="1">
      <c r="A316" s="96" t="s">
        <v>1215</v>
      </c>
      <c r="B316" s="88" t="s">
        <v>1216</v>
      </c>
      <c r="C316" s="88" t="s">
        <v>1321</v>
      </c>
      <c r="D316" s="98"/>
      <c r="E316" s="88" t="s">
        <v>31</v>
      </c>
      <c r="F316" s="98"/>
      <c r="G316" s="88" t="s">
        <v>1322</v>
      </c>
      <c r="H316" s="88" t="s">
        <v>1308</v>
      </c>
      <c r="I316" s="88" t="s">
        <v>1323</v>
      </c>
      <c r="J316" s="99" t="s">
        <v>74</v>
      </c>
      <c r="K316" s="100" t="s">
        <v>75</v>
      </c>
      <c r="L316" s="100" t="s">
        <v>76</v>
      </c>
      <c r="M316" s="98"/>
      <c r="N316" s="98"/>
      <c r="O316" s="98"/>
      <c r="P316" s="98"/>
    </row>
    <row r="317" hidden="1">
      <c r="A317" s="96" t="s">
        <v>1215</v>
      </c>
      <c r="B317" s="88" t="s">
        <v>1216</v>
      </c>
      <c r="C317" s="88" t="s">
        <v>1324</v>
      </c>
      <c r="D317" s="98"/>
      <c r="E317" s="88" t="s">
        <v>31</v>
      </c>
      <c r="F317" s="98"/>
      <c r="G317" s="88" t="s">
        <v>1325</v>
      </c>
      <c r="H317" s="88" t="s">
        <v>1326</v>
      </c>
      <c r="I317" s="88" t="s">
        <v>1305</v>
      </c>
      <c r="J317" s="99" t="s">
        <v>74</v>
      </c>
      <c r="K317" s="100" t="s">
        <v>75</v>
      </c>
      <c r="L317" s="100" t="s">
        <v>76</v>
      </c>
      <c r="M317" s="98"/>
      <c r="N317" s="98"/>
      <c r="O317" s="98"/>
      <c r="P317" s="98"/>
    </row>
    <row r="318" hidden="1">
      <c r="A318" s="96" t="s">
        <v>1215</v>
      </c>
      <c r="B318" s="88" t="s">
        <v>1216</v>
      </c>
      <c r="C318" s="88" t="s">
        <v>1327</v>
      </c>
      <c r="D318" s="98"/>
      <c r="E318" s="88" t="s">
        <v>31</v>
      </c>
      <c r="F318" s="98"/>
      <c r="G318" s="88" t="s">
        <v>1328</v>
      </c>
      <c r="H318" s="88" t="s">
        <v>1329</v>
      </c>
      <c r="I318" s="88" t="s">
        <v>1330</v>
      </c>
      <c r="J318" s="99" t="s">
        <v>74</v>
      </c>
      <c r="K318" s="100" t="s">
        <v>75</v>
      </c>
      <c r="L318" s="100" t="s">
        <v>76</v>
      </c>
      <c r="M318" s="98"/>
      <c r="N318" s="98"/>
      <c r="O318" s="98"/>
      <c r="P318" s="98"/>
    </row>
    <row r="319" hidden="1">
      <c r="A319" s="96" t="s">
        <v>1215</v>
      </c>
      <c r="B319" s="88" t="s">
        <v>1216</v>
      </c>
      <c r="C319" s="88" t="s">
        <v>1331</v>
      </c>
      <c r="D319" s="98"/>
      <c r="E319" s="88" t="s">
        <v>31</v>
      </c>
      <c r="F319" s="98"/>
      <c r="G319" s="88" t="s">
        <v>1332</v>
      </c>
      <c r="H319" s="88" t="s">
        <v>1333</v>
      </c>
      <c r="I319" s="88" t="s">
        <v>1297</v>
      </c>
      <c r="J319" s="99" t="s">
        <v>74</v>
      </c>
      <c r="K319" s="100" t="s">
        <v>75</v>
      </c>
      <c r="L319" s="100" t="s">
        <v>76</v>
      </c>
      <c r="M319" s="98"/>
      <c r="N319" s="98"/>
      <c r="O319" s="98"/>
      <c r="P319" s="98"/>
    </row>
    <row r="320" hidden="1">
      <c r="A320" s="96" t="s">
        <v>1215</v>
      </c>
      <c r="B320" s="88" t="s">
        <v>1216</v>
      </c>
      <c r="C320" s="88" t="s">
        <v>1334</v>
      </c>
      <c r="D320" s="98"/>
      <c r="E320" s="88" t="s">
        <v>31</v>
      </c>
      <c r="F320" s="98"/>
      <c r="G320" s="88" t="s">
        <v>1335</v>
      </c>
      <c r="H320" s="88" t="s">
        <v>1336</v>
      </c>
      <c r="I320" s="88" t="s">
        <v>1337</v>
      </c>
      <c r="J320" s="99" t="s">
        <v>74</v>
      </c>
      <c r="K320" s="100" t="s">
        <v>75</v>
      </c>
      <c r="L320" s="100" t="s">
        <v>76</v>
      </c>
      <c r="M320" s="98"/>
      <c r="N320" s="98"/>
      <c r="O320" s="98"/>
      <c r="P320" s="98"/>
    </row>
    <row r="321" hidden="1">
      <c r="A321" s="96" t="s">
        <v>1215</v>
      </c>
      <c r="B321" s="88" t="s">
        <v>1216</v>
      </c>
      <c r="C321" s="88" t="s">
        <v>1338</v>
      </c>
      <c r="D321" s="98"/>
      <c r="E321" s="88" t="s">
        <v>31</v>
      </c>
      <c r="F321" s="98"/>
      <c r="G321" s="88" t="s">
        <v>1339</v>
      </c>
      <c r="H321" s="88" t="s">
        <v>1340</v>
      </c>
      <c r="I321" s="88" t="s">
        <v>1341</v>
      </c>
      <c r="J321" s="99" t="s">
        <v>74</v>
      </c>
      <c r="K321" s="100" t="s">
        <v>75</v>
      </c>
      <c r="L321" s="100" t="s">
        <v>76</v>
      </c>
      <c r="M321" s="98"/>
      <c r="N321" s="98"/>
      <c r="O321" s="98"/>
      <c r="P321" s="98"/>
    </row>
    <row r="322" hidden="1">
      <c r="A322" s="96" t="s">
        <v>1215</v>
      </c>
      <c r="B322" s="88" t="s">
        <v>1216</v>
      </c>
      <c r="C322" s="88" t="s">
        <v>1342</v>
      </c>
      <c r="D322" s="98"/>
      <c r="E322" s="88" t="s">
        <v>31</v>
      </c>
      <c r="F322" s="98"/>
      <c r="G322" s="88" t="s">
        <v>1343</v>
      </c>
      <c r="H322" s="88" t="s">
        <v>1344</v>
      </c>
      <c r="I322" s="88" t="s">
        <v>1305</v>
      </c>
      <c r="J322" s="99" t="s">
        <v>74</v>
      </c>
      <c r="K322" s="100" t="s">
        <v>75</v>
      </c>
      <c r="L322" s="100" t="s">
        <v>76</v>
      </c>
      <c r="M322" s="98"/>
      <c r="N322" s="98"/>
      <c r="O322" s="98"/>
      <c r="P322" s="98"/>
    </row>
    <row r="323" hidden="1">
      <c r="A323" s="96" t="s">
        <v>1215</v>
      </c>
      <c r="B323" s="88" t="s">
        <v>1216</v>
      </c>
      <c r="C323" s="88" t="s">
        <v>1345</v>
      </c>
      <c r="D323" s="98"/>
      <c r="E323" s="88" t="s">
        <v>31</v>
      </c>
      <c r="F323" s="98"/>
      <c r="G323" s="88" t="s">
        <v>1346</v>
      </c>
      <c r="H323" s="88" t="s">
        <v>1347</v>
      </c>
      <c r="I323" s="88" t="s">
        <v>1348</v>
      </c>
      <c r="J323" s="99" t="s">
        <v>74</v>
      </c>
      <c r="K323" s="100" t="s">
        <v>75</v>
      </c>
      <c r="L323" s="100" t="s">
        <v>76</v>
      </c>
      <c r="M323" s="98"/>
      <c r="N323" s="98"/>
      <c r="O323" s="98"/>
      <c r="P323" s="98"/>
    </row>
    <row r="324" hidden="1">
      <c r="A324" s="96" t="s">
        <v>1215</v>
      </c>
      <c r="B324" s="88" t="s">
        <v>1216</v>
      </c>
      <c r="C324" s="88" t="s">
        <v>1349</v>
      </c>
      <c r="D324" s="98"/>
      <c r="E324" s="88" t="s">
        <v>31</v>
      </c>
      <c r="F324" s="98"/>
      <c r="G324" s="88" t="s">
        <v>1350</v>
      </c>
      <c r="H324" s="88" t="s">
        <v>1351</v>
      </c>
      <c r="I324" s="88" t="s">
        <v>1297</v>
      </c>
      <c r="J324" s="99" t="s">
        <v>74</v>
      </c>
      <c r="K324" s="100" t="s">
        <v>75</v>
      </c>
      <c r="L324" s="100" t="s">
        <v>76</v>
      </c>
      <c r="M324" s="98"/>
      <c r="N324" s="98"/>
      <c r="O324" s="98"/>
      <c r="P324" s="98"/>
    </row>
    <row r="325" hidden="1">
      <c r="A325" s="96" t="s">
        <v>1215</v>
      </c>
      <c r="B325" s="88" t="s">
        <v>1216</v>
      </c>
      <c r="C325" s="88" t="s">
        <v>1352</v>
      </c>
      <c r="D325" s="98"/>
      <c r="E325" s="88" t="s">
        <v>31</v>
      </c>
      <c r="F325" s="98"/>
      <c r="G325" s="88" t="s">
        <v>1353</v>
      </c>
      <c r="H325" s="88" t="s">
        <v>1354</v>
      </c>
      <c r="I325" s="88" t="s">
        <v>1355</v>
      </c>
      <c r="J325" s="99" t="s">
        <v>74</v>
      </c>
      <c r="K325" s="100" t="s">
        <v>75</v>
      </c>
      <c r="L325" s="100" t="s">
        <v>76</v>
      </c>
      <c r="M325" s="98"/>
      <c r="N325" s="98"/>
      <c r="O325" s="98"/>
      <c r="P325" s="98"/>
    </row>
    <row r="326" hidden="1">
      <c r="A326" s="96" t="s">
        <v>1215</v>
      </c>
      <c r="B326" s="88" t="s">
        <v>1216</v>
      </c>
      <c r="C326" s="88" t="s">
        <v>1356</v>
      </c>
      <c r="D326" s="98"/>
      <c r="E326" s="88" t="s">
        <v>31</v>
      </c>
      <c r="F326" s="98"/>
      <c r="G326" s="88" t="s">
        <v>1357</v>
      </c>
      <c r="H326" s="88" t="s">
        <v>1358</v>
      </c>
      <c r="I326" s="88" t="s">
        <v>1359</v>
      </c>
      <c r="J326" s="99" t="s">
        <v>74</v>
      </c>
      <c r="K326" s="100" t="s">
        <v>75</v>
      </c>
      <c r="L326" s="100" t="s">
        <v>76</v>
      </c>
      <c r="M326" s="98"/>
      <c r="N326" s="98"/>
      <c r="O326" s="98"/>
      <c r="P326" s="98"/>
    </row>
    <row r="327" hidden="1">
      <c r="A327" s="96" t="s">
        <v>1215</v>
      </c>
      <c r="B327" s="88" t="s">
        <v>1216</v>
      </c>
      <c r="C327" s="88" t="s">
        <v>1360</v>
      </c>
      <c r="D327" s="98"/>
      <c r="E327" s="88" t="s">
        <v>31</v>
      </c>
      <c r="F327" s="98"/>
      <c r="G327" s="88" t="s">
        <v>1361</v>
      </c>
      <c r="H327" s="88" t="s">
        <v>1362</v>
      </c>
      <c r="I327" s="88" t="s">
        <v>1305</v>
      </c>
      <c r="J327" s="99" t="s">
        <v>74</v>
      </c>
      <c r="K327" s="100" t="s">
        <v>75</v>
      </c>
      <c r="L327" s="100" t="s">
        <v>76</v>
      </c>
      <c r="M327" s="98"/>
      <c r="N327" s="98"/>
      <c r="O327" s="98"/>
      <c r="P327" s="98"/>
    </row>
    <row r="328" hidden="1">
      <c r="A328" s="96" t="s">
        <v>1215</v>
      </c>
      <c r="B328" s="88" t="s">
        <v>1216</v>
      </c>
      <c r="C328" s="88" t="s">
        <v>1363</v>
      </c>
      <c r="D328" s="98"/>
      <c r="E328" s="88" t="s">
        <v>31</v>
      </c>
      <c r="F328" s="98"/>
      <c r="G328" s="88" t="s">
        <v>1364</v>
      </c>
      <c r="H328" s="88" t="s">
        <v>1365</v>
      </c>
      <c r="I328" s="88" t="s">
        <v>1366</v>
      </c>
      <c r="J328" s="99" t="s">
        <v>74</v>
      </c>
      <c r="K328" s="100" t="s">
        <v>75</v>
      </c>
      <c r="L328" s="100" t="s">
        <v>76</v>
      </c>
      <c r="M328" s="98"/>
      <c r="N328" s="98"/>
      <c r="O328" s="98"/>
      <c r="P328" s="98"/>
    </row>
    <row r="329" hidden="1">
      <c r="A329" s="96" t="s">
        <v>1215</v>
      </c>
      <c r="B329" s="88" t="s">
        <v>1216</v>
      </c>
      <c r="C329" s="88" t="s">
        <v>1367</v>
      </c>
      <c r="D329" s="98"/>
      <c r="E329" s="88" t="s">
        <v>31</v>
      </c>
      <c r="F329" s="98"/>
      <c r="G329" s="88" t="s">
        <v>1368</v>
      </c>
      <c r="H329" s="88" t="s">
        <v>1369</v>
      </c>
      <c r="I329" s="88" t="s">
        <v>1297</v>
      </c>
      <c r="J329" s="99" t="s">
        <v>74</v>
      </c>
      <c r="K329" s="100" t="s">
        <v>75</v>
      </c>
      <c r="L329" s="100" t="s">
        <v>76</v>
      </c>
      <c r="M329" s="98"/>
      <c r="N329" s="98"/>
      <c r="O329" s="98"/>
      <c r="P329" s="98"/>
    </row>
    <row r="330" hidden="1">
      <c r="A330" s="96" t="s">
        <v>1215</v>
      </c>
      <c r="B330" s="88" t="s">
        <v>1216</v>
      </c>
      <c r="C330" s="88" t="s">
        <v>1370</v>
      </c>
      <c r="D330" s="98"/>
      <c r="E330" s="88" t="s">
        <v>31</v>
      </c>
      <c r="F330" s="98"/>
      <c r="G330" s="88" t="s">
        <v>1371</v>
      </c>
      <c r="H330" s="88" t="s">
        <v>1372</v>
      </c>
      <c r="I330" s="88" t="s">
        <v>1373</v>
      </c>
      <c r="J330" s="99" t="s">
        <v>74</v>
      </c>
      <c r="K330" s="100" t="s">
        <v>75</v>
      </c>
      <c r="L330" s="100" t="s">
        <v>76</v>
      </c>
      <c r="M330" s="98"/>
      <c r="N330" s="98"/>
      <c r="O330" s="98"/>
      <c r="P330" s="98"/>
    </row>
    <row r="331" hidden="1">
      <c r="A331" s="96" t="s">
        <v>1215</v>
      </c>
      <c r="B331" s="88" t="s">
        <v>1216</v>
      </c>
      <c r="C331" s="88" t="s">
        <v>1374</v>
      </c>
      <c r="D331" s="98"/>
      <c r="E331" s="88" t="s">
        <v>31</v>
      </c>
      <c r="F331" s="98"/>
      <c r="G331" s="88" t="s">
        <v>1375</v>
      </c>
      <c r="H331" s="88" t="s">
        <v>1376</v>
      </c>
      <c r="I331" s="88" t="s">
        <v>1377</v>
      </c>
      <c r="J331" s="99" t="s">
        <v>74</v>
      </c>
      <c r="K331" s="100" t="s">
        <v>75</v>
      </c>
      <c r="L331" s="100" t="s">
        <v>76</v>
      </c>
      <c r="M331" s="98"/>
      <c r="N331" s="98"/>
      <c r="O331" s="98"/>
      <c r="P331" s="98"/>
    </row>
    <row r="332" hidden="1">
      <c r="A332" s="96" t="s">
        <v>1215</v>
      </c>
      <c r="B332" s="88" t="s">
        <v>1216</v>
      </c>
      <c r="C332" s="88" t="s">
        <v>1378</v>
      </c>
      <c r="D332" s="98"/>
      <c r="E332" s="88" t="s">
        <v>31</v>
      </c>
      <c r="F332" s="98"/>
      <c r="G332" s="88" t="s">
        <v>1379</v>
      </c>
      <c r="H332" s="88" t="s">
        <v>1380</v>
      </c>
      <c r="I332" s="88" t="s">
        <v>1305</v>
      </c>
      <c r="J332" s="99" t="s">
        <v>74</v>
      </c>
      <c r="K332" s="100" t="s">
        <v>75</v>
      </c>
      <c r="L332" s="100" t="s">
        <v>76</v>
      </c>
      <c r="M332" s="98"/>
      <c r="N332" s="98"/>
      <c r="O332" s="98"/>
      <c r="P332" s="98"/>
    </row>
    <row r="333" hidden="1">
      <c r="A333" s="96" t="s">
        <v>1215</v>
      </c>
      <c r="B333" s="88" t="s">
        <v>1216</v>
      </c>
      <c r="C333" s="88" t="s">
        <v>1381</v>
      </c>
      <c r="D333" s="98"/>
      <c r="E333" s="88" t="s">
        <v>31</v>
      </c>
      <c r="F333" s="98"/>
      <c r="G333" s="88" t="s">
        <v>1382</v>
      </c>
      <c r="H333" s="88" t="s">
        <v>1383</v>
      </c>
      <c r="I333" s="88" t="s">
        <v>1384</v>
      </c>
      <c r="J333" s="99" t="s">
        <v>74</v>
      </c>
      <c r="K333" s="100" t="s">
        <v>75</v>
      </c>
      <c r="L333" s="100" t="s">
        <v>76</v>
      </c>
      <c r="M333" s="98"/>
      <c r="N333" s="98"/>
      <c r="O333" s="98"/>
      <c r="P333" s="98"/>
    </row>
    <row r="334" hidden="1">
      <c r="A334" s="96" t="s">
        <v>1215</v>
      </c>
      <c r="B334" s="88" t="s">
        <v>1216</v>
      </c>
      <c r="C334" s="88" t="s">
        <v>1385</v>
      </c>
      <c r="D334" s="98"/>
      <c r="E334" s="88" t="s">
        <v>31</v>
      </c>
      <c r="F334" s="98"/>
      <c r="G334" s="88" t="s">
        <v>1386</v>
      </c>
      <c r="H334" s="88" t="s">
        <v>1387</v>
      </c>
      <c r="I334" s="88" t="s">
        <v>1297</v>
      </c>
      <c r="J334" s="99" t="s">
        <v>74</v>
      </c>
      <c r="K334" s="100" t="s">
        <v>75</v>
      </c>
      <c r="L334" s="100" t="s">
        <v>76</v>
      </c>
      <c r="M334" s="98"/>
      <c r="N334" s="98"/>
      <c r="O334" s="98"/>
      <c r="P334" s="98"/>
    </row>
    <row r="335" hidden="1">
      <c r="A335" s="96" t="s">
        <v>1215</v>
      </c>
      <c r="B335" s="88" t="s">
        <v>1216</v>
      </c>
      <c r="C335" s="88" t="s">
        <v>1388</v>
      </c>
      <c r="D335" s="98"/>
      <c r="E335" s="88" t="s">
        <v>31</v>
      </c>
      <c r="F335" s="98"/>
      <c r="G335" s="88" t="s">
        <v>1389</v>
      </c>
      <c r="H335" s="88" t="s">
        <v>1390</v>
      </c>
      <c r="I335" s="88" t="s">
        <v>25</v>
      </c>
      <c r="J335" s="99" t="s">
        <v>74</v>
      </c>
      <c r="K335" s="100" t="s">
        <v>75</v>
      </c>
      <c r="L335" s="100" t="s">
        <v>76</v>
      </c>
      <c r="M335" s="98"/>
      <c r="N335" s="98"/>
      <c r="O335" s="98"/>
      <c r="P335" s="98"/>
    </row>
    <row r="336" hidden="1">
      <c r="A336" s="96" t="s">
        <v>1215</v>
      </c>
      <c r="B336" s="88" t="s">
        <v>1216</v>
      </c>
      <c r="C336" s="88" t="s">
        <v>1391</v>
      </c>
      <c r="D336" s="98"/>
      <c r="E336" s="88" t="s">
        <v>31</v>
      </c>
      <c r="F336" s="98"/>
      <c r="G336" s="88" t="s">
        <v>1392</v>
      </c>
      <c r="H336" s="88" t="s">
        <v>1393</v>
      </c>
      <c r="I336" s="88" t="s">
        <v>1394</v>
      </c>
      <c r="J336" s="99" t="s">
        <v>74</v>
      </c>
      <c r="K336" s="100" t="s">
        <v>75</v>
      </c>
      <c r="L336" s="100" t="s">
        <v>76</v>
      </c>
      <c r="M336" s="98"/>
      <c r="N336" s="98"/>
      <c r="O336" s="98"/>
      <c r="P336" s="98"/>
    </row>
    <row r="337" hidden="1">
      <c r="A337" s="96" t="s">
        <v>1215</v>
      </c>
      <c r="B337" s="88" t="s">
        <v>1216</v>
      </c>
      <c r="C337" s="88" t="s">
        <v>1395</v>
      </c>
      <c r="D337" s="98"/>
      <c r="E337" s="88" t="s">
        <v>31</v>
      </c>
      <c r="F337" s="98"/>
      <c r="G337" s="88" t="s">
        <v>1396</v>
      </c>
      <c r="H337" s="88" t="s">
        <v>1397</v>
      </c>
      <c r="I337" s="88" t="s">
        <v>1398</v>
      </c>
      <c r="J337" s="99" t="s">
        <v>74</v>
      </c>
      <c r="K337" s="100" t="s">
        <v>75</v>
      </c>
      <c r="L337" s="100" t="s">
        <v>76</v>
      </c>
      <c r="M337" s="98"/>
      <c r="N337" s="98"/>
      <c r="O337" s="98"/>
      <c r="P337" s="98"/>
    </row>
    <row r="338" hidden="1">
      <c r="A338" s="96" t="s">
        <v>1215</v>
      </c>
      <c r="B338" s="88" t="s">
        <v>1216</v>
      </c>
      <c r="C338" s="88" t="s">
        <v>1399</v>
      </c>
      <c r="D338" s="98"/>
      <c r="E338" s="88" t="s">
        <v>31</v>
      </c>
      <c r="F338" s="98"/>
      <c r="G338" s="88" t="s">
        <v>1400</v>
      </c>
      <c r="H338" s="88" t="s">
        <v>1401</v>
      </c>
      <c r="I338" s="88" t="s">
        <v>1402</v>
      </c>
      <c r="J338" s="99" t="s">
        <v>74</v>
      </c>
      <c r="K338" s="100" t="s">
        <v>75</v>
      </c>
      <c r="L338" s="100" t="s">
        <v>76</v>
      </c>
      <c r="M338" s="98"/>
      <c r="N338" s="98"/>
      <c r="O338" s="98"/>
      <c r="P338" s="98"/>
    </row>
    <row r="339" hidden="1">
      <c r="A339" s="96" t="s">
        <v>1215</v>
      </c>
      <c r="B339" s="88" t="s">
        <v>1216</v>
      </c>
      <c r="C339" s="88" t="s">
        <v>1403</v>
      </c>
      <c r="D339" s="98"/>
      <c r="E339" s="88" t="s">
        <v>31</v>
      </c>
      <c r="F339" s="98"/>
      <c r="G339" s="88" t="s">
        <v>1404</v>
      </c>
      <c r="H339" s="88" t="s">
        <v>1405</v>
      </c>
      <c r="I339" s="88" t="s">
        <v>1406</v>
      </c>
      <c r="J339" s="99" t="s">
        <v>74</v>
      </c>
      <c r="K339" s="100" t="s">
        <v>75</v>
      </c>
      <c r="L339" s="100" t="s">
        <v>76</v>
      </c>
      <c r="M339" s="98"/>
      <c r="N339" s="98"/>
      <c r="O339" s="98"/>
      <c r="P339" s="98"/>
    </row>
    <row r="340" hidden="1">
      <c r="A340" s="96" t="s">
        <v>1215</v>
      </c>
      <c r="B340" s="88" t="s">
        <v>1407</v>
      </c>
      <c r="C340" s="88" t="s">
        <v>1408</v>
      </c>
      <c r="D340" s="98"/>
      <c r="E340" s="88" t="s">
        <v>31</v>
      </c>
      <c r="F340" s="98"/>
      <c r="G340" s="88" t="s">
        <v>1409</v>
      </c>
      <c r="H340" s="88" t="s">
        <v>1410</v>
      </c>
      <c r="I340" s="88" t="s">
        <v>1411</v>
      </c>
      <c r="J340" s="99" t="s">
        <v>74</v>
      </c>
      <c r="K340" s="100" t="s">
        <v>75</v>
      </c>
      <c r="L340" s="100" t="s">
        <v>76</v>
      </c>
      <c r="M340" s="98"/>
      <c r="N340" s="98"/>
      <c r="O340" s="98"/>
      <c r="P340" s="98"/>
    </row>
    <row r="341" hidden="1">
      <c r="A341" s="96" t="s">
        <v>1215</v>
      </c>
      <c r="B341" s="88" t="s">
        <v>1407</v>
      </c>
      <c r="C341" s="88" t="s">
        <v>1412</v>
      </c>
      <c r="D341" s="98"/>
      <c r="E341" s="88" t="s">
        <v>31</v>
      </c>
      <c r="F341" s="98"/>
      <c r="G341" s="88" t="s">
        <v>1413</v>
      </c>
      <c r="H341" s="88" t="s">
        <v>1414</v>
      </c>
      <c r="I341" s="88" t="s">
        <v>1415</v>
      </c>
      <c r="J341" s="99" t="s">
        <v>74</v>
      </c>
      <c r="K341" s="100" t="s">
        <v>75</v>
      </c>
      <c r="L341" s="100" t="s">
        <v>76</v>
      </c>
      <c r="M341" s="98"/>
      <c r="N341" s="98"/>
      <c r="O341" s="98"/>
      <c r="P341" s="98"/>
    </row>
    <row r="342" hidden="1">
      <c r="A342" s="96" t="s">
        <v>1215</v>
      </c>
      <c r="B342" s="88" t="s">
        <v>1407</v>
      </c>
      <c r="C342" s="88" t="s">
        <v>1416</v>
      </c>
      <c r="D342" s="98"/>
      <c r="E342" s="88" t="s">
        <v>31</v>
      </c>
      <c r="F342" s="98"/>
      <c r="G342" s="88" t="s">
        <v>1417</v>
      </c>
      <c r="H342" s="88" t="s">
        <v>1418</v>
      </c>
      <c r="I342" s="88" t="s">
        <v>1419</v>
      </c>
      <c r="J342" s="99" t="s">
        <v>74</v>
      </c>
      <c r="K342" s="100" t="s">
        <v>75</v>
      </c>
      <c r="L342" s="100" t="s">
        <v>76</v>
      </c>
      <c r="M342" s="98"/>
      <c r="N342" s="98"/>
      <c r="O342" s="98"/>
      <c r="P342" s="98"/>
    </row>
    <row r="343" hidden="1">
      <c r="A343" s="96" t="s">
        <v>1420</v>
      </c>
      <c r="B343" s="102" t="s">
        <v>1421</v>
      </c>
      <c r="C343" s="88" t="s">
        <v>1422</v>
      </c>
      <c r="D343" s="98"/>
      <c r="E343" s="88" t="s">
        <v>1423</v>
      </c>
      <c r="F343" s="98"/>
      <c r="G343" s="88" t="s">
        <v>1424</v>
      </c>
      <c r="H343" s="105" t="s">
        <v>1425</v>
      </c>
      <c r="I343" s="88" t="s">
        <v>1426</v>
      </c>
      <c r="J343" s="99" t="s">
        <v>74</v>
      </c>
      <c r="K343" s="100" t="s">
        <v>25</v>
      </c>
      <c r="L343" s="100" t="s">
        <v>25</v>
      </c>
      <c r="M343" s="91" t="s">
        <v>1427</v>
      </c>
      <c r="N343" s="98"/>
      <c r="O343" s="98"/>
      <c r="P343" s="98"/>
    </row>
    <row r="344" hidden="1">
      <c r="A344" s="96" t="s">
        <v>1420</v>
      </c>
      <c r="B344" s="101"/>
      <c r="C344" s="88" t="s">
        <v>1428</v>
      </c>
      <c r="D344" s="98"/>
      <c r="E344" s="88" t="s">
        <v>1423</v>
      </c>
      <c r="F344" s="98"/>
      <c r="G344" s="88" t="s">
        <v>1429</v>
      </c>
      <c r="H344" s="105" t="s">
        <v>1430</v>
      </c>
      <c r="I344" s="88" t="s">
        <v>1431</v>
      </c>
      <c r="J344" s="99" t="s">
        <v>74</v>
      </c>
      <c r="K344" s="100" t="s">
        <v>25</v>
      </c>
      <c r="L344" s="100" t="s">
        <v>25</v>
      </c>
      <c r="M344" s="91" t="s">
        <v>1427</v>
      </c>
      <c r="N344" s="98"/>
      <c r="O344" s="98"/>
      <c r="P344" s="98"/>
    </row>
    <row r="345" hidden="1">
      <c r="A345" s="96" t="s">
        <v>1420</v>
      </c>
      <c r="B345" s="101"/>
      <c r="C345" s="88" t="s">
        <v>1432</v>
      </c>
      <c r="D345" s="98"/>
      <c r="E345" s="88" t="s">
        <v>1423</v>
      </c>
      <c r="F345" s="98"/>
      <c r="G345" s="88" t="s">
        <v>1433</v>
      </c>
      <c r="H345" s="105" t="s">
        <v>1434</v>
      </c>
      <c r="I345" s="88" t="s">
        <v>1435</v>
      </c>
      <c r="J345" s="99" t="s">
        <v>74</v>
      </c>
      <c r="K345" s="100" t="s">
        <v>25</v>
      </c>
      <c r="L345" s="100" t="s">
        <v>25</v>
      </c>
      <c r="M345" s="91" t="s">
        <v>1427</v>
      </c>
      <c r="N345" s="98"/>
      <c r="O345" s="98"/>
      <c r="P345" s="98"/>
    </row>
    <row r="346" hidden="1">
      <c r="A346" s="96" t="s">
        <v>1420</v>
      </c>
      <c r="B346" s="101"/>
      <c r="C346" s="88" t="s">
        <v>1436</v>
      </c>
      <c r="D346" s="98"/>
      <c r="E346" s="88" t="s">
        <v>1423</v>
      </c>
      <c r="F346" s="98"/>
      <c r="G346" s="88" t="s">
        <v>1437</v>
      </c>
      <c r="H346" s="105" t="s">
        <v>1438</v>
      </c>
      <c r="I346" s="88" t="s">
        <v>1439</v>
      </c>
      <c r="J346" s="99" t="s">
        <v>74</v>
      </c>
      <c r="K346" s="100" t="s">
        <v>25</v>
      </c>
      <c r="L346" s="100" t="s">
        <v>25</v>
      </c>
      <c r="M346" s="91" t="s">
        <v>1427</v>
      </c>
      <c r="N346" s="98"/>
      <c r="O346" s="98"/>
      <c r="P346" s="98"/>
    </row>
    <row r="347" hidden="1">
      <c r="A347" s="96" t="s">
        <v>1440</v>
      </c>
      <c r="B347" s="102" t="s">
        <v>1441</v>
      </c>
      <c r="C347" s="88" t="s">
        <v>1442</v>
      </c>
      <c r="D347" s="98"/>
      <c r="E347" s="88" t="s">
        <v>39</v>
      </c>
      <c r="F347" s="98"/>
      <c r="G347" s="88" t="s">
        <v>1443</v>
      </c>
      <c r="H347" s="88" t="s">
        <v>1444</v>
      </c>
      <c r="I347" s="88" t="s">
        <v>1445</v>
      </c>
      <c r="J347" s="99" t="s">
        <v>74</v>
      </c>
      <c r="K347" s="100" t="s">
        <v>75</v>
      </c>
      <c r="L347" s="100" t="s">
        <v>76</v>
      </c>
      <c r="M347" s="98"/>
      <c r="N347" s="98"/>
      <c r="O347" s="98"/>
      <c r="P347" s="98"/>
    </row>
    <row r="348" hidden="1">
      <c r="A348" s="96" t="s">
        <v>1440</v>
      </c>
      <c r="B348" s="101"/>
      <c r="C348" s="88" t="s">
        <v>1446</v>
      </c>
      <c r="D348" s="98"/>
      <c r="E348" s="88" t="s">
        <v>39</v>
      </c>
      <c r="F348" s="98"/>
      <c r="G348" s="88" t="s">
        <v>1447</v>
      </c>
      <c r="H348" s="88" t="s">
        <v>1448</v>
      </c>
      <c r="I348" s="88" t="s">
        <v>1445</v>
      </c>
      <c r="J348" s="99" t="s">
        <v>74</v>
      </c>
      <c r="K348" s="100" t="s">
        <v>75</v>
      </c>
      <c r="L348" s="100" t="s">
        <v>76</v>
      </c>
      <c r="M348" s="98"/>
      <c r="N348" s="98"/>
      <c r="O348" s="98"/>
      <c r="P348" s="98"/>
    </row>
    <row r="349" hidden="1">
      <c r="A349" s="96" t="s">
        <v>1440</v>
      </c>
      <c r="B349" s="101"/>
      <c r="C349" s="88" t="s">
        <v>1449</v>
      </c>
      <c r="D349" s="98"/>
      <c r="E349" s="88" t="s">
        <v>39</v>
      </c>
      <c r="F349" s="98"/>
      <c r="G349" s="88" t="s">
        <v>1450</v>
      </c>
      <c r="H349" s="88" t="s">
        <v>1451</v>
      </c>
      <c r="I349" s="88" t="s">
        <v>1445</v>
      </c>
      <c r="J349" s="99" t="s">
        <v>74</v>
      </c>
      <c r="K349" s="100" t="s">
        <v>75</v>
      </c>
      <c r="L349" s="100" t="s">
        <v>76</v>
      </c>
      <c r="M349" s="98"/>
      <c r="N349" s="98"/>
      <c r="O349" s="98"/>
      <c r="P349" s="98"/>
    </row>
    <row r="350" hidden="1">
      <c r="A350" s="96" t="s">
        <v>1440</v>
      </c>
      <c r="B350" s="101"/>
      <c r="C350" s="88" t="s">
        <v>1452</v>
      </c>
      <c r="D350" s="98"/>
      <c r="E350" s="88" t="s">
        <v>39</v>
      </c>
      <c r="F350" s="98"/>
      <c r="G350" s="88" t="s">
        <v>1453</v>
      </c>
      <c r="H350" s="88" t="s">
        <v>1454</v>
      </c>
      <c r="I350" s="88" t="s">
        <v>1455</v>
      </c>
      <c r="J350" s="99" t="s">
        <v>74</v>
      </c>
      <c r="K350" s="100" t="s">
        <v>75</v>
      </c>
      <c r="L350" s="100" t="s">
        <v>76</v>
      </c>
      <c r="M350" s="98"/>
      <c r="N350" s="98"/>
      <c r="O350" s="98"/>
      <c r="P350" s="98"/>
    </row>
    <row r="351" hidden="1">
      <c r="A351" s="96" t="s">
        <v>1440</v>
      </c>
      <c r="B351" s="101"/>
      <c r="C351" s="88" t="s">
        <v>1456</v>
      </c>
      <c r="D351" s="98"/>
      <c r="E351" s="88" t="s">
        <v>39</v>
      </c>
      <c r="F351" s="98"/>
      <c r="G351" s="88" t="s">
        <v>1457</v>
      </c>
      <c r="H351" s="88" t="s">
        <v>1454</v>
      </c>
      <c r="I351" s="88" t="s">
        <v>1455</v>
      </c>
      <c r="J351" s="99" t="s">
        <v>74</v>
      </c>
      <c r="K351" s="100" t="s">
        <v>25</v>
      </c>
      <c r="L351" s="100" t="s">
        <v>25</v>
      </c>
      <c r="M351" s="98"/>
      <c r="N351" s="98"/>
      <c r="O351" s="98"/>
      <c r="P351" s="98"/>
    </row>
    <row r="352" hidden="1">
      <c r="A352" s="96" t="s">
        <v>1440</v>
      </c>
      <c r="B352" s="101"/>
      <c r="C352" s="88" t="s">
        <v>1458</v>
      </c>
      <c r="D352" s="98"/>
      <c r="E352" s="88" t="s">
        <v>39</v>
      </c>
      <c r="F352" s="98"/>
      <c r="G352" s="88" t="s">
        <v>1459</v>
      </c>
      <c r="H352" s="88" t="s">
        <v>1460</v>
      </c>
      <c r="I352" s="88" t="s">
        <v>1461</v>
      </c>
      <c r="J352" s="99" t="s">
        <v>74</v>
      </c>
      <c r="K352" s="100" t="s">
        <v>75</v>
      </c>
      <c r="L352" s="100" t="s">
        <v>76</v>
      </c>
      <c r="M352" s="91" t="s">
        <v>1462</v>
      </c>
      <c r="N352" s="98"/>
      <c r="O352" s="98"/>
      <c r="P352" s="98"/>
    </row>
    <row r="353" hidden="1">
      <c r="A353" s="96" t="s">
        <v>1440</v>
      </c>
      <c r="B353" s="101"/>
      <c r="C353" s="88" t="s">
        <v>1463</v>
      </c>
      <c r="D353" s="98"/>
      <c r="E353" s="88" t="s">
        <v>39</v>
      </c>
      <c r="F353" s="98"/>
      <c r="G353" s="88" t="s">
        <v>1464</v>
      </c>
      <c r="H353" s="88" t="s">
        <v>1460</v>
      </c>
      <c r="I353" s="88" t="s">
        <v>1465</v>
      </c>
      <c r="J353" s="99" t="s">
        <v>74</v>
      </c>
      <c r="K353" s="100" t="s">
        <v>75</v>
      </c>
      <c r="L353" s="100" t="s">
        <v>76</v>
      </c>
      <c r="M353" s="98"/>
      <c r="N353" s="98"/>
      <c r="O353" s="98"/>
      <c r="P353" s="98"/>
    </row>
    <row r="354" hidden="1">
      <c r="A354" s="96" t="s">
        <v>1440</v>
      </c>
      <c r="B354" s="101"/>
      <c r="C354" s="88" t="s">
        <v>1466</v>
      </c>
      <c r="D354" s="98"/>
      <c r="E354" s="88" t="s">
        <v>39</v>
      </c>
      <c r="F354" s="98"/>
      <c r="G354" s="88" t="s">
        <v>1467</v>
      </c>
      <c r="H354" s="88" t="s">
        <v>1460</v>
      </c>
      <c r="I354" s="88" t="s">
        <v>1468</v>
      </c>
      <c r="J354" s="99" t="s">
        <v>74</v>
      </c>
      <c r="K354" s="100" t="s">
        <v>75</v>
      </c>
      <c r="L354" s="100" t="s">
        <v>76</v>
      </c>
      <c r="M354" s="98"/>
      <c r="N354" s="98"/>
      <c r="O354" s="98"/>
      <c r="P354" s="98"/>
    </row>
    <row r="355" hidden="1">
      <c r="A355" s="96" t="s">
        <v>1440</v>
      </c>
      <c r="B355" s="101"/>
      <c r="C355" s="88" t="s">
        <v>1469</v>
      </c>
      <c r="D355" s="98"/>
      <c r="E355" s="88" t="s">
        <v>39</v>
      </c>
      <c r="F355" s="98"/>
      <c r="G355" s="88" t="s">
        <v>1470</v>
      </c>
      <c r="H355" s="88" t="s">
        <v>1471</v>
      </c>
      <c r="I355" s="88" t="s">
        <v>1472</v>
      </c>
      <c r="J355" s="99" t="s">
        <v>74</v>
      </c>
      <c r="K355" s="100" t="s">
        <v>75</v>
      </c>
      <c r="L355" s="100" t="s">
        <v>76</v>
      </c>
      <c r="M355" s="98"/>
      <c r="N355" s="98"/>
      <c r="O355" s="98"/>
      <c r="P355" s="98"/>
    </row>
    <row r="356" hidden="1">
      <c r="A356" s="96" t="s">
        <v>1440</v>
      </c>
      <c r="B356" s="101"/>
      <c r="C356" s="88" t="s">
        <v>1473</v>
      </c>
      <c r="D356" s="98"/>
      <c r="E356" s="88" t="s">
        <v>39</v>
      </c>
      <c r="F356" s="98"/>
      <c r="G356" s="88" t="s">
        <v>1474</v>
      </c>
      <c r="H356" s="88" t="s">
        <v>1475</v>
      </c>
      <c r="I356" s="88" t="s">
        <v>1476</v>
      </c>
      <c r="J356" s="99" t="s">
        <v>74</v>
      </c>
      <c r="K356" s="100" t="s">
        <v>75</v>
      </c>
      <c r="L356" s="100" t="s">
        <v>76</v>
      </c>
      <c r="M356" s="98"/>
      <c r="N356" s="98"/>
      <c r="O356" s="98"/>
      <c r="P356" s="98"/>
    </row>
    <row r="357" hidden="1">
      <c r="A357" s="96" t="s">
        <v>1440</v>
      </c>
      <c r="B357" s="101"/>
      <c r="C357" s="88" t="s">
        <v>1477</v>
      </c>
      <c r="D357" s="98"/>
      <c r="E357" s="88" t="s">
        <v>39</v>
      </c>
      <c r="F357" s="98"/>
      <c r="G357" s="88" t="s">
        <v>1478</v>
      </c>
      <c r="H357" s="88" t="s">
        <v>1479</v>
      </c>
      <c r="I357" s="88" t="s">
        <v>1480</v>
      </c>
      <c r="J357" s="99" t="s">
        <v>74</v>
      </c>
      <c r="K357" s="100" t="s">
        <v>75</v>
      </c>
      <c r="L357" s="100" t="s">
        <v>76</v>
      </c>
      <c r="M357" s="91" t="s">
        <v>1462</v>
      </c>
      <c r="N357" s="98"/>
      <c r="O357" s="98"/>
      <c r="P357" s="98"/>
    </row>
    <row r="358" hidden="1">
      <c r="A358" s="96" t="s">
        <v>1440</v>
      </c>
      <c r="B358" s="101"/>
      <c r="C358" s="88" t="s">
        <v>1481</v>
      </c>
      <c r="D358" s="98"/>
      <c r="E358" s="88" t="s">
        <v>39</v>
      </c>
      <c r="F358" s="98"/>
      <c r="G358" s="88" t="s">
        <v>1482</v>
      </c>
      <c r="H358" s="88" t="s">
        <v>1483</v>
      </c>
      <c r="I358" s="88" t="s">
        <v>1484</v>
      </c>
      <c r="J358" s="99" t="s">
        <v>74</v>
      </c>
      <c r="K358" s="100" t="s">
        <v>75</v>
      </c>
      <c r="L358" s="100" t="s">
        <v>76</v>
      </c>
      <c r="M358" s="91" t="s">
        <v>1462</v>
      </c>
      <c r="N358" s="98"/>
      <c r="O358" s="98"/>
      <c r="P358" s="98"/>
    </row>
    <row r="359" hidden="1">
      <c r="A359" s="96" t="s">
        <v>1440</v>
      </c>
      <c r="B359" s="101"/>
      <c r="C359" s="88" t="s">
        <v>1485</v>
      </c>
      <c r="D359" s="98"/>
      <c r="E359" s="88" t="s">
        <v>39</v>
      </c>
      <c r="F359" s="98"/>
      <c r="G359" s="88" t="s">
        <v>1486</v>
      </c>
      <c r="H359" s="88" t="s">
        <v>1487</v>
      </c>
      <c r="I359" s="88" t="s">
        <v>1488</v>
      </c>
      <c r="J359" s="99" t="s">
        <v>74</v>
      </c>
      <c r="K359" s="100" t="s">
        <v>75</v>
      </c>
      <c r="L359" s="100" t="s">
        <v>76</v>
      </c>
      <c r="M359" s="98"/>
      <c r="N359" s="98"/>
      <c r="O359" s="98"/>
      <c r="P359" s="98"/>
    </row>
    <row r="360" hidden="1">
      <c r="A360" s="96" t="s">
        <v>1440</v>
      </c>
      <c r="B360" s="101"/>
      <c r="C360" s="88" t="s">
        <v>1489</v>
      </c>
      <c r="D360" s="98"/>
      <c r="E360" s="88" t="s">
        <v>39</v>
      </c>
      <c r="F360" s="98"/>
      <c r="G360" s="88" t="s">
        <v>1490</v>
      </c>
      <c r="H360" s="88" t="s">
        <v>1491</v>
      </c>
      <c r="I360" s="88" t="s">
        <v>1492</v>
      </c>
      <c r="J360" s="99" t="s">
        <v>74</v>
      </c>
      <c r="K360" s="100" t="s">
        <v>75</v>
      </c>
      <c r="L360" s="100" t="s">
        <v>76</v>
      </c>
      <c r="M360" s="98"/>
      <c r="N360" s="98"/>
      <c r="O360" s="98"/>
      <c r="P360" s="98"/>
    </row>
    <row r="361" hidden="1">
      <c r="A361" s="96" t="s">
        <v>1440</v>
      </c>
      <c r="B361" s="101"/>
      <c r="C361" s="88" t="s">
        <v>1493</v>
      </c>
      <c r="D361" s="98"/>
      <c r="E361" s="88" t="s">
        <v>39</v>
      </c>
      <c r="F361" s="98"/>
      <c r="G361" s="88" t="s">
        <v>1494</v>
      </c>
      <c r="H361" s="88" t="s">
        <v>1495</v>
      </c>
      <c r="I361" s="88" t="s">
        <v>1496</v>
      </c>
      <c r="J361" s="99" t="s">
        <v>74</v>
      </c>
      <c r="K361" s="100" t="s">
        <v>75</v>
      </c>
      <c r="L361" s="100" t="s">
        <v>76</v>
      </c>
      <c r="M361" s="98"/>
      <c r="N361" s="98"/>
      <c r="O361" s="98"/>
      <c r="P361" s="98"/>
    </row>
    <row r="362" hidden="1">
      <c r="A362" s="96" t="s">
        <v>1440</v>
      </c>
      <c r="B362" s="101"/>
      <c r="C362" s="88" t="s">
        <v>1497</v>
      </c>
      <c r="D362" s="98"/>
      <c r="E362" s="88" t="s">
        <v>39</v>
      </c>
      <c r="F362" s="98"/>
      <c r="G362" s="88" t="s">
        <v>1498</v>
      </c>
      <c r="H362" s="88" t="s">
        <v>1499</v>
      </c>
      <c r="I362" s="88" t="s">
        <v>1500</v>
      </c>
      <c r="J362" s="99" t="s">
        <v>74</v>
      </c>
      <c r="K362" s="100" t="s">
        <v>75</v>
      </c>
      <c r="L362" s="100" t="s">
        <v>76</v>
      </c>
      <c r="M362" s="98"/>
      <c r="N362" s="98"/>
      <c r="O362" s="98"/>
      <c r="P362" s="98"/>
    </row>
    <row r="363" hidden="1">
      <c r="A363" s="96" t="s">
        <v>1440</v>
      </c>
      <c r="B363" s="101"/>
      <c r="C363" s="88" t="s">
        <v>1501</v>
      </c>
      <c r="D363" s="98"/>
      <c r="E363" s="88" t="s">
        <v>39</v>
      </c>
      <c r="F363" s="98"/>
      <c r="G363" s="88" t="s">
        <v>1502</v>
      </c>
      <c r="H363" s="88" t="s">
        <v>1503</v>
      </c>
      <c r="I363" s="88" t="s">
        <v>1504</v>
      </c>
      <c r="J363" s="99" t="s">
        <v>74</v>
      </c>
      <c r="K363" s="100" t="s">
        <v>75</v>
      </c>
      <c r="L363" s="100" t="s">
        <v>76</v>
      </c>
      <c r="M363" s="98"/>
      <c r="N363" s="98"/>
      <c r="O363" s="98"/>
      <c r="P363" s="98"/>
    </row>
    <row r="364" hidden="1">
      <c r="A364" s="96" t="s">
        <v>1440</v>
      </c>
      <c r="B364" s="101"/>
      <c r="C364" s="88" t="s">
        <v>1505</v>
      </c>
      <c r="D364" s="98"/>
      <c r="E364" s="88" t="s">
        <v>39</v>
      </c>
      <c r="F364" s="98"/>
      <c r="G364" s="88" t="s">
        <v>1506</v>
      </c>
      <c r="H364" s="88" t="s">
        <v>1507</v>
      </c>
      <c r="I364" s="88" t="s">
        <v>1508</v>
      </c>
      <c r="J364" s="99" t="s">
        <v>74</v>
      </c>
      <c r="K364" s="100" t="s">
        <v>75</v>
      </c>
      <c r="L364" s="100" t="s">
        <v>76</v>
      </c>
      <c r="M364" s="98"/>
      <c r="N364" s="98"/>
      <c r="O364" s="98"/>
      <c r="P364" s="98"/>
    </row>
    <row r="365" hidden="1">
      <c r="A365" s="96" t="s">
        <v>1440</v>
      </c>
      <c r="B365" s="101"/>
      <c r="C365" s="88" t="s">
        <v>1509</v>
      </c>
      <c r="D365" s="98"/>
      <c r="E365" s="88" t="s">
        <v>39</v>
      </c>
      <c r="F365" s="98"/>
      <c r="G365" s="88" t="s">
        <v>1510</v>
      </c>
      <c r="H365" s="88" t="s">
        <v>1511</v>
      </c>
      <c r="I365" s="88" t="s">
        <v>1512</v>
      </c>
      <c r="J365" s="99" t="s">
        <v>74</v>
      </c>
      <c r="K365" s="100" t="s">
        <v>75</v>
      </c>
      <c r="L365" s="100" t="s">
        <v>76</v>
      </c>
      <c r="M365" s="98"/>
      <c r="N365" s="98"/>
      <c r="O365" s="98"/>
      <c r="P365" s="98"/>
    </row>
    <row r="366" hidden="1">
      <c r="A366" s="96" t="s">
        <v>1440</v>
      </c>
      <c r="B366" s="101"/>
      <c r="C366" s="88" t="s">
        <v>1513</v>
      </c>
      <c r="D366" s="98"/>
      <c r="E366" s="88" t="s">
        <v>39</v>
      </c>
      <c r="F366" s="98"/>
      <c r="G366" s="88" t="s">
        <v>1514</v>
      </c>
      <c r="H366" s="88" t="s">
        <v>1515</v>
      </c>
      <c r="I366" s="88" t="s">
        <v>1516</v>
      </c>
      <c r="J366" s="99" t="s">
        <v>74</v>
      </c>
      <c r="K366" s="100" t="s">
        <v>75</v>
      </c>
      <c r="L366" s="100" t="s">
        <v>76</v>
      </c>
      <c r="M366" s="98"/>
      <c r="N366" s="98"/>
      <c r="O366" s="98"/>
      <c r="P366" s="98"/>
    </row>
    <row r="367" hidden="1">
      <c r="A367" s="96" t="s">
        <v>1440</v>
      </c>
      <c r="B367" s="101"/>
      <c r="C367" s="88" t="s">
        <v>1517</v>
      </c>
      <c r="D367" s="98"/>
      <c r="E367" s="88" t="s">
        <v>39</v>
      </c>
      <c r="F367" s="98"/>
      <c r="G367" s="88" t="s">
        <v>1518</v>
      </c>
      <c r="H367" s="88" t="s">
        <v>1519</v>
      </c>
      <c r="I367" s="88" t="s">
        <v>1520</v>
      </c>
      <c r="J367" s="99" t="s">
        <v>74</v>
      </c>
      <c r="K367" s="100" t="s">
        <v>75</v>
      </c>
      <c r="L367" s="100" t="s">
        <v>76</v>
      </c>
      <c r="M367" s="98"/>
      <c r="N367" s="98"/>
      <c r="O367" s="98"/>
      <c r="P367" s="98"/>
    </row>
    <row r="368" hidden="1">
      <c r="A368" s="96" t="s">
        <v>1440</v>
      </c>
      <c r="B368" s="101"/>
      <c r="C368" s="88" t="s">
        <v>1521</v>
      </c>
      <c r="D368" s="98"/>
      <c r="E368" s="88" t="s">
        <v>39</v>
      </c>
      <c r="F368" s="98"/>
      <c r="G368" s="88" t="s">
        <v>1522</v>
      </c>
      <c r="H368" s="88" t="s">
        <v>1523</v>
      </c>
      <c r="I368" s="88" t="s">
        <v>1524</v>
      </c>
      <c r="J368" s="99" t="s">
        <v>74</v>
      </c>
      <c r="K368" s="100" t="s">
        <v>25</v>
      </c>
      <c r="L368" s="100" t="s">
        <v>25</v>
      </c>
      <c r="M368" s="98"/>
      <c r="N368" s="98"/>
      <c r="O368" s="98"/>
      <c r="P368" s="98"/>
    </row>
    <row r="369" hidden="1">
      <c r="A369" s="96" t="s">
        <v>1440</v>
      </c>
      <c r="B369" s="101"/>
      <c r="C369" s="88" t="s">
        <v>1525</v>
      </c>
      <c r="D369" s="98"/>
      <c r="E369" s="88" t="s">
        <v>39</v>
      </c>
      <c r="F369" s="98"/>
      <c r="G369" s="88" t="s">
        <v>1526</v>
      </c>
      <c r="H369" s="88" t="s">
        <v>1527</v>
      </c>
      <c r="I369" s="88" t="s">
        <v>1528</v>
      </c>
      <c r="J369" s="99" t="s">
        <v>74</v>
      </c>
      <c r="K369" s="100" t="s">
        <v>75</v>
      </c>
      <c r="L369" s="100" t="s">
        <v>76</v>
      </c>
      <c r="M369" s="91" t="s">
        <v>1462</v>
      </c>
      <c r="N369" s="98"/>
      <c r="O369" s="98"/>
      <c r="P369" s="98"/>
    </row>
    <row r="370" hidden="1">
      <c r="A370" s="96" t="s">
        <v>1440</v>
      </c>
      <c r="B370" s="101"/>
      <c r="C370" s="88" t="s">
        <v>1529</v>
      </c>
      <c r="D370" s="98"/>
      <c r="E370" s="88" t="s">
        <v>39</v>
      </c>
      <c r="F370" s="98"/>
      <c r="G370" s="88" t="s">
        <v>1530</v>
      </c>
      <c r="H370" s="88" t="s">
        <v>1531</v>
      </c>
      <c r="I370" s="88" t="s">
        <v>1532</v>
      </c>
      <c r="J370" s="99" t="s">
        <v>74</v>
      </c>
      <c r="K370" s="100" t="s">
        <v>25</v>
      </c>
      <c r="L370" s="100" t="s">
        <v>25</v>
      </c>
      <c r="M370" s="98"/>
      <c r="N370" s="98"/>
      <c r="O370" s="98"/>
      <c r="P370" s="98"/>
    </row>
    <row r="371" hidden="1">
      <c r="A371" s="96" t="s">
        <v>1440</v>
      </c>
      <c r="B371" s="101"/>
      <c r="C371" s="88" t="s">
        <v>1533</v>
      </c>
      <c r="D371" s="98"/>
      <c r="E371" s="88" t="s">
        <v>39</v>
      </c>
      <c r="F371" s="98"/>
      <c r="G371" s="88" t="s">
        <v>1534</v>
      </c>
      <c r="H371" s="88" t="s">
        <v>1535</v>
      </c>
      <c r="I371" s="88" t="s">
        <v>1536</v>
      </c>
      <c r="J371" s="99" t="s">
        <v>74</v>
      </c>
      <c r="K371" s="100" t="s">
        <v>25</v>
      </c>
      <c r="L371" s="100" t="s">
        <v>25</v>
      </c>
      <c r="M371" s="98"/>
      <c r="N371" s="98"/>
      <c r="O371" s="98"/>
      <c r="P371" s="98"/>
    </row>
    <row r="372" hidden="1">
      <c r="A372" s="96" t="s">
        <v>1440</v>
      </c>
      <c r="B372" s="101"/>
      <c r="C372" s="88" t="s">
        <v>1537</v>
      </c>
      <c r="D372" s="98"/>
      <c r="E372" s="88" t="s">
        <v>39</v>
      </c>
      <c r="F372" s="98"/>
      <c r="G372" s="88" t="s">
        <v>1538</v>
      </c>
      <c r="H372" s="88" t="s">
        <v>1539</v>
      </c>
      <c r="I372" s="88" t="s">
        <v>1540</v>
      </c>
      <c r="J372" s="99" t="s">
        <v>74</v>
      </c>
      <c r="K372" s="100" t="s">
        <v>25</v>
      </c>
      <c r="L372" s="100" t="s">
        <v>25</v>
      </c>
      <c r="M372" s="98"/>
      <c r="N372" s="98"/>
      <c r="O372" s="98"/>
      <c r="P372" s="98"/>
    </row>
    <row r="373" hidden="1">
      <c r="A373" s="96" t="s">
        <v>1541</v>
      </c>
      <c r="B373" s="102" t="s">
        <v>1542</v>
      </c>
      <c r="C373" s="88" t="s">
        <v>1543</v>
      </c>
      <c r="D373" s="98"/>
      <c r="E373" s="88" t="s">
        <v>1126</v>
      </c>
      <c r="F373" s="98"/>
      <c r="G373" s="88" t="s">
        <v>1544</v>
      </c>
      <c r="H373" s="88" t="s">
        <v>1545</v>
      </c>
      <c r="I373" s="88" t="s">
        <v>1546</v>
      </c>
      <c r="J373" s="99" t="s">
        <v>74</v>
      </c>
      <c r="K373" s="100" t="s">
        <v>75</v>
      </c>
      <c r="L373" s="100" t="s">
        <v>76</v>
      </c>
      <c r="M373" s="98"/>
      <c r="N373" s="98"/>
      <c r="O373" s="98"/>
      <c r="P373" s="98"/>
    </row>
    <row r="374" hidden="1">
      <c r="A374" s="96" t="s">
        <v>1541</v>
      </c>
      <c r="B374" s="101"/>
      <c r="C374" s="88" t="s">
        <v>1547</v>
      </c>
      <c r="D374" s="98"/>
      <c r="E374" s="88" t="s">
        <v>1126</v>
      </c>
      <c r="F374" s="98"/>
      <c r="G374" s="88" t="s">
        <v>1548</v>
      </c>
      <c r="H374" s="88" t="s">
        <v>1545</v>
      </c>
      <c r="I374" s="88" t="s">
        <v>1546</v>
      </c>
      <c r="J374" s="99" t="s">
        <v>74</v>
      </c>
      <c r="K374" s="100" t="s">
        <v>75</v>
      </c>
      <c r="L374" s="100" t="s">
        <v>76</v>
      </c>
      <c r="M374" s="98"/>
      <c r="N374" s="98"/>
      <c r="O374" s="98"/>
      <c r="P374" s="98"/>
    </row>
    <row r="375" hidden="1">
      <c r="A375" s="96" t="s">
        <v>1541</v>
      </c>
      <c r="B375" s="101"/>
      <c r="C375" s="88" t="s">
        <v>1549</v>
      </c>
      <c r="D375" s="98"/>
      <c r="E375" s="88" t="s">
        <v>1126</v>
      </c>
      <c r="F375" s="98"/>
      <c r="G375" s="88" t="s">
        <v>1550</v>
      </c>
      <c r="H375" s="88" t="s">
        <v>1551</v>
      </c>
      <c r="I375" s="88" t="s">
        <v>1546</v>
      </c>
      <c r="J375" s="99" t="s">
        <v>74</v>
      </c>
      <c r="K375" s="100" t="s">
        <v>75</v>
      </c>
      <c r="L375" s="100" t="s">
        <v>76</v>
      </c>
      <c r="M375" s="98"/>
      <c r="N375" s="98"/>
      <c r="O375" s="98"/>
      <c r="P375" s="98"/>
    </row>
    <row r="376" hidden="1">
      <c r="A376" s="96" t="s">
        <v>1541</v>
      </c>
      <c r="B376" s="101"/>
      <c r="C376" s="88" t="s">
        <v>1552</v>
      </c>
      <c r="D376" s="98"/>
      <c r="E376" s="88" t="s">
        <v>1126</v>
      </c>
      <c r="F376" s="98"/>
      <c r="G376" s="88" t="s">
        <v>1553</v>
      </c>
      <c r="H376" s="88" t="s">
        <v>1554</v>
      </c>
      <c r="I376" s="88" t="s">
        <v>1546</v>
      </c>
      <c r="J376" s="99" t="s">
        <v>74</v>
      </c>
      <c r="K376" s="100" t="s">
        <v>75</v>
      </c>
      <c r="L376" s="100" t="s">
        <v>76</v>
      </c>
      <c r="M376" s="98"/>
      <c r="N376" s="98"/>
      <c r="O376" s="98"/>
      <c r="P376" s="98"/>
    </row>
    <row r="377" hidden="1">
      <c r="A377" s="96" t="s">
        <v>1541</v>
      </c>
      <c r="B377" s="101"/>
      <c r="C377" s="88" t="s">
        <v>1555</v>
      </c>
      <c r="D377" s="98"/>
      <c r="E377" s="88" t="s">
        <v>1126</v>
      </c>
      <c r="F377" s="98"/>
      <c r="G377" s="88" t="s">
        <v>1556</v>
      </c>
      <c r="H377" s="88" t="s">
        <v>1554</v>
      </c>
      <c r="I377" s="88" t="s">
        <v>1557</v>
      </c>
      <c r="J377" s="99" t="s">
        <v>74</v>
      </c>
      <c r="K377" s="100" t="s">
        <v>25</v>
      </c>
      <c r="L377" s="100" t="s">
        <v>25</v>
      </c>
      <c r="M377" s="91" t="s">
        <v>1130</v>
      </c>
      <c r="N377" s="98"/>
      <c r="O377" s="98"/>
      <c r="P377" s="98"/>
    </row>
    <row r="378" hidden="1">
      <c r="A378" s="96" t="s">
        <v>1541</v>
      </c>
      <c r="B378" s="101"/>
      <c r="C378" s="88" t="s">
        <v>1558</v>
      </c>
      <c r="D378" s="98"/>
      <c r="E378" s="88" t="s">
        <v>1126</v>
      </c>
      <c r="F378" s="98"/>
      <c r="G378" s="88" t="s">
        <v>1559</v>
      </c>
      <c r="H378" s="88" t="s">
        <v>1560</v>
      </c>
      <c r="I378" s="88" t="s">
        <v>1561</v>
      </c>
      <c r="J378" s="99" t="s">
        <v>74</v>
      </c>
      <c r="K378" s="100" t="s">
        <v>25</v>
      </c>
      <c r="L378" s="100" t="s">
        <v>25</v>
      </c>
      <c r="M378" s="91" t="s">
        <v>1130</v>
      </c>
      <c r="N378" s="98"/>
      <c r="O378" s="98"/>
      <c r="P378" s="98"/>
    </row>
    <row r="379" hidden="1">
      <c r="A379" s="96" t="s">
        <v>1541</v>
      </c>
      <c r="B379" s="101"/>
      <c r="C379" s="88" t="s">
        <v>1562</v>
      </c>
      <c r="D379" s="98"/>
      <c r="E379" s="88" t="s">
        <v>1126</v>
      </c>
      <c r="F379" s="98"/>
      <c r="G379" s="88" t="s">
        <v>1563</v>
      </c>
      <c r="H379" s="88" t="s">
        <v>1564</v>
      </c>
      <c r="I379" s="88" t="s">
        <v>1565</v>
      </c>
      <c r="J379" s="99" t="s">
        <v>74</v>
      </c>
      <c r="K379" s="100" t="s">
        <v>25</v>
      </c>
      <c r="L379" s="100" t="s">
        <v>25</v>
      </c>
      <c r="M379" s="91" t="s">
        <v>1130</v>
      </c>
      <c r="N379" s="98"/>
      <c r="O379" s="98"/>
      <c r="P379" s="98"/>
    </row>
    <row r="380" hidden="1">
      <c r="A380" s="96" t="s">
        <v>1541</v>
      </c>
      <c r="B380" s="101"/>
      <c r="C380" s="88" t="s">
        <v>1566</v>
      </c>
      <c r="D380" s="98"/>
      <c r="E380" s="88" t="s">
        <v>1126</v>
      </c>
      <c r="F380" s="98"/>
      <c r="G380" s="88" t="s">
        <v>1567</v>
      </c>
      <c r="H380" s="88" t="s">
        <v>1568</v>
      </c>
      <c r="I380" s="88" t="s">
        <v>1569</v>
      </c>
      <c r="J380" s="99" t="s">
        <v>74</v>
      </c>
      <c r="K380" s="100" t="s">
        <v>25</v>
      </c>
      <c r="L380" s="100" t="s">
        <v>25</v>
      </c>
      <c r="M380" s="91" t="s">
        <v>1130</v>
      </c>
      <c r="N380" s="98"/>
      <c r="O380" s="98"/>
      <c r="P380" s="98"/>
    </row>
    <row r="381" hidden="1">
      <c r="A381" s="96" t="s">
        <v>1541</v>
      </c>
      <c r="B381" s="101"/>
      <c r="C381" s="88" t="s">
        <v>1570</v>
      </c>
      <c r="D381" s="98"/>
      <c r="E381" s="88" t="s">
        <v>1126</v>
      </c>
      <c r="F381" s="98"/>
      <c r="G381" s="88" t="s">
        <v>1571</v>
      </c>
      <c r="H381" s="88" t="s">
        <v>1572</v>
      </c>
      <c r="I381" s="88" t="s">
        <v>1573</v>
      </c>
      <c r="J381" s="99" t="s">
        <v>74</v>
      </c>
      <c r="K381" s="100" t="s">
        <v>25</v>
      </c>
      <c r="L381" s="100" t="s">
        <v>25</v>
      </c>
      <c r="M381" s="91" t="s">
        <v>1130</v>
      </c>
      <c r="N381" s="98"/>
      <c r="O381" s="98"/>
      <c r="P381" s="98"/>
    </row>
    <row r="382" hidden="1">
      <c r="A382" s="96" t="s">
        <v>1541</v>
      </c>
      <c r="B382" s="101"/>
      <c r="C382" s="88" t="s">
        <v>1574</v>
      </c>
      <c r="D382" s="98"/>
      <c r="E382" s="88" t="s">
        <v>1126</v>
      </c>
      <c r="F382" s="98"/>
      <c r="G382" s="88" t="s">
        <v>1575</v>
      </c>
      <c r="H382" s="88" t="s">
        <v>1576</v>
      </c>
      <c r="I382" s="88" t="s">
        <v>1577</v>
      </c>
      <c r="J382" s="99" t="s">
        <v>74</v>
      </c>
      <c r="K382" s="100" t="s">
        <v>25</v>
      </c>
      <c r="L382" s="100" t="s">
        <v>25</v>
      </c>
      <c r="M382" s="91" t="s">
        <v>1130</v>
      </c>
      <c r="N382" s="98"/>
      <c r="O382" s="98"/>
      <c r="P382" s="98"/>
    </row>
    <row r="383" hidden="1">
      <c r="A383" s="96" t="s">
        <v>1541</v>
      </c>
      <c r="B383" s="101"/>
      <c r="C383" s="88" t="s">
        <v>1578</v>
      </c>
      <c r="D383" s="98"/>
      <c r="E383" s="88" t="s">
        <v>1126</v>
      </c>
      <c r="F383" s="98"/>
      <c r="G383" s="88" t="s">
        <v>1579</v>
      </c>
      <c r="H383" s="88" t="s">
        <v>1580</v>
      </c>
      <c r="I383" s="88" t="s">
        <v>1581</v>
      </c>
      <c r="J383" s="99" t="s">
        <v>74</v>
      </c>
      <c r="K383" s="100" t="s">
        <v>25</v>
      </c>
      <c r="L383" s="100" t="s">
        <v>25</v>
      </c>
      <c r="M383" s="91" t="s">
        <v>1130</v>
      </c>
      <c r="N383" s="98"/>
      <c r="O383" s="98"/>
      <c r="P383" s="98"/>
    </row>
    <row r="384" hidden="1">
      <c r="A384" s="96" t="s">
        <v>1541</v>
      </c>
      <c r="B384" s="101"/>
      <c r="C384" s="88" t="s">
        <v>1582</v>
      </c>
      <c r="D384" s="98"/>
      <c r="E384" s="88" t="s">
        <v>1126</v>
      </c>
      <c r="F384" s="98"/>
      <c r="G384" s="88" t="s">
        <v>1583</v>
      </c>
      <c r="H384" s="88" t="s">
        <v>1584</v>
      </c>
      <c r="I384" s="88" t="s">
        <v>1585</v>
      </c>
      <c r="J384" s="99" t="s">
        <v>74</v>
      </c>
      <c r="K384" s="100" t="s">
        <v>25</v>
      </c>
      <c r="L384" s="100" t="s">
        <v>25</v>
      </c>
      <c r="M384" s="91" t="s">
        <v>1130</v>
      </c>
      <c r="N384" s="98"/>
      <c r="O384" s="98"/>
      <c r="P384" s="98"/>
    </row>
    <row r="385" hidden="1">
      <c r="A385" s="96" t="s">
        <v>1541</v>
      </c>
      <c r="B385" s="101"/>
      <c r="C385" s="88" t="s">
        <v>1586</v>
      </c>
      <c r="D385" s="98"/>
      <c r="E385" s="88" t="s">
        <v>1126</v>
      </c>
      <c r="F385" s="98"/>
      <c r="G385" s="88" t="s">
        <v>1587</v>
      </c>
      <c r="H385" s="88" t="s">
        <v>1588</v>
      </c>
      <c r="I385" s="88" t="s">
        <v>1589</v>
      </c>
      <c r="J385" s="99" t="s">
        <v>74</v>
      </c>
      <c r="K385" s="100" t="s">
        <v>25</v>
      </c>
      <c r="L385" s="100" t="s">
        <v>25</v>
      </c>
      <c r="M385" s="91" t="s">
        <v>1130</v>
      </c>
      <c r="N385" s="98"/>
      <c r="O385" s="98"/>
      <c r="P385" s="98"/>
    </row>
    <row r="386" hidden="1">
      <c r="A386" s="96" t="s">
        <v>1541</v>
      </c>
      <c r="B386" s="101"/>
      <c r="C386" s="88" t="s">
        <v>1590</v>
      </c>
      <c r="D386" s="98"/>
      <c r="E386" s="88" t="s">
        <v>1126</v>
      </c>
      <c r="F386" s="98"/>
      <c r="G386" s="88" t="s">
        <v>1591</v>
      </c>
      <c r="H386" s="88" t="s">
        <v>1592</v>
      </c>
      <c r="I386" s="88" t="s">
        <v>1593</v>
      </c>
      <c r="J386" s="99" t="s">
        <v>74</v>
      </c>
      <c r="K386" s="100" t="s">
        <v>25</v>
      </c>
      <c r="L386" s="100" t="s">
        <v>25</v>
      </c>
      <c r="M386" s="91" t="s">
        <v>1130</v>
      </c>
      <c r="N386" s="98"/>
      <c r="O386" s="98"/>
      <c r="P386" s="98"/>
    </row>
    <row r="387" hidden="1">
      <c r="A387" s="96" t="s">
        <v>1541</v>
      </c>
      <c r="B387" s="101"/>
      <c r="C387" s="88" t="s">
        <v>1594</v>
      </c>
      <c r="D387" s="98"/>
      <c r="E387" s="88" t="s">
        <v>1126</v>
      </c>
      <c r="F387" s="98"/>
      <c r="G387" s="88" t="s">
        <v>1595</v>
      </c>
      <c r="H387" s="88" t="s">
        <v>1596</v>
      </c>
      <c r="I387" s="88" t="s">
        <v>1597</v>
      </c>
      <c r="J387" s="99" t="s">
        <v>74</v>
      </c>
      <c r="K387" s="100" t="s">
        <v>25</v>
      </c>
      <c r="L387" s="100" t="s">
        <v>25</v>
      </c>
      <c r="M387" s="91" t="s">
        <v>1130</v>
      </c>
      <c r="N387" s="98"/>
      <c r="O387" s="98"/>
      <c r="P387" s="98"/>
    </row>
    <row r="388" hidden="1">
      <c r="A388" s="96" t="s">
        <v>1541</v>
      </c>
      <c r="B388" s="101"/>
      <c r="C388" s="88" t="s">
        <v>1598</v>
      </c>
      <c r="D388" s="98"/>
      <c r="E388" s="88" t="s">
        <v>1126</v>
      </c>
      <c r="F388" s="98"/>
      <c r="G388" s="88" t="s">
        <v>1599</v>
      </c>
      <c r="H388" s="88" t="s">
        <v>1600</v>
      </c>
      <c r="I388" s="88" t="s">
        <v>1601</v>
      </c>
      <c r="J388" s="99" t="s">
        <v>74</v>
      </c>
      <c r="K388" s="100" t="s">
        <v>25</v>
      </c>
      <c r="L388" s="100" t="s">
        <v>25</v>
      </c>
      <c r="M388" s="91" t="s">
        <v>1130</v>
      </c>
      <c r="N388" s="98"/>
      <c r="O388" s="98"/>
      <c r="P388" s="98"/>
    </row>
    <row r="389" hidden="1">
      <c r="A389" s="96" t="s">
        <v>1541</v>
      </c>
      <c r="B389" s="101"/>
      <c r="C389" s="88" t="s">
        <v>1602</v>
      </c>
      <c r="D389" s="98"/>
      <c r="E389" s="88" t="s">
        <v>1126</v>
      </c>
      <c r="F389" s="98"/>
      <c r="G389" s="88" t="s">
        <v>1603</v>
      </c>
      <c r="H389" s="88" t="s">
        <v>1604</v>
      </c>
      <c r="I389" s="88" t="s">
        <v>1605</v>
      </c>
      <c r="J389" s="99" t="s">
        <v>74</v>
      </c>
      <c r="K389" s="100" t="s">
        <v>25</v>
      </c>
      <c r="L389" s="100" t="s">
        <v>25</v>
      </c>
      <c r="M389" s="91" t="s">
        <v>1130</v>
      </c>
      <c r="N389" s="98"/>
      <c r="O389" s="98"/>
      <c r="P389" s="98"/>
    </row>
    <row r="390" hidden="1">
      <c r="A390" s="96" t="s">
        <v>1541</v>
      </c>
      <c r="B390" s="101"/>
      <c r="C390" s="88" t="s">
        <v>1606</v>
      </c>
      <c r="D390" s="98"/>
      <c r="E390" s="88" t="s">
        <v>1126</v>
      </c>
      <c r="F390" s="98"/>
      <c r="G390" s="88" t="s">
        <v>1607</v>
      </c>
      <c r="H390" s="88" t="s">
        <v>1608</v>
      </c>
      <c r="I390" s="88" t="s">
        <v>1609</v>
      </c>
      <c r="J390" s="99" t="s">
        <v>74</v>
      </c>
      <c r="K390" s="100" t="s">
        <v>25</v>
      </c>
      <c r="L390" s="100" t="s">
        <v>25</v>
      </c>
      <c r="M390" s="91" t="s">
        <v>1130</v>
      </c>
      <c r="N390" s="98"/>
      <c r="O390" s="98"/>
      <c r="P390" s="98"/>
    </row>
    <row r="391" hidden="1">
      <c r="A391" s="96" t="s">
        <v>1541</v>
      </c>
      <c r="B391" s="101"/>
      <c r="C391" s="88" t="s">
        <v>1610</v>
      </c>
      <c r="D391" s="98"/>
      <c r="E391" s="88" t="s">
        <v>1126</v>
      </c>
      <c r="F391" s="98"/>
      <c r="G391" s="88" t="s">
        <v>1611</v>
      </c>
      <c r="H391" s="88" t="s">
        <v>1612</v>
      </c>
      <c r="I391" s="88" t="s">
        <v>1613</v>
      </c>
      <c r="J391" s="99" t="s">
        <v>74</v>
      </c>
      <c r="K391" s="100" t="s">
        <v>25</v>
      </c>
      <c r="L391" s="100" t="s">
        <v>25</v>
      </c>
      <c r="M391" s="91" t="s">
        <v>1130</v>
      </c>
      <c r="N391" s="98"/>
      <c r="O391" s="98"/>
      <c r="P391" s="98"/>
    </row>
    <row r="392" hidden="1">
      <c r="A392" s="96" t="s">
        <v>1541</v>
      </c>
      <c r="B392" s="101"/>
      <c r="C392" s="88" t="s">
        <v>1614</v>
      </c>
      <c r="D392" s="98"/>
      <c r="E392" s="88" t="s">
        <v>1126</v>
      </c>
      <c r="F392" s="98"/>
      <c r="G392" s="88" t="s">
        <v>1615</v>
      </c>
      <c r="H392" s="88" t="s">
        <v>1616</v>
      </c>
      <c r="I392" s="88" t="s">
        <v>1617</v>
      </c>
      <c r="J392" s="99" t="s">
        <v>74</v>
      </c>
      <c r="K392" s="100" t="s">
        <v>25</v>
      </c>
      <c r="L392" s="100" t="s">
        <v>25</v>
      </c>
      <c r="M392" s="91" t="s">
        <v>1130</v>
      </c>
      <c r="N392" s="98"/>
      <c r="O392" s="98"/>
      <c r="P392" s="98"/>
    </row>
    <row r="393" hidden="1">
      <c r="A393" s="96" t="s">
        <v>1541</v>
      </c>
      <c r="B393" s="101"/>
      <c r="C393" s="88" t="s">
        <v>1618</v>
      </c>
      <c r="D393" s="98"/>
      <c r="E393" s="88" t="s">
        <v>1126</v>
      </c>
      <c r="F393" s="98"/>
      <c r="G393" s="88" t="s">
        <v>1619</v>
      </c>
      <c r="H393" s="88" t="s">
        <v>1620</v>
      </c>
      <c r="I393" s="88" t="s">
        <v>1621</v>
      </c>
      <c r="J393" s="99" t="s">
        <v>74</v>
      </c>
      <c r="K393" s="100" t="s">
        <v>25</v>
      </c>
      <c r="L393" s="100" t="s">
        <v>25</v>
      </c>
      <c r="M393" s="91" t="s">
        <v>1130</v>
      </c>
      <c r="N393" s="98"/>
      <c r="O393" s="98"/>
      <c r="P393" s="98"/>
    </row>
    <row r="394" hidden="1">
      <c r="A394" s="96" t="s">
        <v>1541</v>
      </c>
      <c r="B394" s="101"/>
      <c r="C394" s="88" t="s">
        <v>1622</v>
      </c>
      <c r="D394" s="98"/>
      <c r="E394" s="88" t="s">
        <v>1126</v>
      </c>
      <c r="F394" s="98"/>
      <c r="G394" s="88" t="s">
        <v>1623</v>
      </c>
      <c r="H394" s="88" t="s">
        <v>1624</v>
      </c>
      <c r="I394" s="88" t="s">
        <v>1625</v>
      </c>
      <c r="J394" s="99" t="s">
        <v>74</v>
      </c>
      <c r="K394" s="100" t="s">
        <v>25</v>
      </c>
      <c r="L394" s="100" t="s">
        <v>25</v>
      </c>
      <c r="M394" s="91" t="s">
        <v>1130</v>
      </c>
      <c r="N394" s="98"/>
      <c r="O394" s="98"/>
      <c r="P394" s="98"/>
    </row>
    <row r="395" hidden="1">
      <c r="A395" s="96" t="s">
        <v>1541</v>
      </c>
      <c r="B395" s="101"/>
      <c r="C395" s="88" t="s">
        <v>1626</v>
      </c>
      <c r="D395" s="98"/>
      <c r="E395" s="88" t="s">
        <v>1126</v>
      </c>
      <c r="F395" s="98"/>
      <c r="G395" s="88" t="s">
        <v>1627</v>
      </c>
      <c r="H395" s="88" t="s">
        <v>1628</v>
      </c>
      <c r="I395" s="88" t="s">
        <v>1629</v>
      </c>
      <c r="J395" s="99" t="s">
        <v>74</v>
      </c>
      <c r="K395" s="100" t="s">
        <v>25</v>
      </c>
      <c r="L395" s="100" t="s">
        <v>25</v>
      </c>
      <c r="M395" s="91" t="s">
        <v>1130</v>
      </c>
      <c r="N395" s="98"/>
      <c r="O395" s="98"/>
      <c r="P395" s="98"/>
    </row>
    <row r="396" hidden="1">
      <c r="A396" s="96" t="s">
        <v>1541</v>
      </c>
      <c r="B396" s="101"/>
      <c r="C396" s="88" t="s">
        <v>1630</v>
      </c>
      <c r="D396" s="98"/>
      <c r="E396" s="88" t="s">
        <v>1126</v>
      </c>
      <c r="F396" s="98"/>
      <c r="G396" s="88" t="s">
        <v>1631</v>
      </c>
      <c r="H396" s="88" t="s">
        <v>1616</v>
      </c>
      <c r="I396" s="88" t="s">
        <v>1632</v>
      </c>
      <c r="J396" s="99" t="s">
        <v>74</v>
      </c>
      <c r="K396" s="100" t="s">
        <v>25</v>
      </c>
      <c r="L396" s="100" t="s">
        <v>25</v>
      </c>
      <c r="M396" s="91" t="s">
        <v>1130</v>
      </c>
      <c r="N396" s="98"/>
      <c r="O396" s="98"/>
      <c r="P396" s="98"/>
    </row>
    <row r="397" hidden="1">
      <c r="A397" s="96" t="s">
        <v>1541</v>
      </c>
      <c r="B397" s="101"/>
      <c r="C397" s="88" t="s">
        <v>1633</v>
      </c>
      <c r="D397" s="98"/>
      <c r="E397" s="88" t="s">
        <v>1126</v>
      </c>
      <c r="F397" s="98"/>
      <c r="G397" s="88" t="s">
        <v>1634</v>
      </c>
      <c r="H397" s="88" t="s">
        <v>1635</v>
      </c>
      <c r="I397" s="88" t="s">
        <v>1636</v>
      </c>
      <c r="J397" s="99" t="s">
        <v>74</v>
      </c>
      <c r="K397" s="100" t="s">
        <v>25</v>
      </c>
      <c r="L397" s="100" t="s">
        <v>25</v>
      </c>
      <c r="M397" s="91" t="s">
        <v>1130</v>
      </c>
      <c r="N397" s="98"/>
      <c r="O397" s="98"/>
      <c r="P397" s="98"/>
    </row>
    <row r="398" hidden="1">
      <c r="A398" s="96" t="s">
        <v>1541</v>
      </c>
      <c r="B398" s="101"/>
      <c r="C398" s="88" t="s">
        <v>1637</v>
      </c>
      <c r="D398" s="98"/>
      <c r="E398" s="88" t="s">
        <v>1126</v>
      </c>
      <c r="F398" s="98"/>
      <c r="G398" s="88" t="s">
        <v>1638</v>
      </c>
      <c r="H398" s="88" t="s">
        <v>1639</v>
      </c>
      <c r="I398" s="88" t="s">
        <v>1640</v>
      </c>
      <c r="J398" s="99" t="s">
        <v>74</v>
      </c>
      <c r="K398" s="100" t="s">
        <v>25</v>
      </c>
      <c r="L398" s="100" t="s">
        <v>25</v>
      </c>
      <c r="M398" s="91" t="s">
        <v>1130</v>
      </c>
      <c r="N398" s="98"/>
      <c r="O398" s="98"/>
      <c r="P398" s="98"/>
    </row>
    <row r="399" hidden="1">
      <c r="A399" s="96" t="s">
        <v>1541</v>
      </c>
      <c r="B399" s="101"/>
      <c r="C399" s="88" t="s">
        <v>1641</v>
      </c>
      <c r="D399" s="98"/>
      <c r="E399" s="88" t="s">
        <v>1126</v>
      </c>
      <c r="F399" s="98"/>
      <c r="G399" s="88" t="s">
        <v>1642</v>
      </c>
      <c r="H399" s="88" t="s">
        <v>1639</v>
      </c>
      <c r="I399" s="88" t="s">
        <v>1643</v>
      </c>
      <c r="J399" s="99" t="s">
        <v>74</v>
      </c>
      <c r="K399" s="100" t="s">
        <v>25</v>
      </c>
      <c r="L399" s="100" t="s">
        <v>25</v>
      </c>
      <c r="M399" s="91" t="s">
        <v>1130</v>
      </c>
      <c r="N399" s="98"/>
      <c r="O399" s="98"/>
      <c r="P399" s="98"/>
    </row>
    <row r="400" hidden="1">
      <c r="A400" s="96" t="s">
        <v>1644</v>
      </c>
      <c r="B400" s="102" t="s">
        <v>1441</v>
      </c>
      <c r="C400" s="88" t="s">
        <v>1645</v>
      </c>
      <c r="D400" s="98"/>
      <c r="E400" s="88" t="s">
        <v>39</v>
      </c>
      <c r="F400" s="98"/>
      <c r="G400" s="88" t="s">
        <v>1646</v>
      </c>
      <c r="H400" s="98"/>
      <c r="I400" s="88" t="s">
        <v>1647</v>
      </c>
      <c r="J400" s="99" t="s">
        <v>74</v>
      </c>
      <c r="K400" s="100" t="s">
        <v>75</v>
      </c>
      <c r="L400" s="100" t="s">
        <v>76</v>
      </c>
      <c r="M400" s="91" t="s">
        <v>1648</v>
      </c>
      <c r="N400" s="98"/>
      <c r="O400" s="98"/>
      <c r="P400" s="98"/>
    </row>
    <row r="401" hidden="1">
      <c r="A401" s="96" t="s">
        <v>1644</v>
      </c>
      <c r="B401" s="101"/>
      <c r="C401" s="88" t="s">
        <v>1649</v>
      </c>
      <c r="D401" s="98"/>
      <c r="E401" s="88" t="s">
        <v>39</v>
      </c>
      <c r="F401" s="98"/>
      <c r="G401" s="88" t="s">
        <v>1650</v>
      </c>
      <c r="H401" s="98"/>
      <c r="I401" s="88" t="s">
        <v>1651</v>
      </c>
      <c r="J401" s="99" t="s">
        <v>74</v>
      </c>
      <c r="K401" s="100" t="s">
        <v>75</v>
      </c>
      <c r="L401" s="100" t="s">
        <v>76</v>
      </c>
      <c r="M401" s="91" t="s">
        <v>1648</v>
      </c>
      <c r="N401" s="98"/>
      <c r="O401" s="98"/>
      <c r="P401" s="98"/>
    </row>
    <row r="402" hidden="1">
      <c r="A402" s="96" t="s">
        <v>1644</v>
      </c>
      <c r="B402" s="101"/>
      <c r="C402" s="88" t="s">
        <v>1652</v>
      </c>
      <c r="D402" s="98"/>
      <c r="E402" s="88" t="s">
        <v>39</v>
      </c>
      <c r="F402" s="98"/>
      <c r="G402" s="88" t="s">
        <v>1653</v>
      </c>
      <c r="H402" s="98"/>
      <c r="I402" s="88" t="s">
        <v>1654</v>
      </c>
      <c r="J402" s="99" t="s">
        <v>74</v>
      </c>
      <c r="K402" s="100" t="s">
        <v>75</v>
      </c>
      <c r="L402" s="100" t="s">
        <v>76</v>
      </c>
      <c r="M402" s="98"/>
      <c r="N402" s="98"/>
      <c r="O402" s="98"/>
      <c r="P402" s="98"/>
    </row>
    <row r="403" hidden="1">
      <c r="A403" s="96" t="s">
        <v>1644</v>
      </c>
      <c r="B403" s="101"/>
      <c r="C403" s="88" t="s">
        <v>1655</v>
      </c>
      <c r="D403" s="98"/>
      <c r="E403" s="88" t="s">
        <v>39</v>
      </c>
      <c r="F403" s="98"/>
      <c r="G403" s="88" t="s">
        <v>1656</v>
      </c>
      <c r="H403" s="98"/>
      <c r="I403" s="88" t="s">
        <v>1651</v>
      </c>
      <c r="J403" s="99" t="s">
        <v>74</v>
      </c>
      <c r="K403" s="100" t="s">
        <v>75</v>
      </c>
      <c r="L403" s="100" t="s">
        <v>76</v>
      </c>
      <c r="M403" s="91" t="s">
        <v>1648</v>
      </c>
      <c r="N403" s="98"/>
      <c r="O403" s="98"/>
      <c r="P403" s="98"/>
    </row>
    <row r="404" hidden="1">
      <c r="A404" s="96" t="s">
        <v>1644</v>
      </c>
      <c r="B404" s="101"/>
      <c r="C404" s="88" t="s">
        <v>1657</v>
      </c>
      <c r="D404" s="98"/>
      <c r="E404" s="88" t="s">
        <v>39</v>
      </c>
      <c r="F404" s="98"/>
      <c r="G404" s="88" t="s">
        <v>1658</v>
      </c>
      <c r="H404" s="98"/>
      <c r="I404" s="88" t="s">
        <v>1659</v>
      </c>
      <c r="J404" s="99" t="s">
        <v>74</v>
      </c>
      <c r="K404" s="100" t="s">
        <v>75</v>
      </c>
      <c r="L404" s="100" t="s">
        <v>76</v>
      </c>
      <c r="M404" s="91" t="s">
        <v>1648</v>
      </c>
      <c r="N404" s="98"/>
      <c r="O404" s="98"/>
      <c r="P404" s="98"/>
    </row>
    <row r="405" hidden="1">
      <c r="A405" s="96" t="s">
        <v>1644</v>
      </c>
      <c r="B405" s="101"/>
      <c r="C405" s="88" t="s">
        <v>1660</v>
      </c>
      <c r="D405" s="98"/>
      <c r="E405" s="88" t="s">
        <v>39</v>
      </c>
      <c r="F405" s="98"/>
      <c r="G405" s="88" t="s">
        <v>1661</v>
      </c>
      <c r="H405" s="98"/>
      <c r="I405" s="88" t="s">
        <v>1662</v>
      </c>
      <c r="J405" s="99" t="s">
        <v>74</v>
      </c>
      <c r="K405" s="100" t="s">
        <v>75</v>
      </c>
      <c r="L405" s="100" t="s">
        <v>76</v>
      </c>
      <c r="M405" s="91" t="s">
        <v>1648</v>
      </c>
      <c r="N405" s="98"/>
      <c r="O405" s="98"/>
      <c r="P405" s="98"/>
    </row>
    <row r="406" hidden="1">
      <c r="A406" s="96" t="s">
        <v>1644</v>
      </c>
      <c r="B406" s="101"/>
      <c r="C406" s="88" t="s">
        <v>1663</v>
      </c>
      <c r="D406" s="98"/>
      <c r="E406" s="88" t="s">
        <v>39</v>
      </c>
      <c r="F406" s="98"/>
      <c r="G406" s="88" t="s">
        <v>1664</v>
      </c>
      <c r="H406" s="98"/>
      <c r="I406" s="88" t="s">
        <v>1647</v>
      </c>
      <c r="J406" s="99" t="s">
        <v>74</v>
      </c>
      <c r="K406" s="100" t="s">
        <v>75</v>
      </c>
      <c r="L406" s="100" t="s">
        <v>76</v>
      </c>
      <c r="M406" s="91" t="s">
        <v>1648</v>
      </c>
      <c r="N406" s="98"/>
      <c r="O406" s="98"/>
      <c r="P406" s="98"/>
    </row>
    <row r="407" hidden="1">
      <c r="A407" s="96" t="s">
        <v>1644</v>
      </c>
      <c r="B407" s="101"/>
      <c r="C407" s="88" t="s">
        <v>1665</v>
      </c>
      <c r="D407" s="98"/>
      <c r="E407" s="88" t="s">
        <v>39</v>
      </c>
      <c r="F407" s="98"/>
      <c r="G407" s="88" t="s">
        <v>1666</v>
      </c>
      <c r="H407" s="98"/>
      <c r="I407" s="88" t="s">
        <v>1651</v>
      </c>
      <c r="J407" s="99" t="s">
        <v>74</v>
      </c>
      <c r="K407" s="100" t="s">
        <v>75</v>
      </c>
      <c r="L407" s="100" t="s">
        <v>76</v>
      </c>
      <c r="M407" s="91" t="s">
        <v>1648</v>
      </c>
      <c r="N407" s="98"/>
      <c r="O407" s="98"/>
      <c r="P407" s="98"/>
    </row>
    <row r="408" hidden="1">
      <c r="A408" s="96" t="s">
        <v>1644</v>
      </c>
      <c r="B408" s="101"/>
      <c r="C408" s="88" t="s">
        <v>1667</v>
      </c>
      <c r="D408" s="98"/>
      <c r="E408" s="88" t="s">
        <v>39</v>
      </c>
      <c r="F408" s="98"/>
      <c r="G408" s="88" t="s">
        <v>1668</v>
      </c>
      <c r="H408" s="88" t="s">
        <v>1669</v>
      </c>
      <c r="I408" s="88" t="s">
        <v>1654</v>
      </c>
      <c r="J408" s="99" t="s">
        <v>74</v>
      </c>
      <c r="K408" s="100" t="s">
        <v>75</v>
      </c>
      <c r="L408" s="100" t="s">
        <v>76</v>
      </c>
      <c r="M408" s="91" t="s">
        <v>1648</v>
      </c>
      <c r="N408" s="98"/>
      <c r="O408" s="98"/>
      <c r="P408" s="98"/>
    </row>
    <row r="409" hidden="1">
      <c r="A409" s="96" t="s">
        <v>1644</v>
      </c>
      <c r="B409" s="101"/>
      <c r="C409" s="88" t="s">
        <v>1670</v>
      </c>
      <c r="D409" s="98"/>
      <c r="E409" s="88" t="s">
        <v>39</v>
      </c>
      <c r="F409" s="98"/>
      <c r="G409" s="88" t="s">
        <v>1671</v>
      </c>
      <c r="H409" s="88" t="s">
        <v>1672</v>
      </c>
      <c r="I409" s="88" t="s">
        <v>1651</v>
      </c>
      <c r="J409" s="99" t="s">
        <v>74</v>
      </c>
      <c r="K409" s="100" t="s">
        <v>75</v>
      </c>
      <c r="L409" s="100" t="s">
        <v>76</v>
      </c>
      <c r="M409" s="91" t="s">
        <v>1648</v>
      </c>
      <c r="N409" s="98"/>
      <c r="O409" s="98"/>
      <c r="P409" s="98"/>
    </row>
    <row r="410" hidden="1">
      <c r="A410" s="96" t="s">
        <v>1644</v>
      </c>
      <c r="B410" s="101"/>
      <c r="C410" s="88" t="s">
        <v>1673</v>
      </c>
      <c r="D410" s="98"/>
      <c r="E410" s="88" t="s">
        <v>39</v>
      </c>
      <c r="F410" s="98"/>
      <c r="G410" s="88" t="s">
        <v>1674</v>
      </c>
      <c r="H410" s="88" t="s">
        <v>1675</v>
      </c>
      <c r="I410" s="88" t="s">
        <v>1659</v>
      </c>
      <c r="J410" s="99" t="s">
        <v>74</v>
      </c>
      <c r="K410" s="100" t="s">
        <v>75</v>
      </c>
      <c r="L410" s="100" t="s">
        <v>76</v>
      </c>
      <c r="M410" s="91" t="s">
        <v>1648</v>
      </c>
      <c r="N410" s="98"/>
      <c r="O410" s="98"/>
      <c r="P410" s="98"/>
    </row>
    <row r="411" hidden="1">
      <c r="A411" s="96" t="s">
        <v>1644</v>
      </c>
      <c r="B411" s="101"/>
      <c r="C411" s="88" t="s">
        <v>1676</v>
      </c>
      <c r="D411" s="98"/>
      <c r="E411" s="88" t="s">
        <v>39</v>
      </c>
      <c r="F411" s="98"/>
      <c r="G411" s="88" t="s">
        <v>1677</v>
      </c>
      <c r="H411" s="88" t="s">
        <v>1678</v>
      </c>
      <c r="I411" s="88" t="s">
        <v>1662</v>
      </c>
      <c r="J411" s="99" t="s">
        <v>74</v>
      </c>
      <c r="K411" s="100" t="s">
        <v>75</v>
      </c>
      <c r="L411" s="100" t="s">
        <v>76</v>
      </c>
      <c r="M411" s="91" t="s">
        <v>1648</v>
      </c>
      <c r="N411" s="98"/>
      <c r="O411" s="98"/>
      <c r="P411" s="98"/>
    </row>
    <row r="412" hidden="1">
      <c r="A412" s="96" t="s">
        <v>1644</v>
      </c>
      <c r="B412" s="101"/>
      <c r="C412" s="88" t="s">
        <v>1679</v>
      </c>
      <c r="D412" s="98"/>
      <c r="E412" s="88" t="s">
        <v>39</v>
      </c>
      <c r="F412" s="98"/>
      <c r="G412" s="88" t="s">
        <v>1680</v>
      </c>
      <c r="H412" s="88" t="s">
        <v>1681</v>
      </c>
      <c r="I412" s="88" t="s">
        <v>1647</v>
      </c>
      <c r="J412" s="99" t="s">
        <v>74</v>
      </c>
      <c r="K412" s="100" t="s">
        <v>75</v>
      </c>
      <c r="L412" s="100" t="s">
        <v>76</v>
      </c>
      <c r="M412" s="91" t="s">
        <v>1648</v>
      </c>
      <c r="N412" s="98"/>
      <c r="O412" s="98"/>
      <c r="P412" s="98"/>
    </row>
    <row r="413" hidden="1">
      <c r="A413" s="96" t="s">
        <v>1644</v>
      </c>
      <c r="B413" s="101"/>
      <c r="C413" s="88" t="s">
        <v>1682</v>
      </c>
      <c r="D413" s="98"/>
      <c r="E413" s="88" t="s">
        <v>39</v>
      </c>
      <c r="F413" s="98"/>
      <c r="G413" s="88" t="s">
        <v>1683</v>
      </c>
      <c r="H413" s="88" t="s">
        <v>1684</v>
      </c>
      <c r="I413" s="88" t="s">
        <v>1651</v>
      </c>
      <c r="J413" s="99" t="s">
        <v>74</v>
      </c>
      <c r="K413" s="100" t="s">
        <v>75</v>
      </c>
      <c r="L413" s="100" t="s">
        <v>76</v>
      </c>
      <c r="M413" s="91" t="s">
        <v>1648</v>
      </c>
      <c r="N413" s="98"/>
      <c r="O413" s="98"/>
      <c r="P413" s="98"/>
    </row>
    <row r="414" hidden="1">
      <c r="A414" s="96" t="s">
        <v>1644</v>
      </c>
      <c r="B414" s="101"/>
      <c r="C414" s="88" t="s">
        <v>1685</v>
      </c>
      <c r="D414" s="98"/>
      <c r="E414" s="88" t="s">
        <v>39</v>
      </c>
      <c r="F414" s="98"/>
      <c r="G414" s="88" t="s">
        <v>1686</v>
      </c>
      <c r="H414" s="88" t="s">
        <v>1687</v>
      </c>
      <c r="I414" s="88" t="s">
        <v>1654</v>
      </c>
      <c r="J414" s="99" t="s">
        <v>74</v>
      </c>
      <c r="K414" s="100" t="s">
        <v>75</v>
      </c>
      <c r="L414" s="100" t="s">
        <v>76</v>
      </c>
      <c r="M414" s="91" t="s">
        <v>1648</v>
      </c>
      <c r="N414" s="98"/>
      <c r="O414" s="98"/>
      <c r="P414" s="98"/>
    </row>
    <row r="415" hidden="1">
      <c r="A415" s="96" t="s">
        <v>1644</v>
      </c>
      <c r="B415" s="101"/>
      <c r="C415" s="88" t="s">
        <v>1688</v>
      </c>
      <c r="D415" s="98"/>
      <c r="E415" s="88" t="s">
        <v>39</v>
      </c>
      <c r="F415" s="98"/>
      <c r="G415" s="88" t="s">
        <v>1689</v>
      </c>
      <c r="H415" s="88" t="s">
        <v>1690</v>
      </c>
      <c r="I415" s="88" t="s">
        <v>1651</v>
      </c>
      <c r="J415" s="99" t="s">
        <v>74</v>
      </c>
      <c r="K415" s="100" t="s">
        <v>75</v>
      </c>
      <c r="L415" s="100" t="s">
        <v>76</v>
      </c>
      <c r="M415" s="91" t="s">
        <v>1648</v>
      </c>
      <c r="N415" s="98"/>
      <c r="O415" s="98"/>
      <c r="P415" s="98"/>
    </row>
    <row r="416" hidden="1">
      <c r="A416" s="96" t="s">
        <v>1644</v>
      </c>
      <c r="B416" s="101"/>
      <c r="C416" s="88" t="s">
        <v>1691</v>
      </c>
      <c r="D416" s="98"/>
      <c r="E416" s="88" t="s">
        <v>39</v>
      </c>
      <c r="F416" s="98"/>
      <c r="G416" s="88" t="s">
        <v>1692</v>
      </c>
      <c r="H416" s="88" t="s">
        <v>1693</v>
      </c>
      <c r="I416" s="88" t="s">
        <v>1659</v>
      </c>
      <c r="J416" s="99" t="s">
        <v>74</v>
      </c>
      <c r="K416" s="100" t="s">
        <v>75</v>
      </c>
      <c r="L416" s="100" t="s">
        <v>76</v>
      </c>
      <c r="M416" s="91" t="s">
        <v>1648</v>
      </c>
      <c r="N416" s="98"/>
      <c r="O416" s="98"/>
      <c r="P416" s="98"/>
    </row>
    <row r="417" hidden="1">
      <c r="A417" s="96" t="s">
        <v>1644</v>
      </c>
      <c r="B417" s="101"/>
      <c r="C417" s="88" t="s">
        <v>1694</v>
      </c>
      <c r="D417" s="98"/>
      <c r="E417" s="88" t="s">
        <v>39</v>
      </c>
      <c r="F417" s="98"/>
      <c r="G417" s="88" t="s">
        <v>1695</v>
      </c>
      <c r="H417" s="88" t="s">
        <v>1696</v>
      </c>
      <c r="I417" s="88" t="s">
        <v>1662</v>
      </c>
      <c r="J417" s="99" t="s">
        <v>74</v>
      </c>
      <c r="K417" s="100" t="s">
        <v>75</v>
      </c>
      <c r="L417" s="100" t="s">
        <v>76</v>
      </c>
      <c r="M417" s="91" t="s">
        <v>1648</v>
      </c>
      <c r="N417" s="98"/>
      <c r="O417" s="98"/>
      <c r="P417" s="98"/>
    </row>
    <row r="418" hidden="1">
      <c r="A418" s="96" t="s">
        <v>1644</v>
      </c>
      <c r="B418" s="101"/>
      <c r="C418" s="88" t="s">
        <v>1697</v>
      </c>
      <c r="D418" s="98"/>
      <c r="E418" s="88" t="s">
        <v>39</v>
      </c>
      <c r="F418" s="98"/>
      <c r="G418" s="88" t="s">
        <v>1698</v>
      </c>
      <c r="H418" s="88" t="s">
        <v>1699</v>
      </c>
      <c r="I418" s="88" t="s">
        <v>1700</v>
      </c>
      <c r="J418" s="99" t="s">
        <v>74</v>
      </c>
      <c r="K418" s="100" t="s">
        <v>75</v>
      </c>
      <c r="L418" s="100" t="s">
        <v>76</v>
      </c>
      <c r="M418" s="91" t="s">
        <v>1648</v>
      </c>
      <c r="N418" s="98"/>
      <c r="O418" s="98"/>
      <c r="P418" s="98"/>
    </row>
    <row r="419" hidden="1">
      <c r="A419" s="96" t="s">
        <v>1701</v>
      </c>
      <c r="B419" s="102" t="s">
        <v>1702</v>
      </c>
      <c r="C419" s="88" t="s">
        <v>1703</v>
      </c>
      <c r="D419" s="98"/>
      <c r="E419" s="88" t="s">
        <v>39</v>
      </c>
      <c r="F419" s="98"/>
      <c r="G419" s="88" t="s">
        <v>1704</v>
      </c>
      <c r="H419" s="88" t="s">
        <v>1705</v>
      </c>
      <c r="I419" s="88" t="s">
        <v>1706</v>
      </c>
      <c r="J419" s="99" t="s">
        <v>74</v>
      </c>
      <c r="K419" s="100" t="s">
        <v>75</v>
      </c>
      <c r="L419" s="100" t="s">
        <v>76</v>
      </c>
      <c r="M419" s="98"/>
      <c r="N419" s="98"/>
      <c r="O419" s="98"/>
      <c r="P419" s="98"/>
    </row>
    <row r="420" hidden="1">
      <c r="A420" s="96" t="s">
        <v>1701</v>
      </c>
      <c r="B420" s="101"/>
      <c r="C420" s="88" t="s">
        <v>1707</v>
      </c>
      <c r="D420" s="98"/>
      <c r="E420" s="88" t="s">
        <v>39</v>
      </c>
      <c r="F420" s="98"/>
      <c r="G420" s="88" t="s">
        <v>1708</v>
      </c>
      <c r="H420" s="88" t="s">
        <v>1709</v>
      </c>
      <c r="I420" s="88" t="s">
        <v>1706</v>
      </c>
      <c r="J420" s="99" t="s">
        <v>74</v>
      </c>
      <c r="K420" s="100" t="s">
        <v>75</v>
      </c>
      <c r="L420" s="100" t="s">
        <v>76</v>
      </c>
      <c r="M420" s="98"/>
      <c r="N420" s="98"/>
      <c r="O420" s="98"/>
      <c r="P420" s="98"/>
    </row>
    <row r="421" hidden="1">
      <c r="A421" s="96" t="s">
        <v>1701</v>
      </c>
      <c r="B421" s="101"/>
      <c r="C421" s="88" t="s">
        <v>1710</v>
      </c>
      <c r="D421" s="98"/>
      <c r="E421" s="88" t="s">
        <v>39</v>
      </c>
      <c r="F421" s="98"/>
      <c r="G421" s="88" t="s">
        <v>1711</v>
      </c>
      <c r="H421" s="88" t="s">
        <v>1712</v>
      </c>
      <c r="I421" s="88" t="s">
        <v>1706</v>
      </c>
      <c r="J421" s="99" t="s">
        <v>74</v>
      </c>
      <c r="K421" s="100" t="s">
        <v>75</v>
      </c>
      <c r="L421" s="100" t="s">
        <v>76</v>
      </c>
      <c r="M421" s="98"/>
      <c r="N421" s="98"/>
      <c r="O421" s="98"/>
      <c r="P421" s="98"/>
    </row>
    <row r="422" hidden="1">
      <c r="A422" s="96" t="s">
        <v>1701</v>
      </c>
      <c r="B422" s="101"/>
      <c r="C422" s="88" t="s">
        <v>1713</v>
      </c>
      <c r="D422" s="98"/>
      <c r="E422" s="88" t="s">
        <v>39</v>
      </c>
      <c r="F422" s="98"/>
      <c r="G422" s="88" t="s">
        <v>1714</v>
      </c>
      <c r="H422" s="88" t="s">
        <v>1715</v>
      </c>
      <c r="I422" s="88" t="s">
        <v>1706</v>
      </c>
      <c r="J422" s="99" t="s">
        <v>74</v>
      </c>
      <c r="K422" s="100" t="s">
        <v>25</v>
      </c>
      <c r="L422" s="100" t="s">
        <v>25</v>
      </c>
      <c r="M422" s="91" t="s">
        <v>890</v>
      </c>
      <c r="N422" s="98"/>
      <c r="O422" s="98"/>
      <c r="P422" s="98"/>
    </row>
    <row r="423" hidden="1">
      <c r="A423" s="96" t="s">
        <v>1701</v>
      </c>
      <c r="B423" s="101"/>
      <c r="C423" s="88" t="s">
        <v>1716</v>
      </c>
      <c r="D423" s="98"/>
      <c r="E423" s="88" t="s">
        <v>39</v>
      </c>
      <c r="F423" s="98"/>
      <c r="G423" s="88" t="s">
        <v>1717</v>
      </c>
      <c r="H423" s="88" t="s">
        <v>1718</v>
      </c>
      <c r="I423" s="88" t="s">
        <v>1706</v>
      </c>
      <c r="J423" s="99" t="s">
        <v>74</v>
      </c>
      <c r="K423" s="100" t="s">
        <v>25</v>
      </c>
      <c r="L423" s="100" t="s">
        <v>25</v>
      </c>
      <c r="M423" s="91" t="s">
        <v>890</v>
      </c>
      <c r="N423" s="98"/>
      <c r="O423" s="98"/>
      <c r="P423" s="98"/>
    </row>
    <row r="424" hidden="1">
      <c r="A424" s="96" t="s">
        <v>1701</v>
      </c>
      <c r="B424" s="101"/>
      <c r="C424" s="88" t="s">
        <v>1719</v>
      </c>
      <c r="D424" s="98"/>
      <c r="E424" s="88" t="s">
        <v>39</v>
      </c>
      <c r="F424" s="98"/>
      <c r="G424" s="88" t="s">
        <v>1720</v>
      </c>
      <c r="H424" s="88" t="s">
        <v>1721</v>
      </c>
      <c r="I424" s="88" t="s">
        <v>1706</v>
      </c>
      <c r="J424" s="99" t="s">
        <v>74</v>
      </c>
      <c r="K424" s="100" t="s">
        <v>25</v>
      </c>
      <c r="L424" s="100" t="s">
        <v>25</v>
      </c>
      <c r="M424" s="91" t="s">
        <v>890</v>
      </c>
      <c r="N424" s="98"/>
      <c r="O424" s="98"/>
      <c r="P424" s="98"/>
    </row>
    <row r="425" hidden="1">
      <c r="A425" s="96" t="s">
        <v>1701</v>
      </c>
      <c r="B425" s="101"/>
      <c r="C425" s="88" t="s">
        <v>1722</v>
      </c>
      <c r="D425" s="98"/>
      <c r="E425" s="88" t="s">
        <v>39</v>
      </c>
      <c r="F425" s="98"/>
      <c r="G425" s="88" t="s">
        <v>1723</v>
      </c>
      <c r="H425" s="88" t="s">
        <v>1724</v>
      </c>
      <c r="I425" s="88" t="s">
        <v>1725</v>
      </c>
      <c r="J425" s="99" t="s">
        <v>74</v>
      </c>
      <c r="K425" s="100" t="s">
        <v>75</v>
      </c>
      <c r="L425" s="100" t="s">
        <v>76</v>
      </c>
      <c r="M425" s="98"/>
      <c r="N425" s="98"/>
      <c r="O425" s="98"/>
      <c r="P425" s="98"/>
    </row>
    <row r="426" hidden="1">
      <c r="A426" s="96" t="s">
        <v>1701</v>
      </c>
      <c r="B426" s="101"/>
      <c r="C426" s="88" t="s">
        <v>1726</v>
      </c>
      <c r="D426" s="98"/>
      <c r="E426" s="88" t="s">
        <v>39</v>
      </c>
      <c r="F426" s="98"/>
      <c r="G426" s="88" t="s">
        <v>1727</v>
      </c>
      <c r="H426" s="88" t="s">
        <v>1728</v>
      </c>
      <c r="I426" s="88" t="s">
        <v>1729</v>
      </c>
      <c r="J426" s="99" t="s">
        <v>74</v>
      </c>
      <c r="K426" s="100" t="s">
        <v>75</v>
      </c>
      <c r="L426" s="100" t="s">
        <v>76</v>
      </c>
      <c r="M426" s="91" t="s">
        <v>696</v>
      </c>
      <c r="N426" s="98"/>
      <c r="O426" s="98"/>
      <c r="P426" s="98"/>
    </row>
    <row r="427" hidden="1">
      <c r="A427" s="96" t="s">
        <v>1701</v>
      </c>
      <c r="B427" s="101"/>
      <c r="C427" s="88" t="s">
        <v>1730</v>
      </c>
      <c r="D427" s="98"/>
      <c r="E427" s="88" t="s">
        <v>39</v>
      </c>
      <c r="F427" s="98"/>
      <c r="G427" s="88" t="s">
        <v>1731</v>
      </c>
      <c r="H427" s="88" t="s">
        <v>1732</v>
      </c>
      <c r="I427" s="88" t="s">
        <v>1733</v>
      </c>
      <c r="J427" s="99" t="s">
        <v>74</v>
      </c>
      <c r="K427" s="100" t="s">
        <v>75</v>
      </c>
      <c r="L427" s="100" t="s">
        <v>76</v>
      </c>
      <c r="M427" s="91" t="s">
        <v>696</v>
      </c>
      <c r="N427" s="98"/>
      <c r="O427" s="98"/>
      <c r="P427" s="98"/>
    </row>
    <row r="428" hidden="1">
      <c r="A428" s="96" t="s">
        <v>1701</v>
      </c>
      <c r="B428" s="101"/>
      <c r="C428" s="88" t="s">
        <v>1734</v>
      </c>
      <c r="D428" s="98"/>
      <c r="E428" s="88" t="s">
        <v>39</v>
      </c>
      <c r="F428" s="98"/>
      <c r="G428" s="88" t="s">
        <v>1735</v>
      </c>
      <c r="H428" s="88" t="s">
        <v>1736</v>
      </c>
      <c r="I428" s="88" t="s">
        <v>1737</v>
      </c>
      <c r="J428" s="99" t="s">
        <v>74</v>
      </c>
      <c r="K428" s="100" t="s">
        <v>25</v>
      </c>
      <c r="L428" s="100" t="s">
        <v>25</v>
      </c>
      <c r="M428" s="91" t="s">
        <v>1738</v>
      </c>
      <c r="N428" s="98"/>
      <c r="O428" s="91" t="s">
        <v>593</v>
      </c>
      <c r="P428" s="98"/>
    </row>
    <row r="429" hidden="1">
      <c r="A429" s="96" t="s">
        <v>1701</v>
      </c>
      <c r="B429" s="101"/>
      <c r="C429" s="88" t="s">
        <v>1739</v>
      </c>
      <c r="D429" s="98"/>
      <c r="E429" s="88" t="s">
        <v>39</v>
      </c>
      <c r="F429" s="98"/>
      <c r="G429" s="88" t="s">
        <v>1740</v>
      </c>
      <c r="H429" s="88" t="s">
        <v>1741</v>
      </c>
      <c r="I429" s="88" t="s">
        <v>1737</v>
      </c>
      <c r="J429" s="99" t="s">
        <v>74</v>
      </c>
      <c r="K429" s="100" t="s">
        <v>25</v>
      </c>
      <c r="L429" s="100" t="s">
        <v>25</v>
      </c>
      <c r="M429" s="91" t="s">
        <v>1738</v>
      </c>
      <c r="N429" s="98"/>
      <c r="O429" s="91" t="s">
        <v>593</v>
      </c>
      <c r="P429" s="98"/>
    </row>
    <row r="430" hidden="1">
      <c r="A430" s="96" t="s">
        <v>1742</v>
      </c>
      <c r="B430" s="102" t="s">
        <v>1743</v>
      </c>
      <c r="C430" s="88" t="s">
        <v>1744</v>
      </c>
      <c r="D430" s="98"/>
      <c r="E430" s="88" t="s">
        <v>1126</v>
      </c>
      <c r="F430" s="98"/>
      <c r="G430" s="88" t="s">
        <v>1745</v>
      </c>
      <c r="H430" s="88" t="s">
        <v>1746</v>
      </c>
      <c r="I430" s="88" t="s">
        <v>1747</v>
      </c>
      <c r="J430" s="99" t="s">
        <v>74</v>
      </c>
      <c r="K430" s="100" t="s">
        <v>75</v>
      </c>
      <c r="L430" s="100" t="s">
        <v>76</v>
      </c>
      <c r="M430" s="98"/>
      <c r="N430" s="98"/>
      <c r="O430" s="98"/>
      <c r="P430" s="98"/>
    </row>
    <row r="431" hidden="1">
      <c r="A431" s="96" t="s">
        <v>1742</v>
      </c>
      <c r="B431" s="101"/>
      <c r="C431" s="88" t="s">
        <v>1748</v>
      </c>
      <c r="D431" s="98"/>
      <c r="E431" s="88" t="s">
        <v>1126</v>
      </c>
      <c r="F431" s="98"/>
      <c r="G431" s="88" t="s">
        <v>1749</v>
      </c>
      <c r="H431" s="88" t="s">
        <v>1746</v>
      </c>
      <c r="I431" s="88" t="s">
        <v>1750</v>
      </c>
      <c r="J431" s="99" t="s">
        <v>74</v>
      </c>
      <c r="K431" s="100" t="s">
        <v>75</v>
      </c>
      <c r="L431" s="100" t="s">
        <v>76</v>
      </c>
      <c r="M431" s="98"/>
      <c r="N431" s="98"/>
      <c r="O431" s="98"/>
      <c r="P431" s="98"/>
    </row>
    <row r="432" hidden="1">
      <c r="A432" s="96" t="s">
        <v>1742</v>
      </c>
      <c r="B432" s="101"/>
      <c r="C432" s="88" t="s">
        <v>1751</v>
      </c>
      <c r="D432" s="98"/>
      <c r="E432" s="88" t="s">
        <v>1126</v>
      </c>
      <c r="F432" s="98"/>
      <c r="G432" s="88" t="s">
        <v>1752</v>
      </c>
      <c r="H432" s="88" t="s">
        <v>1746</v>
      </c>
      <c r="I432" s="88" t="s">
        <v>1753</v>
      </c>
      <c r="J432" s="99" t="s">
        <v>74</v>
      </c>
      <c r="K432" s="100" t="s">
        <v>25</v>
      </c>
      <c r="L432" s="100" t="s">
        <v>25</v>
      </c>
      <c r="M432" s="91" t="s">
        <v>1130</v>
      </c>
      <c r="N432" s="98"/>
      <c r="O432" s="98"/>
      <c r="P432" s="98"/>
    </row>
    <row r="433" hidden="1">
      <c r="A433" s="96" t="s">
        <v>1742</v>
      </c>
      <c r="B433" s="101"/>
      <c r="C433" s="88" t="s">
        <v>1754</v>
      </c>
      <c r="D433" s="98"/>
      <c r="E433" s="88" t="s">
        <v>1126</v>
      </c>
      <c r="F433" s="98"/>
      <c r="G433" s="88" t="s">
        <v>1755</v>
      </c>
      <c r="H433" s="88" t="s">
        <v>1756</v>
      </c>
      <c r="I433" s="88" t="s">
        <v>1757</v>
      </c>
      <c r="J433" s="99" t="s">
        <v>74</v>
      </c>
      <c r="K433" s="100" t="s">
        <v>75</v>
      </c>
      <c r="L433" s="100" t="s">
        <v>76</v>
      </c>
      <c r="M433" s="98"/>
      <c r="N433" s="98"/>
      <c r="O433" s="98"/>
      <c r="P433" s="98"/>
    </row>
    <row r="434" hidden="1">
      <c r="A434" s="96" t="s">
        <v>1742</v>
      </c>
      <c r="B434" s="101"/>
      <c r="C434" s="88" t="s">
        <v>1758</v>
      </c>
      <c r="D434" s="98"/>
      <c r="E434" s="88" t="s">
        <v>1126</v>
      </c>
      <c r="F434" s="98"/>
      <c r="G434" s="88" t="s">
        <v>1759</v>
      </c>
      <c r="H434" s="88" t="s">
        <v>1760</v>
      </c>
      <c r="I434" s="88" t="s">
        <v>1761</v>
      </c>
      <c r="J434" s="99" t="s">
        <v>74</v>
      </c>
      <c r="K434" s="100" t="s">
        <v>75</v>
      </c>
      <c r="L434" s="100" t="s">
        <v>76</v>
      </c>
      <c r="M434" s="98"/>
      <c r="N434" s="98"/>
      <c r="O434" s="98"/>
      <c r="P434" s="98"/>
    </row>
    <row r="435" hidden="1">
      <c r="A435" s="96" t="s">
        <v>1742</v>
      </c>
      <c r="B435" s="101"/>
      <c r="C435" s="88" t="s">
        <v>1762</v>
      </c>
      <c r="D435" s="98"/>
      <c r="E435" s="88" t="s">
        <v>1126</v>
      </c>
      <c r="F435" s="98"/>
      <c r="G435" s="88" t="s">
        <v>1763</v>
      </c>
      <c r="H435" s="88" t="s">
        <v>1764</v>
      </c>
      <c r="I435" s="88" t="s">
        <v>1765</v>
      </c>
      <c r="J435" s="99" t="s">
        <v>74</v>
      </c>
      <c r="K435" s="100" t="s">
        <v>75</v>
      </c>
      <c r="L435" s="100" t="s">
        <v>76</v>
      </c>
      <c r="M435" s="98"/>
      <c r="N435" s="98"/>
      <c r="O435" s="98"/>
      <c r="P435" s="98"/>
    </row>
    <row r="436" hidden="1">
      <c r="A436" s="96" t="s">
        <v>1742</v>
      </c>
      <c r="B436" s="101"/>
      <c r="C436" s="88" t="s">
        <v>1766</v>
      </c>
      <c r="D436" s="98"/>
      <c r="E436" s="88" t="s">
        <v>1126</v>
      </c>
      <c r="F436" s="98"/>
      <c r="G436" s="88" t="s">
        <v>1767</v>
      </c>
      <c r="H436" s="88" t="s">
        <v>1764</v>
      </c>
      <c r="I436" s="88" t="s">
        <v>1768</v>
      </c>
      <c r="J436" s="99" t="s">
        <v>74</v>
      </c>
      <c r="K436" s="100" t="s">
        <v>75</v>
      </c>
      <c r="L436" s="100" t="s">
        <v>76</v>
      </c>
      <c r="M436" s="98"/>
      <c r="N436" s="98"/>
      <c r="O436" s="98"/>
      <c r="P436" s="98"/>
    </row>
    <row r="437" hidden="1">
      <c r="A437" s="96" t="s">
        <v>1742</v>
      </c>
      <c r="B437" s="101"/>
      <c r="C437" s="88" t="s">
        <v>1769</v>
      </c>
      <c r="D437" s="98"/>
      <c r="E437" s="88" t="s">
        <v>1126</v>
      </c>
      <c r="F437" s="98"/>
      <c r="G437" s="88" t="s">
        <v>1770</v>
      </c>
      <c r="H437" s="88" t="s">
        <v>1764</v>
      </c>
      <c r="I437" s="88" t="s">
        <v>1771</v>
      </c>
      <c r="J437" s="99" t="s">
        <v>74</v>
      </c>
      <c r="K437" s="100" t="s">
        <v>25</v>
      </c>
      <c r="L437" s="100" t="s">
        <v>25</v>
      </c>
      <c r="M437" s="91" t="s">
        <v>1130</v>
      </c>
      <c r="N437" s="98"/>
      <c r="O437" s="98"/>
      <c r="P437" s="98"/>
    </row>
    <row r="438" hidden="1">
      <c r="A438" s="96" t="s">
        <v>1742</v>
      </c>
      <c r="B438" s="101"/>
      <c r="C438" s="88" t="s">
        <v>1772</v>
      </c>
      <c r="D438" s="98"/>
      <c r="E438" s="88" t="s">
        <v>1126</v>
      </c>
      <c r="F438" s="98"/>
      <c r="G438" s="88" t="s">
        <v>1773</v>
      </c>
      <c r="H438" s="88" t="s">
        <v>1774</v>
      </c>
      <c r="I438" s="88" t="s">
        <v>1775</v>
      </c>
      <c r="J438" s="99" t="s">
        <v>74</v>
      </c>
      <c r="K438" s="100" t="s">
        <v>25</v>
      </c>
      <c r="L438" s="100" t="s">
        <v>25</v>
      </c>
      <c r="M438" s="91" t="s">
        <v>1130</v>
      </c>
      <c r="N438" s="98"/>
      <c r="O438" s="98"/>
      <c r="P438" s="98"/>
    </row>
    <row r="439" hidden="1">
      <c r="A439" s="96" t="s">
        <v>1742</v>
      </c>
      <c r="B439" s="101"/>
      <c r="C439" s="88" t="s">
        <v>1776</v>
      </c>
      <c r="D439" s="98"/>
      <c r="E439" s="88" t="s">
        <v>1126</v>
      </c>
      <c r="F439" s="98"/>
      <c r="G439" s="88" t="s">
        <v>1777</v>
      </c>
      <c r="H439" s="88" t="s">
        <v>1778</v>
      </c>
      <c r="I439" s="88" t="s">
        <v>1779</v>
      </c>
      <c r="J439" s="99" t="s">
        <v>74</v>
      </c>
      <c r="K439" s="100" t="s">
        <v>25</v>
      </c>
      <c r="L439" s="100" t="s">
        <v>25</v>
      </c>
      <c r="M439" s="91" t="s">
        <v>1130</v>
      </c>
      <c r="N439" s="98"/>
      <c r="O439" s="98"/>
      <c r="P439" s="98"/>
    </row>
    <row r="440" hidden="1">
      <c r="A440" s="96" t="s">
        <v>1742</v>
      </c>
      <c r="B440" s="101"/>
      <c r="C440" s="88" t="s">
        <v>1780</v>
      </c>
      <c r="D440" s="98"/>
      <c r="E440" s="88" t="s">
        <v>1126</v>
      </c>
      <c r="F440" s="98"/>
      <c r="G440" s="88" t="s">
        <v>1781</v>
      </c>
      <c r="H440" s="88" t="s">
        <v>1782</v>
      </c>
      <c r="I440" s="88" t="s">
        <v>1783</v>
      </c>
      <c r="J440" s="99" t="s">
        <v>74</v>
      </c>
      <c r="K440" s="100" t="s">
        <v>75</v>
      </c>
      <c r="L440" s="100" t="s">
        <v>76</v>
      </c>
      <c r="M440" s="91" t="s">
        <v>593</v>
      </c>
      <c r="N440" s="98"/>
      <c r="O440" s="98"/>
      <c r="P440" s="98"/>
    </row>
    <row r="441" hidden="1">
      <c r="A441" s="96" t="s">
        <v>1742</v>
      </c>
      <c r="B441" s="101"/>
      <c r="C441" s="88" t="s">
        <v>1784</v>
      </c>
      <c r="D441" s="98"/>
      <c r="E441" s="88" t="s">
        <v>1126</v>
      </c>
      <c r="F441" s="98"/>
      <c r="G441" s="88" t="s">
        <v>1785</v>
      </c>
      <c r="H441" s="88" t="s">
        <v>1786</v>
      </c>
      <c r="I441" s="88" t="s">
        <v>1787</v>
      </c>
      <c r="J441" s="99" t="s">
        <v>74</v>
      </c>
      <c r="K441" s="100" t="s">
        <v>75</v>
      </c>
      <c r="L441" s="100" t="s">
        <v>76</v>
      </c>
      <c r="M441" s="98"/>
      <c r="N441" s="98"/>
      <c r="O441" s="98"/>
      <c r="P441" s="98"/>
    </row>
    <row r="442" hidden="1">
      <c r="A442" s="108"/>
      <c r="B442" s="98"/>
      <c r="C442" s="102" t="s">
        <v>1788</v>
      </c>
      <c r="D442" s="98"/>
      <c r="E442" s="88" t="s">
        <v>1126</v>
      </c>
      <c r="F442" s="98"/>
      <c r="G442" s="115" t="s">
        <v>1789</v>
      </c>
      <c r="H442" s="115" t="s">
        <v>1790</v>
      </c>
      <c r="I442" s="102" t="s">
        <v>1791</v>
      </c>
      <c r="J442" s="99" t="s">
        <v>74</v>
      </c>
      <c r="K442" s="100" t="s">
        <v>25</v>
      </c>
      <c r="L442" s="100" t="s">
        <v>25</v>
      </c>
      <c r="M442" s="91" t="s">
        <v>1792</v>
      </c>
      <c r="N442" s="116" t="s">
        <v>1793</v>
      </c>
      <c r="O442" s="98"/>
      <c r="P442" s="98"/>
    </row>
    <row r="443" hidden="1">
      <c r="A443" s="108"/>
      <c r="B443" s="98"/>
      <c r="C443" s="102" t="s">
        <v>1794</v>
      </c>
      <c r="D443" s="98"/>
      <c r="E443" s="88" t="s">
        <v>1107</v>
      </c>
      <c r="F443" s="98"/>
      <c r="G443" s="115" t="s">
        <v>1795</v>
      </c>
      <c r="H443" s="115" t="s">
        <v>1796</v>
      </c>
      <c r="I443" s="102" t="s">
        <v>1797</v>
      </c>
      <c r="J443" s="99" t="s">
        <v>74</v>
      </c>
      <c r="K443" s="100" t="s">
        <v>75</v>
      </c>
      <c r="L443" s="100" t="s">
        <v>76</v>
      </c>
      <c r="M443" s="98"/>
      <c r="N443" s="116" t="s">
        <v>1798</v>
      </c>
      <c r="O443" s="98"/>
      <c r="P443" s="98"/>
    </row>
    <row r="444" hidden="1">
      <c r="A444" s="108"/>
      <c r="B444" s="98"/>
      <c r="C444" s="102" t="s">
        <v>1799</v>
      </c>
      <c r="D444" s="98"/>
      <c r="E444" s="88" t="s">
        <v>1126</v>
      </c>
      <c r="F444" s="98"/>
      <c r="G444" s="115" t="s">
        <v>1800</v>
      </c>
      <c r="H444" s="115" t="s">
        <v>1801</v>
      </c>
      <c r="I444" s="102" t="s">
        <v>1802</v>
      </c>
      <c r="J444" s="99" t="s">
        <v>74</v>
      </c>
      <c r="K444" s="100" t="s">
        <v>75</v>
      </c>
      <c r="L444" s="100" t="s">
        <v>76</v>
      </c>
      <c r="M444" s="98"/>
      <c r="N444" s="116" t="s">
        <v>1803</v>
      </c>
      <c r="O444" s="98"/>
      <c r="P444" s="98"/>
    </row>
    <row r="445" hidden="1">
      <c r="A445" s="108"/>
      <c r="B445" s="98"/>
      <c r="C445" s="102" t="s">
        <v>1804</v>
      </c>
      <c r="D445" s="98"/>
      <c r="E445" s="88" t="s">
        <v>1126</v>
      </c>
      <c r="F445" s="98"/>
      <c r="G445" s="115" t="s">
        <v>1805</v>
      </c>
      <c r="H445" s="115" t="s">
        <v>1806</v>
      </c>
      <c r="I445" s="102" t="s">
        <v>1807</v>
      </c>
      <c r="J445" s="99" t="s">
        <v>74</v>
      </c>
      <c r="K445" s="100" t="s">
        <v>75</v>
      </c>
      <c r="L445" s="100" t="s">
        <v>76</v>
      </c>
      <c r="M445" s="91" t="s">
        <v>1462</v>
      </c>
      <c r="N445" s="116" t="s">
        <v>1808</v>
      </c>
      <c r="O445" s="98"/>
      <c r="P445" s="98"/>
    </row>
    <row r="446">
      <c r="A446" s="108"/>
      <c r="B446" s="98"/>
      <c r="C446" s="102" t="s">
        <v>1809</v>
      </c>
      <c r="D446" s="98"/>
      <c r="E446" s="88" t="s">
        <v>1126</v>
      </c>
      <c r="F446" s="98"/>
      <c r="G446" s="115" t="s">
        <v>1810</v>
      </c>
      <c r="H446" s="115" t="s">
        <v>1811</v>
      </c>
      <c r="I446" s="102" t="s">
        <v>1812</v>
      </c>
      <c r="J446" s="110" t="s">
        <v>714</v>
      </c>
      <c r="K446" s="100" t="s">
        <v>25</v>
      </c>
      <c r="L446" s="100" t="s">
        <v>25</v>
      </c>
      <c r="M446" s="91" t="s">
        <v>1792</v>
      </c>
      <c r="N446" s="116" t="s">
        <v>1813</v>
      </c>
      <c r="O446" s="98"/>
      <c r="P446" s="98"/>
    </row>
    <row r="447">
      <c r="A447" s="108"/>
      <c r="B447" s="98"/>
      <c r="C447" s="102" t="s">
        <v>1814</v>
      </c>
      <c r="D447" s="98"/>
      <c r="E447" s="88" t="s">
        <v>39</v>
      </c>
      <c r="F447" s="98"/>
      <c r="G447" s="115" t="s">
        <v>1815</v>
      </c>
      <c r="H447" s="115" t="s">
        <v>1816</v>
      </c>
      <c r="I447" s="102" t="s">
        <v>1817</v>
      </c>
      <c r="J447" s="110" t="s">
        <v>714</v>
      </c>
      <c r="K447" s="100" t="s">
        <v>25</v>
      </c>
      <c r="L447" s="100" t="s">
        <v>25</v>
      </c>
      <c r="M447" s="91" t="s">
        <v>890</v>
      </c>
      <c r="N447" s="116" t="s">
        <v>1818</v>
      </c>
      <c r="O447" s="98"/>
      <c r="P447" s="98"/>
    </row>
    <row r="448" hidden="1">
      <c r="A448" s="108"/>
      <c r="B448" s="98"/>
      <c r="C448" s="102" t="s">
        <v>1819</v>
      </c>
      <c r="D448" s="98"/>
      <c r="E448" s="88" t="s">
        <v>1126</v>
      </c>
      <c r="F448" s="98"/>
      <c r="G448" s="115" t="s">
        <v>1820</v>
      </c>
      <c r="H448" s="115" t="s">
        <v>1821</v>
      </c>
      <c r="I448" s="102" t="s">
        <v>1822</v>
      </c>
      <c r="J448" s="99" t="s">
        <v>74</v>
      </c>
      <c r="K448" s="100" t="s">
        <v>75</v>
      </c>
      <c r="L448" s="100" t="s">
        <v>76</v>
      </c>
      <c r="M448" s="98"/>
      <c r="N448" s="116" t="s">
        <v>1823</v>
      </c>
      <c r="O448" s="98"/>
      <c r="P448" s="98"/>
    </row>
    <row r="449" hidden="1">
      <c r="A449" s="108"/>
      <c r="B449" s="98"/>
      <c r="C449" s="102" t="s">
        <v>1824</v>
      </c>
      <c r="D449" s="98"/>
      <c r="E449" s="88" t="s">
        <v>1126</v>
      </c>
      <c r="F449" s="98"/>
      <c r="G449" s="115" t="s">
        <v>1825</v>
      </c>
      <c r="H449" s="115" t="s">
        <v>1826</v>
      </c>
      <c r="I449" s="102" t="s">
        <v>1822</v>
      </c>
      <c r="J449" s="99" t="s">
        <v>74</v>
      </c>
      <c r="K449" s="100" t="s">
        <v>25</v>
      </c>
      <c r="L449" s="100" t="s">
        <v>25</v>
      </c>
      <c r="M449" s="91" t="s">
        <v>1130</v>
      </c>
      <c r="N449" s="116" t="s">
        <v>1827</v>
      </c>
      <c r="O449" s="98"/>
      <c r="P449" s="98"/>
    </row>
    <row r="450" hidden="1">
      <c r="A450" s="108"/>
      <c r="B450" s="98"/>
      <c r="C450" s="102" t="s">
        <v>1828</v>
      </c>
      <c r="D450" s="98"/>
      <c r="E450" s="88" t="s">
        <v>1126</v>
      </c>
      <c r="F450" s="98"/>
      <c r="G450" s="115" t="s">
        <v>1829</v>
      </c>
      <c r="H450" s="115" t="s">
        <v>1830</v>
      </c>
      <c r="I450" s="102" t="s">
        <v>708</v>
      </c>
      <c r="J450" s="99" t="s">
        <v>74</v>
      </c>
      <c r="K450" s="100" t="s">
        <v>25</v>
      </c>
      <c r="L450" s="100" t="s">
        <v>25</v>
      </c>
      <c r="M450" s="91" t="s">
        <v>1130</v>
      </c>
      <c r="N450" s="116" t="s">
        <v>1831</v>
      </c>
      <c r="O450" s="98"/>
      <c r="P450" s="98"/>
    </row>
    <row r="451">
      <c r="A451" s="108"/>
      <c r="B451" s="98"/>
      <c r="C451" s="102" t="s">
        <v>1832</v>
      </c>
      <c r="D451" s="98"/>
      <c r="E451" s="88" t="s">
        <v>1126</v>
      </c>
      <c r="F451" s="98"/>
      <c r="G451" s="115" t="s">
        <v>1833</v>
      </c>
      <c r="H451" s="115" t="s">
        <v>1834</v>
      </c>
      <c r="I451" s="102" t="s">
        <v>1835</v>
      </c>
      <c r="J451" s="110" t="s">
        <v>714</v>
      </c>
      <c r="K451" s="100" t="s">
        <v>25</v>
      </c>
      <c r="L451" s="100" t="s">
        <v>25</v>
      </c>
      <c r="M451" s="91" t="s">
        <v>1836</v>
      </c>
      <c r="N451" s="116" t="s">
        <v>1837</v>
      </c>
      <c r="O451" s="98"/>
      <c r="P451" s="98"/>
    </row>
    <row r="452">
      <c r="A452" s="108"/>
      <c r="B452" s="98"/>
      <c r="C452" s="102" t="s">
        <v>1838</v>
      </c>
      <c r="D452" s="98"/>
      <c r="E452" s="88" t="s">
        <v>1126</v>
      </c>
      <c r="F452" s="98"/>
      <c r="G452" s="115" t="s">
        <v>1839</v>
      </c>
      <c r="H452" s="115" t="s">
        <v>1840</v>
      </c>
      <c r="I452" s="102" t="s">
        <v>1841</v>
      </c>
      <c r="J452" s="110" t="s">
        <v>714</v>
      </c>
      <c r="K452" s="100" t="s">
        <v>25</v>
      </c>
      <c r="L452" s="100" t="s">
        <v>25</v>
      </c>
      <c r="M452" s="91" t="s">
        <v>1792</v>
      </c>
      <c r="N452" s="116" t="s">
        <v>1842</v>
      </c>
      <c r="O452" s="98"/>
      <c r="P452" s="98"/>
    </row>
    <row r="453">
      <c r="A453" s="108"/>
      <c r="B453" s="98"/>
      <c r="C453" s="102" t="s">
        <v>1843</v>
      </c>
      <c r="D453" s="98"/>
      <c r="E453" s="88" t="s">
        <v>1126</v>
      </c>
      <c r="F453" s="98"/>
      <c r="G453" s="115" t="s">
        <v>1844</v>
      </c>
      <c r="H453" s="115" t="s">
        <v>1845</v>
      </c>
      <c r="I453" s="102" t="s">
        <v>1846</v>
      </c>
      <c r="J453" s="110" t="s">
        <v>714</v>
      </c>
      <c r="K453" s="100" t="s">
        <v>25</v>
      </c>
      <c r="L453" s="100" t="s">
        <v>25</v>
      </c>
      <c r="M453" s="91" t="s">
        <v>1792</v>
      </c>
      <c r="N453" s="116" t="s">
        <v>1847</v>
      </c>
      <c r="O453" s="98"/>
      <c r="P453" s="98"/>
    </row>
    <row r="454">
      <c r="A454" s="108"/>
      <c r="B454" s="98"/>
      <c r="C454" s="88" t="s">
        <v>1848</v>
      </c>
      <c r="D454" s="98"/>
      <c r="E454" s="88" t="s">
        <v>1126</v>
      </c>
      <c r="F454" s="98"/>
      <c r="G454" s="117" t="s">
        <v>1849</v>
      </c>
      <c r="H454" s="117" t="s">
        <v>1850</v>
      </c>
      <c r="I454" s="88" t="s">
        <v>1851</v>
      </c>
      <c r="J454" s="110" t="s">
        <v>714</v>
      </c>
      <c r="K454" s="100" t="s">
        <v>25</v>
      </c>
      <c r="L454" s="100" t="s">
        <v>25</v>
      </c>
      <c r="M454" s="91" t="s">
        <v>1792</v>
      </c>
      <c r="N454" s="105" t="s">
        <v>1852</v>
      </c>
      <c r="O454" s="98"/>
      <c r="P454" s="98"/>
    </row>
    <row r="455" hidden="1">
      <c r="A455" s="118" t="s">
        <v>1853</v>
      </c>
      <c r="B455" s="119" t="s">
        <v>1854</v>
      </c>
      <c r="C455" s="118" t="s">
        <v>1855</v>
      </c>
      <c r="D455" s="120"/>
      <c r="E455" s="88" t="s">
        <v>35</v>
      </c>
      <c r="F455" s="120"/>
      <c r="G455" s="121" t="s">
        <v>1856</v>
      </c>
      <c r="H455" s="121" t="s">
        <v>1857</v>
      </c>
      <c r="I455" s="121" t="s">
        <v>1858</v>
      </c>
      <c r="J455" s="122" t="s">
        <v>74</v>
      </c>
      <c r="K455" s="123" t="s">
        <v>25</v>
      </c>
      <c r="L455" s="123" t="s">
        <v>25</v>
      </c>
      <c r="M455" s="124" t="s">
        <v>1859</v>
      </c>
      <c r="N455" s="125"/>
      <c r="O455" s="125"/>
      <c r="P455" s="125"/>
    </row>
    <row r="456" hidden="1">
      <c r="A456" s="118" t="s">
        <v>1853</v>
      </c>
      <c r="B456" s="126"/>
      <c r="C456" s="118" t="s">
        <v>1860</v>
      </c>
      <c r="D456" s="120"/>
      <c r="E456" s="88" t="s">
        <v>35</v>
      </c>
      <c r="F456" s="120"/>
      <c r="G456" s="121" t="s">
        <v>1861</v>
      </c>
      <c r="H456" s="121" t="s">
        <v>1862</v>
      </c>
      <c r="I456" s="121" t="s">
        <v>1858</v>
      </c>
      <c r="J456" s="122" t="s">
        <v>74</v>
      </c>
      <c r="K456" s="123" t="s">
        <v>25</v>
      </c>
      <c r="L456" s="123" t="s">
        <v>25</v>
      </c>
      <c r="M456" s="124" t="s">
        <v>1863</v>
      </c>
      <c r="N456" s="125"/>
      <c r="O456" s="125"/>
      <c r="P456" s="125"/>
    </row>
    <row r="457" hidden="1">
      <c r="A457" s="118" t="s">
        <v>1853</v>
      </c>
      <c r="B457" s="126"/>
      <c r="C457" s="118" t="s">
        <v>1864</v>
      </c>
      <c r="D457" s="120"/>
      <c r="E457" s="88" t="s">
        <v>35</v>
      </c>
      <c r="F457" s="120"/>
      <c r="G457" s="121" t="s">
        <v>1865</v>
      </c>
      <c r="H457" s="121" t="s">
        <v>1866</v>
      </c>
      <c r="I457" s="121" t="s">
        <v>1858</v>
      </c>
      <c r="J457" s="122" t="s">
        <v>74</v>
      </c>
      <c r="K457" s="123" t="s">
        <v>25</v>
      </c>
      <c r="L457" s="123" t="s">
        <v>25</v>
      </c>
      <c r="M457" s="124" t="s">
        <v>1863</v>
      </c>
      <c r="N457" s="125"/>
      <c r="O457" s="125"/>
      <c r="P457" s="125"/>
    </row>
    <row r="458" hidden="1">
      <c r="A458" s="118" t="s">
        <v>1853</v>
      </c>
      <c r="B458" s="126"/>
      <c r="C458" s="118" t="s">
        <v>1867</v>
      </c>
      <c r="D458" s="120"/>
      <c r="E458" s="88" t="s">
        <v>35</v>
      </c>
      <c r="F458" s="120"/>
      <c r="G458" s="121" t="s">
        <v>1868</v>
      </c>
      <c r="H458" s="121" t="s">
        <v>1857</v>
      </c>
      <c r="I458" s="121" t="s">
        <v>1858</v>
      </c>
      <c r="J458" s="122" t="s">
        <v>74</v>
      </c>
      <c r="K458" s="123" t="s">
        <v>25</v>
      </c>
      <c r="L458" s="123" t="s">
        <v>25</v>
      </c>
      <c r="M458" s="124" t="s">
        <v>1863</v>
      </c>
      <c r="N458" s="125"/>
      <c r="O458" s="125"/>
      <c r="P458" s="125"/>
    </row>
    <row r="459" hidden="1">
      <c r="A459" s="118" t="s">
        <v>1853</v>
      </c>
      <c r="B459" s="126"/>
      <c r="C459" s="118" t="s">
        <v>1869</v>
      </c>
      <c r="D459" s="120"/>
      <c r="E459" s="88" t="s">
        <v>35</v>
      </c>
      <c r="F459" s="120"/>
      <c r="G459" s="121" t="s">
        <v>1870</v>
      </c>
      <c r="H459" s="121" t="s">
        <v>1862</v>
      </c>
      <c r="I459" s="121" t="s">
        <v>1858</v>
      </c>
      <c r="J459" s="122" t="s">
        <v>74</v>
      </c>
      <c r="K459" s="123" t="s">
        <v>25</v>
      </c>
      <c r="L459" s="123" t="s">
        <v>25</v>
      </c>
      <c r="M459" s="124" t="s">
        <v>1863</v>
      </c>
      <c r="N459" s="125"/>
      <c r="O459" s="125"/>
      <c r="P459" s="125"/>
    </row>
    <row r="460" hidden="1">
      <c r="A460" s="118" t="s">
        <v>1853</v>
      </c>
      <c r="B460" s="126"/>
      <c r="C460" s="118" t="s">
        <v>1871</v>
      </c>
      <c r="D460" s="120"/>
      <c r="E460" s="88" t="s">
        <v>35</v>
      </c>
      <c r="F460" s="120"/>
      <c r="G460" s="121" t="s">
        <v>1870</v>
      </c>
      <c r="H460" s="121" t="s">
        <v>1866</v>
      </c>
      <c r="I460" s="121" t="s">
        <v>1858</v>
      </c>
      <c r="J460" s="122" t="s">
        <v>74</v>
      </c>
      <c r="K460" s="123" t="s">
        <v>25</v>
      </c>
      <c r="L460" s="123" t="s">
        <v>25</v>
      </c>
      <c r="M460" s="124" t="s">
        <v>1863</v>
      </c>
      <c r="N460" s="125"/>
      <c r="O460" s="125"/>
      <c r="P460" s="125"/>
    </row>
    <row r="461" hidden="1">
      <c r="A461" s="118" t="s">
        <v>1853</v>
      </c>
      <c r="B461" s="126"/>
      <c r="C461" s="118" t="s">
        <v>1872</v>
      </c>
      <c r="D461" s="120"/>
      <c r="E461" s="88" t="s">
        <v>35</v>
      </c>
      <c r="F461" s="120"/>
      <c r="G461" s="121" t="s">
        <v>1873</v>
      </c>
      <c r="H461" s="121" t="s">
        <v>1857</v>
      </c>
      <c r="I461" s="121" t="s">
        <v>1858</v>
      </c>
      <c r="J461" s="122" t="s">
        <v>74</v>
      </c>
      <c r="K461" s="123" t="s">
        <v>25</v>
      </c>
      <c r="L461" s="123" t="s">
        <v>25</v>
      </c>
      <c r="M461" s="124" t="s">
        <v>1863</v>
      </c>
      <c r="N461" s="125"/>
      <c r="O461" s="125"/>
      <c r="P461" s="125"/>
    </row>
    <row r="462" hidden="1">
      <c r="A462" s="118" t="s">
        <v>1853</v>
      </c>
      <c r="B462" s="126"/>
      <c r="C462" s="118" t="s">
        <v>1874</v>
      </c>
      <c r="D462" s="120"/>
      <c r="E462" s="88" t="s">
        <v>35</v>
      </c>
      <c r="F462" s="120"/>
      <c r="G462" s="121" t="s">
        <v>1875</v>
      </c>
      <c r="H462" s="121" t="s">
        <v>1862</v>
      </c>
      <c r="I462" s="121" t="s">
        <v>1858</v>
      </c>
      <c r="J462" s="122" t="s">
        <v>74</v>
      </c>
      <c r="K462" s="123" t="s">
        <v>25</v>
      </c>
      <c r="L462" s="123" t="s">
        <v>25</v>
      </c>
      <c r="M462" s="124" t="s">
        <v>1863</v>
      </c>
      <c r="N462" s="125"/>
      <c r="O462" s="125"/>
      <c r="P462" s="125"/>
    </row>
    <row r="463" hidden="1">
      <c r="A463" s="118" t="s">
        <v>1853</v>
      </c>
      <c r="B463" s="126"/>
      <c r="C463" s="118" t="s">
        <v>1876</v>
      </c>
      <c r="D463" s="120"/>
      <c r="E463" s="88" t="s">
        <v>35</v>
      </c>
      <c r="F463" s="120"/>
      <c r="G463" s="121" t="s">
        <v>1877</v>
      </c>
      <c r="H463" s="121" t="s">
        <v>1866</v>
      </c>
      <c r="I463" s="121" t="s">
        <v>1858</v>
      </c>
      <c r="J463" s="122" t="s">
        <v>74</v>
      </c>
      <c r="K463" s="123" t="s">
        <v>25</v>
      </c>
      <c r="L463" s="123" t="s">
        <v>25</v>
      </c>
      <c r="M463" s="124" t="s">
        <v>1863</v>
      </c>
      <c r="N463" s="125"/>
      <c r="O463" s="125"/>
      <c r="P463" s="125"/>
    </row>
    <row r="464" hidden="1">
      <c r="A464" s="118" t="s">
        <v>1853</v>
      </c>
      <c r="B464" s="126"/>
      <c r="C464" s="118" t="s">
        <v>1878</v>
      </c>
      <c r="D464" s="120"/>
      <c r="E464" s="88" t="s">
        <v>35</v>
      </c>
      <c r="F464" s="120"/>
      <c r="G464" s="121" t="s">
        <v>1879</v>
      </c>
      <c r="H464" s="121" t="s">
        <v>1880</v>
      </c>
      <c r="I464" s="121" t="s">
        <v>1881</v>
      </c>
      <c r="J464" s="122" t="s">
        <v>74</v>
      </c>
      <c r="K464" s="123" t="s">
        <v>25</v>
      </c>
      <c r="L464" s="123" t="s">
        <v>25</v>
      </c>
      <c r="M464" s="124" t="s">
        <v>1863</v>
      </c>
      <c r="N464" s="125"/>
      <c r="O464" s="125"/>
      <c r="P464" s="125"/>
    </row>
    <row r="465" hidden="1">
      <c r="A465" s="118" t="s">
        <v>1853</v>
      </c>
      <c r="B465" s="126"/>
      <c r="C465" s="118" t="s">
        <v>1882</v>
      </c>
      <c r="D465" s="120"/>
      <c r="E465" s="88" t="s">
        <v>35</v>
      </c>
      <c r="F465" s="120"/>
      <c r="G465" s="121" t="s">
        <v>1883</v>
      </c>
      <c r="H465" s="121" t="s">
        <v>1884</v>
      </c>
      <c r="I465" s="121" t="s">
        <v>1885</v>
      </c>
      <c r="J465" s="122" t="s">
        <v>74</v>
      </c>
      <c r="K465" s="123" t="s">
        <v>25</v>
      </c>
      <c r="L465" s="123" t="s">
        <v>25</v>
      </c>
      <c r="M465" s="124" t="s">
        <v>1863</v>
      </c>
      <c r="N465" s="125"/>
      <c r="O465" s="125"/>
      <c r="P465" s="125"/>
    </row>
    <row r="466" hidden="1">
      <c r="A466" s="118" t="s">
        <v>1853</v>
      </c>
      <c r="B466" s="10"/>
      <c r="C466" s="118" t="s">
        <v>1886</v>
      </c>
      <c r="D466" s="120"/>
      <c r="E466" s="88" t="s">
        <v>35</v>
      </c>
      <c r="F466" s="120"/>
      <c r="G466" s="121" t="s">
        <v>1887</v>
      </c>
      <c r="H466" s="121" t="s">
        <v>1888</v>
      </c>
      <c r="I466" s="121" t="s">
        <v>1889</v>
      </c>
      <c r="J466" s="122" t="s">
        <v>74</v>
      </c>
      <c r="K466" s="123" t="s">
        <v>25</v>
      </c>
      <c r="L466" s="123" t="s">
        <v>25</v>
      </c>
      <c r="M466" s="124" t="s">
        <v>1863</v>
      </c>
      <c r="N466" s="125"/>
      <c r="O466" s="125"/>
      <c r="P466" s="125"/>
    </row>
    <row r="467" hidden="1">
      <c r="A467" s="118" t="s">
        <v>1890</v>
      </c>
      <c r="B467" s="127" t="s">
        <v>1891</v>
      </c>
      <c r="C467" s="118" t="s">
        <v>1892</v>
      </c>
      <c r="D467" s="120"/>
      <c r="E467" s="88" t="s">
        <v>36</v>
      </c>
      <c r="F467" s="120"/>
      <c r="G467" s="121" t="s">
        <v>1893</v>
      </c>
      <c r="H467" s="121" t="s">
        <v>1894</v>
      </c>
      <c r="I467" s="121" t="s">
        <v>1895</v>
      </c>
      <c r="J467" s="122" t="s">
        <v>74</v>
      </c>
      <c r="K467" s="123" t="s">
        <v>25</v>
      </c>
      <c r="L467" s="123" t="s">
        <v>25</v>
      </c>
      <c r="M467" s="118" t="s">
        <v>1427</v>
      </c>
      <c r="N467" s="120"/>
      <c r="O467" s="120"/>
      <c r="P467" s="120"/>
    </row>
    <row r="468" hidden="1">
      <c r="A468" s="118" t="s">
        <v>1890</v>
      </c>
      <c r="B468" s="126"/>
      <c r="C468" s="118" t="s">
        <v>1896</v>
      </c>
      <c r="D468" s="120"/>
      <c r="E468" s="88" t="s">
        <v>36</v>
      </c>
      <c r="F468" s="120"/>
      <c r="G468" s="121" t="s">
        <v>1897</v>
      </c>
      <c r="H468" s="121" t="s">
        <v>1894</v>
      </c>
      <c r="I468" s="121" t="s">
        <v>1898</v>
      </c>
      <c r="J468" s="122" t="s">
        <v>74</v>
      </c>
      <c r="K468" s="123" t="s">
        <v>25</v>
      </c>
      <c r="L468" s="123" t="s">
        <v>25</v>
      </c>
      <c r="M468" s="118" t="s">
        <v>1427</v>
      </c>
      <c r="N468" s="120"/>
      <c r="O468" s="120"/>
      <c r="P468" s="120"/>
    </row>
    <row r="469" hidden="1">
      <c r="A469" s="118" t="s">
        <v>1890</v>
      </c>
      <c r="B469" s="126"/>
      <c r="C469" s="118" t="s">
        <v>1899</v>
      </c>
      <c r="D469" s="120"/>
      <c r="E469" s="88" t="s">
        <v>36</v>
      </c>
      <c r="F469" s="120"/>
      <c r="G469" s="121" t="s">
        <v>1900</v>
      </c>
      <c r="H469" s="121" t="s">
        <v>1901</v>
      </c>
      <c r="I469" s="121" t="s">
        <v>1902</v>
      </c>
      <c r="J469" s="122" t="s">
        <v>74</v>
      </c>
      <c r="K469" s="123" t="s">
        <v>25</v>
      </c>
      <c r="L469" s="123" t="s">
        <v>25</v>
      </c>
      <c r="M469" s="118" t="s">
        <v>1903</v>
      </c>
      <c r="N469" s="120"/>
      <c r="O469" s="120"/>
      <c r="P469" s="120"/>
    </row>
    <row r="470" hidden="1">
      <c r="A470" s="118" t="s">
        <v>1890</v>
      </c>
      <c r="B470" s="126"/>
      <c r="C470" s="118" t="s">
        <v>1904</v>
      </c>
      <c r="D470" s="120"/>
      <c r="E470" s="88" t="s">
        <v>36</v>
      </c>
      <c r="F470" s="120"/>
      <c r="G470" s="121" t="s">
        <v>1905</v>
      </c>
      <c r="H470" s="121" t="s">
        <v>1906</v>
      </c>
      <c r="I470" s="121" t="s">
        <v>1907</v>
      </c>
      <c r="J470" s="122" t="s">
        <v>74</v>
      </c>
      <c r="K470" s="123" t="s">
        <v>25</v>
      </c>
      <c r="L470" s="123" t="s">
        <v>25</v>
      </c>
      <c r="M470" s="118" t="s">
        <v>1903</v>
      </c>
      <c r="N470" s="120"/>
      <c r="O470" s="120"/>
      <c r="P470" s="120"/>
    </row>
    <row r="471" hidden="1">
      <c r="A471" s="118" t="s">
        <v>1890</v>
      </c>
      <c r="B471" s="126"/>
      <c r="C471" s="118" t="s">
        <v>1908</v>
      </c>
      <c r="D471" s="120"/>
      <c r="E471" s="88" t="s">
        <v>36</v>
      </c>
      <c r="F471" s="120"/>
      <c r="G471" s="121" t="s">
        <v>1909</v>
      </c>
      <c r="H471" s="121" t="s">
        <v>1910</v>
      </c>
      <c r="I471" s="121" t="s">
        <v>1907</v>
      </c>
      <c r="J471" s="122" t="s">
        <v>74</v>
      </c>
      <c r="K471" s="123" t="s">
        <v>25</v>
      </c>
      <c r="L471" s="123" t="s">
        <v>25</v>
      </c>
      <c r="M471" s="118" t="s">
        <v>1903</v>
      </c>
      <c r="N471" s="120"/>
      <c r="O471" s="120"/>
      <c r="P471" s="120"/>
    </row>
    <row r="472" hidden="1">
      <c r="A472" s="118" t="s">
        <v>1890</v>
      </c>
      <c r="B472" s="126"/>
      <c r="C472" s="118" t="s">
        <v>1911</v>
      </c>
      <c r="D472" s="120"/>
      <c r="E472" s="88" t="s">
        <v>36</v>
      </c>
      <c r="F472" s="120"/>
      <c r="G472" s="121" t="s">
        <v>1912</v>
      </c>
      <c r="H472" s="121" t="s">
        <v>1913</v>
      </c>
      <c r="I472" s="121" t="s">
        <v>1907</v>
      </c>
      <c r="J472" s="122" t="s">
        <v>74</v>
      </c>
      <c r="K472" s="123" t="s">
        <v>25</v>
      </c>
      <c r="L472" s="123" t="s">
        <v>25</v>
      </c>
      <c r="M472" s="118" t="s">
        <v>1903</v>
      </c>
      <c r="N472" s="120"/>
      <c r="O472" s="120"/>
      <c r="P472" s="120"/>
    </row>
    <row r="473" hidden="1">
      <c r="A473" s="118" t="s">
        <v>1890</v>
      </c>
      <c r="B473" s="126"/>
      <c r="C473" s="118" t="s">
        <v>1914</v>
      </c>
      <c r="D473" s="120"/>
      <c r="E473" s="88" t="s">
        <v>36</v>
      </c>
      <c r="F473" s="120"/>
      <c r="G473" s="121" t="s">
        <v>1915</v>
      </c>
      <c r="H473" s="121" t="s">
        <v>1916</v>
      </c>
      <c r="I473" s="121" t="s">
        <v>1907</v>
      </c>
      <c r="J473" s="122" t="s">
        <v>74</v>
      </c>
      <c r="K473" s="123" t="s">
        <v>25</v>
      </c>
      <c r="L473" s="123" t="s">
        <v>25</v>
      </c>
      <c r="M473" s="118" t="s">
        <v>1903</v>
      </c>
      <c r="N473" s="120"/>
      <c r="O473" s="120"/>
      <c r="P473" s="120"/>
    </row>
    <row r="474" hidden="1">
      <c r="A474" s="118" t="s">
        <v>1890</v>
      </c>
      <c r="B474" s="126"/>
      <c r="C474" s="118" t="s">
        <v>1917</v>
      </c>
      <c r="D474" s="120"/>
      <c r="E474" s="88" t="s">
        <v>36</v>
      </c>
      <c r="F474" s="120"/>
      <c r="G474" s="121" t="s">
        <v>1918</v>
      </c>
      <c r="H474" s="121" t="s">
        <v>1919</v>
      </c>
      <c r="I474" s="121" t="s">
        <v>1920</v>
      </c>
      <c r="J474" s="122" t="s">
        <v>74</v>
      </c>
      <c r="K474" s="123" t="s">
        <v>25</v>
      </c>
      <c r="L474" s="123" t="s">
        <v>25</v>
      </c>
      <c r="M474" s="118" t="s">
        <v>1903</v>
      </c>
      <c r="N474" s="120"/>
      <c r="O474" s="120"/>
      <c r="P474" s="120"/>
    </row>
    <row r="475">
      <c r="A475" s="118" t="s">
        <v>1890</v>
      </c>
      <c r="B475" s="126"/>
      <c r="C475" s="118" t="s">
        <v>1921</v>
      </c>
      <c r="D475" s="120"/>
      <c r="E475" s="88" t="s">
        <v>36</v>
      </c>
      <c r="F475" s="120"/>
      <c r="G475" s="121" t="s">
        <v>1922</v>
      </c>
      <c r="H475" s="121" t="s">
        <v>1923</v>
      </c>
      <c r="I475" s="121" t="s">
        <v>1920</v>
      </c>
      <c r="J475" s="128" t="s">
        <v>714</v>
      </c>
      <c r="K475" s="123" t="s">
        <v>25</v>
      </c>
      <c r="L475" s="123" t="s">
        <v>25</v>
      </c>
      <c r="M475" s="118" t="s">
        <v>1792</v>
      </c>
      <c r="N475" s="129" t="s">
        <v>1924</v>
      </c>
      <c r="O475" s="120"/>
      <c r="P475" s="120"/>
    </row>
    <row r="476" hidden="1">
      <c r="A476" s="118" t="s">
        <v>1890</v>
      </c>
      <c r="B476" s="10"/>
      <c r="C476" s="118" t="s">
        <v>1925</v>
      </c>
      <c r="D476" s="120"/>
      <c r="E476" s="88" t="s">
        <v>36</v>
      </c>
      <c r="F476" s="120"/>
      <c r="G476" s="121" t="s">
        <v>1926</v>
      </c>
      <c r="H476" s="121" t="s">
        <v>1927</v>
      </c>
      <c r="I476" s="121" t="s">
        <v>1928</v>
      </c>
      <c r="J476" s="122" t="s">
        <v>74</v>
      </c>
      <c r="K476" s="123" t="s">
        <v>25</v>
      </c>
      <c r="L476" s="123" t="s">
        <v>25</v>
      </c>
      <c r="M476" s="118" t="s">
        <v>1903</v>
      </c>
      <c r="N476" s="129" t="s">
        <v>1929</v>
      </c>
      <c r="O476" s="120"/>
      <c r="P476" s="120"/>
    </row>
    <row r="477" hidden="1">
      <c r="A477" s="118" t="s">
        <v>1930</v>
      </c>
      <c r="B477" s="119" t="s">
        <v>1931</v>
      </c>
      <c r="C477" s="118" t="s">
        <v>1932</v>
      </c>
      <c r="D477" s="120"/>
      <c r="E477" s="106" t="s">
        <v>34</v>
      </c>
      <c r="F477" s="120"/>
      <c r="G477" s="121" t="s">
        <v>1933</v>
      </c>
      <c r="H477" s="121" t="s">
        <v>1934</v>
      </c>
      <c r="I477" s="121" t="s">
        <v>1935</v>
      </c>
      <c r="J477" s="122" t="s">
        <v>74</v>
      </c>
      <c r="K477" s="123" t="s">
        <v>25</v>
      </c>
      <c r="L477" s="123" t="s">
        <v>25</v>
      </c>
      <c r="M477" s="118" t="s">
        <v>1903</v>
      </c>
      <c r="N477" s="120"/>
      <c r="O477" s="120"/>
      <c r="P477" s="120"/>
    </row>
    <row r="478" hidden="1">
      <c r="A478" s="118" t="s">
        <v>1930</v>
      </c>
      <c r="B478" s="126"/>
      <c r="C478" s="118" t="s">
        <v>1936</v>
      </c>
      <c r="D478" s="120"/>
      <c r="E478" s="106" t="s">
        <v>34</v>
      </c>
      <c r="F478" s="120"/>
      <c r="G478" s="121" t="s">
        <v>1937</v>
      </c>
      <c r="H478" s="121" t="s">
        <v>1938</v>
      </c>
      <c r="I478" s="121" t="s">
        <v>1935</v>
      </c>
      <c r="J478" s="122" t="s">
        <v>74</v>
      </c>
      <c r="K478" s="123" t="s">
        <v>25</v>
      </c>
      <c r="L478" s="123" t="s">
        <v>25</v>
      </c>
      <c r="M478" s="118" t="s">
        <v>1903</v>
      </c>
      <c r="N478" s="120"/>
      <c r="O478" s="120"/>
      <c r="P478" s="120"/>
    </row>
    <row r="479" hidden="1">
      <c r="A479" s="118" t="s">
        <v>1930</v>
      </c>
      <c r="B479" s="126"/>
      <c r="C479" s="118" t="s">
        <v>1939</v>
      </c>
      <c r="D479" s="120"/>
      <c r="E479" s="106" t="s">
        <v>34</v>
      </c>
      <c r="F479" s="120"/>
      <c r="G479" s="121" t="s">
        <v>1940</v>
      </c>
      <c r="H479" s="121" t="s">
        <v>1941</v>
      </c>
      <c r="I479" s="121" t="s">
        <v>1935</v>
      </c>
      <c r="J479" s="122" t="s">
        <v>74</v>
      </c>
      <c r="K479" s="123" t="s">
        <v>25</v>
      </c>
      <c r="L479" s="123" t="s">
        <v>25</v>
      </c>
      <c r="M479" s="118" t="s">
        <v>1903</v>
      </c>
      <c r="N479" s="120"/>
      <c r="O479" s="120"/>
      <c r="P479" s="120"/>
    </row>
    <row r="480" hidden="1">
      <c r="A480" s="118" t="s">
        <v>1930</v>
      </c>
      <c r="B480" s="126"/>
      <c r="C480" s="118" t="s">
        <v>1942</v>
      </c>
      <c r="D480" s="120"/>
      <c r="E480" s="106" t="s">
        <v>34</v>
      </c>
      <c r="F480" s="120"/>
      <c r="G480" s="121" t="s">
        <v>1943</v>
      </c>
      <c r="H480" s="121" t="s">
        <v>1944</v>
      </c>
      <c r="I480" s="121" t="s">
        <v>1945</v>
      </c>
      <c r="J480" s="122" t="s">
        <v>74</v>
      </c>
      <c r="K480" s="123" t="s">
        <v>25</v>
      </c>
      <c r="L480" s="123" t="s">
        <v>25</v>
      </c>
      <c r="M480" s="118" t="s">
        <v>1903</v>
      </c>
      <c r="N480" s="120"/>
      <c r="O480" s="120"/>
      <c r="P480" s="120"/>
    </row>
    <row r="481" hidden="1">
      <c r="A481" s="118" t="s">
        <v>1930</v>
      </c>
      <c r="B481" s="126"/>
      <c r="C481" s="118" t="s">
        <v>1946</v>
      </c>
      <c r="D481" s="120"/>
      <c r="E481" s="106" t="s">
        <v>34</v>
      </c>
      <c r="F481" s="120"/>
      <c r="G481" s="121" t="s">
        <v>1947</v>
      </c>
      <c r="H481" s="121" t="s">
        <v>1948</v>
      </c>
      <c r="I481" s="121" t="s">
        <v>1945</v>
      </c>
      <c r="J481" s="122" t="s">
        <v>74</v>
      </c>
      <c r="K481" s="123" t="s">
        <v>25</v>
      </c>
      <c r="L481" s="123" t="s">
        <v>25</v>
      </c>
      <c r="M481" s="118" t="s">
        <v>1903</v>
      </c>
      <c r="N481" s="120"/>
      <c r="O481" s="120"/>
      <c r="P481" s="120"/>
    </row>
    <row r="482" hidden="1">
      <c r="A482" s="118" t="s">
        <v>1930</v>
      </c>
      <c r="B482" s="126"/>
      <c r="C482" s="118" t="s">
        <v>1949</v>
      </c>
      <c r="D482" s="120"/>
      <c r="E482" s="106" t="s">
        <v>34</v>
      </c>
      <c r="F482" s="120"/>
      <c r="G482" s="121" t="s">
        <v>1950</v>
      </c>
      <c r="H482" s="121" t="s">
        <v>1951</v>
      </c>
      <c r="I482" s="121" t="s">
        <v>1935</v>
      </c>
      <c r="J482" s="122" t="s">
        <v>74</v>
      </c>
      <c r="K482" s="123" t="s">
        <v>25</v>
      </c>
      <c r="L482" s="123" t="s">
        <v>25</v>
      </c>
      <c r="M482" s="118" t="s">
        <v>1903</v>
      </c>
      <c r="N482" s="120"/>
      <c r="O482" s="120"/>
      <c r="P482" s="120"/>
    </row>
    <row r="483" hidden="1">
      <c r="A483" s="118" t="s">
        <v>1930</v>
      </c>
      <c r="B483" s="126"/>
      <c r="C483" s="118" t="s">
        <v>1952</v>
      </c>
      <c r="D483" s="120"/>
      <c r="E483" s="106" t="s">
        <v>34</v>
      </c>
      <c r="F483" s="120"/>
      <c r="G483" s="121" t="s">
        <v>1953</v>
      </c>
      <c r="H483" s="121" t="s">
        <v>1954</v>
      </c>
      <c r="I483" s="121" t="s">
        <v>1945</v>
      </c>
      <c r="J483" s="122" t="s">
        <v>74</v>
      </c>
      <c r="K483" s="123" t="s">
        <v>25</v>
      </c>
      <c r="L483" s="123" t="s">
        <v>25</v>
      </c>
      <c r="M483" s="118" t="s">
        <v>1903</v>
      </c>
      <c r="N483" s="120"/>
      <c r="O483" s="120"/>
      <c r="P483" s="120"/>
    </row>
    <row r="484" hidden="1">
      <c r="A484" s="118" t="s">
        <v>1930</v>
      </c>
      <c r="B484" s="126"/>
      <c r="C484" s="118" t="s">
        <v>1955</v>
      </c>
      <c r="D484" s="120"/>
      <c r="E484" s="88" t="s">
        <v>41</v>
      </c>
      <c r="F484" s="120"/>
      <c r="G484" s="121" t="s">
        <v>1956</v>
      </c>
      <c r="H484" s="121" t="s">
        <v>1957</v>
      </c>
      <c r="I484" s="121" t="s">
        <v>1958</v>
      </c>
      <c r="J484" s="122" t="s">
        <v>74</v>
      </c>
      <c r="K484" s="123" t="s">
        <v>25</v>
      </c>
      <c r="L484" s="123" t="s">
        <v>25</v>
      </c>
      <c r="M484" s="118" t="s">
        <v>1903</v>
      </c>
      <c r="N484" s="120"/>
      <c r="O484" s="120"/>
      <c r="P484" s="120"/>
    </row>
    <row r="485" hidden="1">
      <c r="A485" s="118" t="s">
        <v>1930</v>
      </c>
      <c r="B485" s="126"/>
      <c r="C485" s="118" t="s">
        <v>1959</v>
      </c>
      <c r="D485" s="120"/>
      <c r="E485" s="88" t="s">
        <v>41</v>
      </c>
      <c r="F485" s="120"/>
      <c r="G485" s="121" t="s">
        <v>1960</v>
      </c>
      <c r="H485" s="121" t="s">
        <v>1961</v>
      </c>
      <c r="I485" s="121" t="s">
        <v>1958</v>
      </c>
      <c r="J485" s="122" t="s">
        <v>74</v>
      </c>
      <c r="K485" s="123" t="s">
        <v>25</v>
      </c>
      <c r="L485" s="123" t="s">
        <v>25</v>
      </c>
      <c r="M485" s="118" t="s">
        <v>1903</v>
      </c>
      <c r="N485" s="120"/>
      <c r="O485" s="120"/>
      <c r="P485" s="120"/>
    </row>
    <row r="486" hidden="1">
      <c r="A486" s="118" t="s">
        <v>1930</v>
      </c>
      <c r="B486" s="126"/>
      <c r="C486" s="118" t="s">
        <v>1962</v>
      </c>
      <c r="D486" s="120"/>
      <c r="E486" s="88" t="s">
        <v>41</v>
      </c>
      <c r="F486" s="120"/>
      <c r="G486" s="121" t="s">
        <v>1963</v>
      </c>
      <c r="H486" s="121" t="s">
        <v>1964</v>
      </c>
      <c r="I486" s="121" t="s">
        <v>1958</v>
      </c>
      <c r="J486" s="122" t="s">
        <v>74</v>
      </c>
      <c r="K486" s="123" t="s">
        <v>25</v>
      </c>
      <c r="L486" s="123" t="s">
        <v>25</v>
      </c>
      <c r="M486" s="118" t="s">
        <v>1903</v>
      </c>
      <c r="N486" s="120"/>
      <c r="O486" s="120"/>
      <c r="P486" s="120"/>
    </row>
    <row r="487" hidden="1">
      <c r="A487" s="118" t="s">
        <v>1930</v>
      </c>
      <c r="B487" s="126"/>
      <c r="C487" s="118" t="s">
        <v>1965</v>
      </c>
      <c r="D487" s="120"/>
      <c r="E487" s="88" t="s">
        <v>41</v>
      </c>
      <c r="F487" s="120"/>
      <c r="G487" s="121" t="s">
        <v>1966</v>
      </c>
      <c r="H487" s="121" t="s">
        <v>1967</v>
      </c>
      <c r="I487" s="121" t="s">
        <v>1958</v>
      </c>
      <c r="J487" s="122" t="s">
        <v>74</v>
      </c>
      <c r="K487" s="123" t="s">
        <v>25</v>
      </c>
      <c r="L487" s="123" t="s">
        <v>25</v>
      </c>
      <c r="M487" s="118" t="s">
        <v>1903</v>
      </c>
      <c r="N487" s="120"/>
      <c r="O487" s="120"/>
      <c r="P487" s="120"/>
    </row>
    <row r="488" hidden="1">
      <c r="A488" s="118" t="s">
        <v>1930</v>
      </c>
      <c r="B488" s="126"/>
      <c r="C488" s="118" t="s">
        <v>1968</v>
      </c>
      <c r="D488" s="120"/>
      <c r="E488" s="88" t="s">
        <v>41</v>
      </c>
      <c r="F488" s="120"/>
      <c r="G488" s="121" t="s">
        <v>1969</v>
      </c>
      <c r="H488" s="121" t="s">
        <v>1967</v>
      </c>
      <c r="I488" s="121" t="s">
        <v>1958</v>
      </c>
      <c r="J488" s="122" t="s">
        <v>74</v>
      </c>
      <c r="K488" s="123" t="s">
        <v>25</v>
      </c>
      <c r="L488" s="123" t="s">
        <v>25</v>
      </c>
      <c r="M488" s="118" t="s">
        <v>1903</v>
      </c>
      <c r="N488" s="120"/>
      <c r="O488" s="120"/>
      <c r="P488" s="120"/>
    </row>
    <row r="489" hidden="1">
      <c r="A489" s="118" t="s">
        <v>1930</v>
      </c>
      <c r="B489" s="126"/>
      <c r="C489" s="118" t="s">
        <v>1970</v>
      </c>
      <c r="D489" s="120"/>
      <c r="E489" s="88" t="s">
        <v>41</v>
      </c>
      <c r="F489" s="120"/>
      <c r="G489" s="121" t="s">
        <v>1971</v>
      </c>
      <c r="H489" s="121" t="s">
        <v>1972</v>
      </c>
      <c r="I489" s="121" t="s">
        <v>1958</v>
      </c>
      <c r="J489" s="122" t="s">
        <v>74</v>
      </c>
      <c r="K489" s="123" t="s">
        <v>25</v>
      </c>
      <c r="L489" s="123" t="s">
        <v>25</v>
      </c>
      <c r="M489" s="118" t="s">
        <v>1903</v>
      </c>
      <c r="N489" s="120"/>
      <c r="O489" s="120"/>
      <c r="P489" s="120"/>
    </row>
    <row r="490" hidden="1">
      <c r="A490" s="118" t="s">
        <v>1930</v>
      </c>
      <c r="B490" s="126"/>
      <c r="C490" s="118" t="s">
        <v>1973</v>
      </c>
      <c r="D490" s="120"/>
      <c r="E490" s="88" t="s">
        <v>41</v>
      </c>
      <c r="F490" s="120"/>
      <c r="G490" s="121" t="s">
        <v>1974</v>
      </c>
      <c r="H490" s="121" t="s">
        <v>1975</v>
      </c>
      <c r="I490" s="121" t="s">
        <v>1958</v>
      </c>
      <c r="J490" s="122" t="s">
        <v>74</v>
      </c>
      <c r="K490" s="123" t="s">
        <v>25</v>
      </c>
      <c r="L490" s="123" t="s">
        <v>25</v>
      </c>
      <c r="M490" s="118" t="s">
        <v>1903</v>
      </c>
      <c r="N490" s="120"/>
      <c r="O490" s="120"/>
      <c r="P490" s="120"/>
    </row>
    <row r="491" hidden="1">
      <c r="A491" s="118" t="s">
        <v>1930</v>
      </c>
      <c r="B491" s="126"/>
      <c r="C491" s="118" t="s">
        <v>1976</v>
      </c>
      <c r="D491" s="120"/>
      <c r="E491" s="88" t="s">
        <v>41</v>
      </c>
      <c r="F491" s="120"/>
      <c r="G491" s="121" t="s">
        <v>1977</v>
      </c>
      <c r="H491" s="121" t="s">
        <v>1978</v>
      </c>
      <c r="I491" s="121" t="s">
        <v>1958</v>
      </c>
      <c r="J491" s="122" t="s">
        <v>74</v>
      </c>
      <c r="K491" s="123" t="s">
        <v>25</v>
      </c>
      <c r="L491" s="123" t="s">
        <v>25</v>
      </c>
      <c r="M491" s="118" t="s">
        <v>1903</v>
      </c>
      <c r="N491" s="120"/>
      <c r="O491" s="120"/>
      <c r="P491" s="120"/>
    </row>
    <row r="492" hidden="1">
      <c r="A492" s="118" t="s">
        <v>1930</v>
      </c>
      <c r="B492" s="126"/>
      <c r="C492" s="118" t="s">
        <v>1979</v>
      </c>
      <c r="D492" s="120"/>
      <c r="E492" s="88" t="s">
        <v>41</v>
      </c>
      <c r="F492" s="120"/>
      <c r="G492" s="121" t="s">
        <v>1980</v>
      </c>
      <c r="H492" s="121" t="s">
        <v>1981</v>
      </c>
      <c r="I492" s="121" t="s">
        <v>1958</v>
      </c>
      <c r="J492" s="122" t="s">
        <v>74</v>
      </c>
      <c r="K492" s="123" t="s">
        <v>25</v>
      </c>
      <c r="L492" s="123" t="s">
        <v>25</v>
      </c>
      <c r="M492" s="118" t="s">
        <v>1903</v>
      </c>
      <c r="N492" s="120"/>
      <c r="O492" s="120"/>
      <c r="P492" s="120"/>
    </row>
    <row r="493" hidden="1">
      <c r="A493" s="118" t="s">
        <v>1930</v>
      </c>
      <c r="B493" s="126"/>
      <c r="C493" s="118" t="s">
        <v>1982</v>
      </c>
      <c r="D493" s="120"/>
      <c r="E493" s="88" t="s">
        <v>41</v>
      </c>
      <c r="F493" s="120"/>
      <c r="G493" s="121" t="s">
        <v>1983</v>
      </c>
      <c r="H493" s="121" t="s">
        <v>1984</v>
      </c>
      <c r="I493" s="121" t="s">
        <v>1958</v>
      </c>
      <c r="J493" s="122" t="s">
        <v>74</v>
      </c>
      <c r="K493" s="123" t="s">
        <v>25</v>
      </c>
      <c r="L493" s="123" t="s">
        <v>25</v>
      </c>
      <c r="M493" s="118" t="s">
        <v>1903</v>
      </c>
      <c r="N493" s="120"/>
      <c r="O493" s="120"/>
      <c r="P493" s="120"/>
    </row>
    <row r="494" hidden="1">
      <c r="A494" s="118" t="s">
        <v>1930</v>
      </c>
      <c r="B494" s="126"/>
      <c r="C494" s="118" t="s">
        <v>1985</v>
      </c>
      <c r="D494" s="120"/>
      <c r="E494" s="88" t="s">
        <v>41</v>
      </c>
      <c r="F494" s="120"/>
      <c r="G494" s="121" t="s">
        <v>1986</v>
      </c>
      <c r="H494" s="121" t="s">
        <v>1987</v>
      </c>
      <c r="I494" s="121" t="s">
        <v>1988</v>
      </c>
      <c r="J494" s="122" t="s">
        <v>74</v>
      </c>
      <c r="K494" s="123" t="s">
        <v>25</v>
      </c>
      <c r="L494" s="123" t="s">
        <v>25</v>
      </c>
      <c r="M494" s="118" t="s">
        <v>1903</v>
      </c>
      <c r="N494" s="120"/>
      <c r="O494" s="120"/>
      <c r="P494" s="120"/>
    </row>
    <row r="495" hidden="1">
      <c r="A495" s="118" t="s">
        <v>1930</v>
      </c>
      <c r="B495" s="126"/>
      <c r="C495" s="118" t="s">
        <v>1989</v>
      </c>
      <c r="D495" s="120"/>
      <c r="E495" s="88" t="s">
        <v>41</v>
      </c>
      <c r="F495" s="120"/>
      <c r="G495" s="121" t="s">
        <v>1990</v>
      </c>
      <c r="H495" s="121" t="s">
        <v>1991</v>
      </c>
      <c r="I495" s="121" t="s">
        <v>1988</v>
      </c>
      <c r="J495" s="122" t="s">
        <v>74</v>
      </c>
      <c r="K495" s="123" t="s">
        <v>25</v>
      </c>
      <c r="L495" s="123" t="s">
        <v>25</v>
      </c>
      <c r="M495" s="118" t="s">
        <v>1903</v>
      </c>
      <c r="N495" s="120"/>
      <c r="O495" s="120"/>
      <c r="P495" s="120"/>
    </row>
    <row r="496" hidden="1">
      <c r="A496" s="118" t="s">
        <v>1930</v>
      </c>
      <c r="B496" s="126"/>
      <c r="C496" s="118" t="s">
        <v>1992</v>
      </c>
      <c r="D496" s="120"/>
      <c r="E496" s="88" t="s">
        <v>41</v>
      </c>
      <c r="F496" s="120"/>
      <c r="G496" s="121" t="s">
        <v>1993</v>
      </c>
      <c r="H496" s="121" t="s">
        <v>1994</v>
      </c>
      <c r="I496" s="121" t="s">
        <v>1988</v>
      </c>
      <c r="J496" s="122" t="s">
        <v>74</v>
      </c>
      <c r="K496" s="123" t="s">
        <v>25</v>
      </c>
      <c r="L496" s="123" t="s">
        <v>25</v>
      </c>
      <c r="M496" s="118" t="s">
        <v>1903</v>
      </c>
      <c r="N496" s="120"/>
      <c r="O496" s="120"/>
      <c r="P496" s="120"/>
    </row>
    <row r="497" hidden="1">
      <c r="A497" s="118" t="s">
        <v>1930</v>
      </c>
      <c r="B497" s="10"/>
      <c r="C497" s="118" t="s">
        <v>1995</v>
      </c>
      <c r="D497" s="120"/>
      <c r="E497" s="88" t="s">
        <v>41</v>
      </c>
      <c r="F497" s="120"/>
      <c r="G497" s="121" t="s">
        <v>1996</v>
      </c>
      <c r="H497" s="121" t="s">
        <v>1997</v>
      </c>
      <c r="I497" s="121" t="s">
        <v>1988</v>
      </c>
      <c r="J497" s="122" t="s">
        <v>74</v>
      </c>
      <c r="K497" s="123" t="s">
        <v>25</v>
      </c>
      <c r="L497" s="123" t="s">
        <v>25</v>
      </c>
      <c r="M497" s="118" t="s">
        <v>1903</v>
      </c>
      <c r="N497" s="120"/>
      <c r="O497" s="120"/>
      <c r="P497" s="120"/>
    </row>
    <row r="498" hidden="1">
      <c r="A498" s="118" t="s">
        <v>1998</v>
      </c>
      <c r="B498" s="119" t="s">
        <v>1999</v>
      </c>
      <c r="C498" s="118" t="s">
        <v>2000</v>
      </c>
      <c r="D498" s="120"/>
      <c r="E498" s="118" t="s">
        <v>42</v>
      </c>
      <c r="F498" s="120"/>
      <c r="G498" s="118" t="s">
        <v>2001</v>
      </c>
      <c r="H498" s="118" t="s">
        <v>2002</v>
      </c>
      <c r="I498" s="118" t="s">
        <v>2003</v>
      </c>
      <c r="J498" s="122" t="s">
        <v>74</v>
      </c>
      <c r="K498" s="123" t="s">
        <v>75</v>
      </c>
      <c r="L498" s="123" t="s">
        <v>76</v>
      </c>
      <c r="M498" s="120"/>
      <c r="N498" s="120"/>
      <c r="O498" s="120"/>
      <c r="P498" s="120"/>
    </row>
    <row r="499" hidden="1">
      <c r="A499" s="118" t="s">
        <v>1998</v>
      </c>
      <c r="B499" s="126"/>
      <c r="C499" s="118" t="s">
        <v>2004</v>
      </c>
      <c r="D499" s="120"/>
      <c r="E499" s="118" t="s">
        <v>42</v>
      </c>
      <c r="F499" s="120"/>
      <c r="G499" s="118" t="s">
        <v>2005</v>
      </c>
      <c r="H499" s="118" t="s">
        <v>2006</v>
      </c>
      <c r="I499" s="118" t="s">
        <v>2007</v>
      </c>
      <c r="J499" s="122" t="s">
        <v>74</v>
      </c>
      <c r="K499" s="123" t="s">
        <v>25</v>
      </c>
      <c r="L499" s="123" t="s">
        <v>25</v>
      </c>
      <c r="M499" s="120"/>
      <c r="N499" s="120"/>
      <c r="O499" s="120"/>
      <c r="P499" s="120"/>
    </row>
    <row r="500" hidden="1">
      <c r="A500" s="118" t="s">
        <v>1998</v>
      </c>
      <c r="B500" s="126"/>
      <c r="C500" s="118" t="s">
        <v>2008</v>
      </c>
      <c r="D500" s="120"/>
      <c r="E500" s="118" t="s">
        <v>42</v>
      </c>
      <c r="F500" s="120"/>
      <c r="G500" s="118" t="s">
        <v>2009</v>
      </c>
      <c r="H500" s="118" t="s">
        <v>2010</v>
      </c>
      <c r="I500" s="118" t="s">
        <v>2011</v>
      </c>
      <c r="J500" s="122" t="s">
        <v>74</v>
      </c>
      <c r="K500" s="123" t="s">
        <v>75</v>
      </c>
      <c r="L500" s="123" t="s">
        <v>76</v>
      </c>
      <c r="M500" s="120"/>
      <c r="N500" s="120"/>
      <c r="O500" s="120"/>
      <c r="P500" s="120"/>
    </row>
    <row r="501" hidden="1">
      <c r="A501" s="118" t="s">
        <v>1998</v>
      </c>
      <c r="B501" s="126"/>
      <c r="C501" s="118" t="s">
        <v>2012</v>
      </c>
      <c r="D501" s="120"/>
      <c r="E501" s="118" t="s">
        <v>42</v>
      </c>
      <c r="F501" s="120"/>
      <c r="G501" s="118" t="s">
        <v>2013</v>
      </c>
      <c r="H501" s="118" t="s">
        <v>2014</v>
      </c>
      <c r="I501" s="118" t="s">
        <v>2015</v>
      </c>
      <c r="J501" s="122" t="s">
        <v>74</v>
      </c>
      <c r="K501" s="123" t="s">
        <v>25</v>
      </c>
      <c r="L501" s="123" t="s">
        <v>25</v>
      </c>
      <c r="M501" s="118" t="s">
        <v>2016</v>
      </c>
      <c r="N501" s="120"/>
      <c r="O501" s="120"/>
      <c r="P501" s="120"/>
    </row>
    <row r="502" hidden="1">
      <c r="A502" s="118" t="s">
        <v>1998</v>
      </c>
      <c r="B502" s="126"/>
      <c r="C502" s="118" t="s">
        <v>2017</v>
      </c>
      <c r="D502" s="120"/>
      <c r="E502" s="118" t="s">
        <v>42</v>
      </c>
      <c r="F502" s="120"/>
      <c r="G502" s="118" t="s">
        <v>2018</v>
      </c>
      <c r="H502" s="118" t="s">
        <v>2019</v>
      </c>
      <c r="I502" s="118" t="s">
        <v>2020</v>
      </c>
      <c r="J502" s="122" t="s">
        <v>74</v>
      </c>
      <c r="K502" s="123" t="s">
        <v>75</v>
      </c>
      <c r="L502" s="123" t="s">
        <v>76</v>
      </c>
      <c r="M502" s="120"/>
      <c r="N502" s="120"/>
      <c r="O502" s="120"/>
      <c r="P502" s="120"/>
    </row>
    <row r="503" hidden="1">
      <c r="A503" s="118" t="s">
        <v>1998</v>
      </c>
      <c r="B503" s="126"/>
      <c r="C503" s="118" t="s">
        <v>2021</v>
      </c>
      <c r="D503" s="120"/>
      <c r="E503" s="118" t="s">
        <v>42</v>
      </c>
      <c r="F503" s="120"/>
      <c r="G503" s="118" t="s">
        <v>2022</v>
      </c>
      <c r="H503" s="118" t="s">
        <v>2023</v>
      </c>
      <c r="I503" s="118" t="s">
        <v>2024</v>
      </c>
      <c r="J503" s="122" t="s">
        <v>74</v>
      </c>
      <c r="K503" s="123" t="s">
        <v>75</v>
      </c>
      <c r="L503" s="123" t="s">
        <v>76</v>
      </c>
      <c r="M503" s="120"/>
      <c r="N503" s="120"/>
      <c r="O503" s="120"/>
      <c r="P503" s="120"/>
    </row>
    <row r="504" hidden="1">
      <c r="A504" s="118" t="s">
        <v>1998</v>
      </c>
      <c r="B504" s="126"/>
      <c r="C504" s="118" t="s">
        <v>2025</v>
      </c>
      <c r="D504" s="120"/>
      <c r="E504" s="118" t="s">
        <v>42</v>
      </c>
      <c r="F504" s="120"/>
      <c r="G504" s="130" t="s">
        <v>2026</v>
      </c>
      <c r="H504" s="118" t="s">
        <v>2027</v>
      </c>
      <c r="I504" s="130" t="s">
        <v>2028</v>
      </c>
      <c r="J504" s="122" t="s">
        <v>74</v>
      </c>
      <c r="K504" s="123" t="s">
        <v>75</v>
      </c>
      <c r="L504" s="123" t="s">
        <v>76</v>
      </c>
      <c r="M504" s="120"/>
      <c r="N504" s="120"/>
      <c r="O504" s="120"/>
      <c r="P504" s="120"/>
    </row>
    <row r="505" hidden="1">
      <c r="A505" s="118" t="s">
        <v>1998</v>
      </c>
      <c r="B505" s="126"/>
      <c r="C505" s="118" t="s">
        <v>2029</v>
      </c>
      <c r="D505" s="120"/>
      <c r="E505" s="118" t="s">
        <v>42</v>
      </c>
      <c r="F505" s="120"/>
      <c r="G505" s="118" t="s">
        <v>2030</v>
      </c>
      <c r="H505" s="118" t="s">
        <v>2031</v>
      </c>
      <c r="I505" s="118" t="s">
        <v>2032</v>
      </c>
      <c r="J505" s="122" t="s">
        <v>74</v>
      </c>
      <c r="K505" s="123" t="s">
        <v>75</v>
      </c>
      <c r="L505" s="123" t="s">
        <v>76</v>
      </c>
      <c r="M505" s="120"/>
      <c r="N505" s="120"/>
      <c r="O505" s="120"/>
      <c r="P505" s="120"/>
    </row>
    <row r="506" hidden="1">
      <c r="A506" s="118" t="s">
        <v>1998</v>
      </c>
      <c r="B506" s="126"/>
      <c r="C506" s="118" t="s">
        <v>2033</v>
      </c>
      <c r="D506" s="120"/>
      <c r="E506" s="118" t="s">
        <v>42</v>
      </c>
      <c r="F506" s="120"/>
      <c r="G506" s="118" t="s">
        <v>2034</v>
      </c>
      <c r="H506" s="118" t="s">
        <v>2035</v>
      </c>
      <c r="I506" s="118" t="s">
        <v>2036</v>
      </c>
      <c r="J506" s="122" t="s">
        <v>74</v>
      </c>
      <c r="K506" s="123" t="s">
        <v>75</v>
      </c>
      <c r="L506" s="123" t="s">
        <v>76</v>
      </c>
      <c r="M506" s="120"/>
      <c r="N506" s="120"/>
      <c r="O506" s="120"/>
      <c r="P506" s="120"/>
    </row>
    <row r="507" hidden="1">
      <c r="A507" s="118" t="s">
        <v>1998</v>
      </c>
      <c r="B507" s="126"/>
      <c r="C507" s="118" t="s">
        <v>2037</v>
      </c>
      <c r="D507" s="120"/>
      <c r="E507" s="118" t="s">
        <v>42</v>
      </c>
      <c r="F507" s="120"/>
      <c r="G507" s="118" t="s">
        <v>2038</v>
      </c>
      <c r="H507" s="118" t="s">
        <v>2039</v>
      </c>
      <c r="I507" s="118" t="s">
        <v>2040</v>
      </c>
      <c r="J507" s="122" t="s">
        <v>74</v>
      </c>
      <c r="K507" s="123" t="s">
        <v>75</v>
      </c>
      <c r="L507" s="123" t="s">
        <v>76</v>
      </c>
      <c r="M507" s="120"/>
      <c r="N507" s="120"/>
      <c r="O507" s="120"/>
      <c r="P507" s="120"/>
    </row>
    <row r="508" hidden="1">
      <c r="A508" s="118" t="s">
        <v>1998</v>
      </c>
      <c r="B508" s="126"/>
      <c r="C508" s="118" t="s">
        <v>2041</v>
      </c>
      <c r="D508" s="120"/>
      <c r="E508" s="118" t="s">
        <v>42</v>
      </c>
      <c r="F508" s="120"/>
      <c r="G508" s="130" t="s">
        <v>2042</v>
      </c>
      <c r="H508" s="118" t="s">
        <v>2043</v>
      </c>
      <c r="I508" s="118" t="s">
        <v>2044</v>
      </c>
      <c r="J508" s="122" t="s">
        <v>74</v>
      </c>
      <c r="K508" s="123" t="s">
        <v>75</v>
      </c>
      <c r="L508" s="123" t="s">
        <v>76</v>
      </c>
      <c r="M508" s="120"/>
      <c r="N508" s="120"/>
      <c r="O508" s="120"/>
      <c r="P508" s="120"/>
    </row>
    <row r="509" hidden="1">
      <c r="A509" s="118" t="s">
        <v>1998</v>
      </c>
      <c r="B509" s="126"/>
      <c r="C509" s="118" t="s">
        <v>2045</v>
      </c>
      <c r="D509" s="120"/>
      <c r="E509" s="118" t="s">
        <v>42</v>
      </c>
      <c r="F509" s="120"/>
      <c r="G509" s="118" t="s">
        <v>2046</v>
      </c>
      <c r="H509" s="118" t="s">
        <v>2027</v>
      </c>
      <c r="I509" s="118" t="s">
        <v>2047</v>
      </c>
      <c r="J509" s="122" t="s">
        <v>74</v>
      </c>
      <c r="K509" s="123" t="s">
        <v>75</v>
      </c>
      <c r="L509" s="123" t="s">
        <v>76</v>
      </c>
      <c r="M509" s="120"/>
      <c r="N509" s="120"/>
      <c r="O509" s="120"/>
      <c r="P509" s="120"/>
    </row>
    <row r="510" hidden="1">
      <c r="A510" s="118" t="s">
        <v>1998</v>
      </c>
      <c r="B510" s="126"/>
      <c r="C510" s="118" t="s">
        <v>2048</v>
      </c>
      <c r="D510" s="120"/>
      <c r="E510" s="118" t="s">
        <v>42</v>
      </c>
      <c r="F510" s="120"/>
      <c r="G510" s="118" t="s">
        <v>2049</v>
      </c>
      <c r="H510" s="118" t="s">
        <v>2050</v>
      </c>
      <c r="I510" s="118" t="s">
        <v>2051</v>
      </c>
      <c r="J510" s="122" t="s">
        <v>74</v>
      </c>
      <c r="K510" s="123" t="s">
        <v>75</v>
      </c>
      <c r="L510" s="123" t="s">
        <v>76</v>
      </c>
      <c r="M510" s="118" t="s">
        <v>593</v>
      </c>
      <c r="N510" s="120"/>
      <c r="O510" s="120"/>
      <c r="P510" s="120"/>
    </row>
    <row r="511" hidden="1">
      <c r="A511" s="118" t="s">
        <v>1998</v>
      </c>
      <c r="B511" s="126"/>
      <c r="C511" s="118" t="s">
        <v>2052</v>
      </c>
      <c r="D511" s="120"/>
      <c r="E511" s="118" t="s">
        <v>42</v>
      </c>
      <c r="F511" s="120"/>
      <c r="G511" s="118" t="s">
        <v>2053</v>
      </c>
      <c r="H511" s="118" t="s">
        <v>2054</v>
      </c>
      <c r="I511" s="118" t="s">
        <v>2051</v>
      </c>
      <c r="J511" s="122" t="s">
        <v>74</v>
      </c>
      <c r="K511" s="123" t="s">
        <v>75</v>
      </c>
      <c r="L511" s="123" t="s">
        <v>76</v>
      </c>
      <c r="M511" s="118" t="s">
        <v>593</v>
      </c>
      <c r="N511" s="120"/>
      <c r="O511" s="120"/>
      <c r="P511" s="120"/>
    </row>
    <row r="512" hidden="1">
      <c r="A512" s="118" t="s">
        <v>1998</v>
      </c>
      <c r="B512" s="126"/>
      <c r="C512" s="118" t="s">
        <v>2055</v>
      </c>
      <c r="D512" s="120"/>
      <c r="E512" s="118" t="s">
        <v>42</v>
      </c>
      <c r="F512" s="120"/>
      <c r="G512" s="130" t="s">
        <v>2056</v>
      </c>
      <c r="H512" s="118" t="s">
        <v>2057</v>
      </c>
      <c r="I512" s="118" t="s">
        <v>2058</v>
      </c>
      <c r="J512" s="122" t="s">
        <v>74</v>
      </c>
      <c r="K512" s="123" t="s">
        <v>25</v>
      </c>
      <c r="L512" s="123" t="s">
        <v>25</v>
      </c>
      <c r="M512" s="118" t="s">
        <v>1859</v>
      </c>
      <c r="N512" s="120"/>
      <c r="O512" s="120"/>
      <c r="P512" s="120"/>
    </row>
    <row r="513" hidden="1">
      <c r="A513" s="118" t="s">
        <v>1998</v>
      </c>
      <c r="B513" s="126"/>
      <c r="C513" s="118" t="s">
        <v>2059</v>
      </c>
      <c r="D513" s="120"/>
      <c r="E513" s="118" t="s">
        <v>42</v>
      </c>
      <c r="F513" s="120"/>
      <c r="G513" s="130" t="s">
        <v>2060</v>
      </c>
      <c r="H513" s="118" t="s">
        <v>2061</v>
      </c>
      <c r="I513" s="118" t="s">
        <v>2062</v>
      </c>
      <c r="J513" s="122" t="s">
        <v>74</v>
      </c>
      <c r="K513" s="123" t="s">
        <v>75</v>
      </c>
      <c r="L513" s="123" t="s">
        <v>76</v>
      </c>
      <c r="M513" s="120"/>
      <c r="N513" s="120"/>
      <c r="O513" s="120"/>
      <c r="P513" s="120"/>
    </row>
    <row r="514" hidden="1">
      <c r="A514" s="118" t="s">
        <v>1998</v>
      </c>
      <c r="B514" s="126"/>
      <c r="C514" s="118" t="s">
        <v>2063</v>
      </c>
      <c r="D514" s="120"/>
      <c r="E514" s="118" t="s">
        <v>42</v>
      </c>
      <c r="F514" s="120"/>
      <c r="G514" s="118" t="s">
        <v>2064</v>
      </c>
      <c r="H514" s="118" t="s">
        <v>2065</v>
      </c>
      <c r="I514" s="118" t="s">
        <v>2066</v>
      </c>
      <c r="J514" s="122" t="s">
        <v>74</v>
      </c>
      <c r="K514" s="123" t="s">
        <v>25</v>
      </c>
      <c r="L514" s="123" t="s">
        <v>25</v>
      </c>
      <c r="M514" s="118" t="s">
        <v>2016</v>
      </c>
      <c r="N514" s="120"/>
      <c r="O514" s="120"/>
      <c r="P514" s="120"/>
    </row>
    <row r="515" hidden="1">
      <c r="A515" s="118" t="s">
        <v>1998</v>
      </c>
      <c r="B515" s="126"/>
      <c r="C515" s="118" t="s">
        <v>2067</v>
      </c>
      <c r="D515" s="120"/>
      <c r="E515" s="118" t="s">
        <v>42</v>
      </c>
      <c r="F515" s="120"/>
      <c r="G515" s="118" t="s">
        <v>2068</v>
      </c>
      <c r="H515" s="118" t="s">
        <v>2069</v>
      </c>
      <c r="I515" s="118" t="s">
        <v>2070</v>
      </c>
      <c r="J515" s="122" t="s">
        <v>74</v>
      </c>
      <c r="K515" s="123" t="s">
        <v>75</v>
      </c>
      <c r="L515" s="123" t="s">
        <v>76</v>
      </c>
      <c r="M515" s="120"/>
      <c r="N515" s="120"/>
      <c r="O515" s="120"/>
      <c r="P515" s="120"/>
    </row>
    <row r="516" hidden="1">
      <c r="A516" s="118" t="s">
        <v>1998</v>
      </c>
      <c r="B516" s="126"/>
      <c r="C516" s="118" t="s">
        <v>2071</v>
      </c>
      <c r="D516" s="120"/>
      <c r="E516" s="118" t="s">
        <v>42</v>
      </c>
      <c r="F516" s="120"/>
      <c r="G516" s="118" t="s">
        <v>2072</v>
      </c>
      <c r="H516" s="118" t="s">
        <v>2073</v>
      </c>
      <c r="I516" s="118" t="s">
        <v>2032</v>
      </c>
      <c r="J516" s="122" t="s">
        <v>74</v>
      </c>
      <c r="K516" s="123" t="s">
        <v>75</v>
      </c>
      <c r="L516" s="123" t="s">
        <v>76</v>
      </c>
      <c r="M516" s="120"/>
      <c r="N516" s="120"/>
      <c r="O516" s="120"/>
      <c r="P516" s="120"/>
    </row>
    <row r="517" hidden="1">
      <c r="A517" s="118" t="s">
        <v>1998</v>
      </c>
      <c r="B517" s="126"/>
      <c r="C517" s="118" t="s">
        <v>2074</v>
      </c>
      <c r="D517" s="120"/>
      <c r="E517" s="118" t="s">
        <v>42</v>
      </c>
      <c r="F517" s="120"/>
      <c r="G517" s="118" t="s">
        <v>2075</v>
      </c>
      <c r="H517" s="118" t="s">
        <v>2076</v>
      </c>
      <c r="I517" s="118" t="s">
        <v>2077</v>
      </c>
      <c r="J517" s="122" t="s">
        <v>74</v>
      </c>
      <c r="K517" s="123" t="s">
        <v>25</v>
      </c>
      <c r="L517" s="123" t="s">
        <v>25</v>
      </c>
      <c r="M517" s="118" t="s">
        <v>2078</v>
      </c>
      <c r="N517" s="120"/>
      <c r="O517" s="120"/>
      <c r="P517" s="120"/>
    </row>
    <row r="518" hidden="1">
      <c r="A518" s="118" t="s">
        <v>1998</v>
      </c>
      <c r="B518" s="126"/>
      <c r="C518" s="118" t="s">
        <v>2079</v>
      </c>
      <c r="D518" s="120"/>
      <c r="E518" s="118" t="s">
        <v>42</v>
      </c>
      <c r="F518" s="120"/>
      <c r="G518" s="118" t="s">
        <v>2080</v>
      </c>
      <c r="H518" s="118" t="s">
        <v>2081</v>
      </c>
      <c r="I518" s="118" t="s">
        <v>2082</v>
      </c>
      <c r="J518" s="122" t="s">
        <v>74</v>
      </c>
      <c r="K518" s="123" t="s">
        <v>25</v>
      </c>
      <c r="L518" s="123" t="s">
        <v>25</v>
      </c>
      <c r="M518" s="118" t="s">
        <v>2083</v>
      </c>
      <c r="N518" s="129" t="s">
        <v>2084</v>
      </c>
      <c r="O518" s="120"/>
      <c r="P518" s="120"/>
    </row>
    <row r="519" hidden="1">
      <c r="A519" s="118" t="s">
        <v>1998</v>
      </c>
      <c r="B519" s="126"/>
      <c r="C519" s="118" t="s">
        <v>2085</v>
      </c>
      <c r="D519" s="120"/>
      <c r="E519" s="118" t="s">
        <v>42</v>
      </c>
      <c r="F519" s="120"/>
      <c r="G519" s="118" t="s">
        <v>2086</v>
      </c>
      <c r="H519" s="118" t="s">
        <v>2081</v>
      </c>
      <c r="I519" s="118" t="s">
        <v>2087</v>
      </c>
      <c r="J519" s="122" t="s">
        <v>74</v>
      </c>
      <c r="K519" s="123" t="s">
        <v>25</v>
      </c>
      <c r="L519" s="123" t="s">
        <v>25</v>
      </c>
      <c r="M519" s="118" t="s">
        <v>2083</v>
      </c>
      <c r="N519" s="129" t="s">
        <v>2088</v>
      </c>
      <c r="O519" s="120"/>
      <c r="P519" s="120"/>
    </row>
    <row r="520" hidden="1">
      <c r="A520" s="118" t="s">
        <v>1998</v>
      </c>
      <c r="B520" s="126"/>
      <c r="C520" s="118" t="s">
        <v>2089</v>
      </c>
      <c r="D520" s="120"/>
      <c r="E520" s="118" t="s">
        <v>42</v>
      </c>
      <c r="F520" s="120"/>
      <c r="G520" s="118" t="s">
        <v>2090</v>
      </c>
      <c r="H520" s="118" t="s">
        <v>2091</v>
      </c>
      <c r="I520" s="118" t="s">
        <v>2092</v>
      </c>
      <c r="J520" s="122" t="s">
        <v>74</v>
      </c>
      <c r="K520" s="123" t="s">
        <v>75</v>
      </c>
      <c r="L520" s="123" t="s">
        <v>76</v>
      </c>
      <c r="M520" s="120"/>
      <c r="N520" s="120"/>
      <c r="O520" s="120"/>
      <c r="P520" s="120"/>
    </row>
    <row r="521" hidden="1">
      <c r="A521" s="118" t="s">
        <v>1998</v>
      </c>
      <c r="B521" s="126"/>
      <c r="C521" s="118" t="s">
        <v>2093</v>
      </c>
      <c r="D521" s="120"/>
      <c r="E521" s="118" t="s">
        <v>42</v>
      </c>
      <c r="F521" s="120"/>
      <c r="G521" s="118" t="s">
        <v>2094</v>
      </c>
      <c r="H521" s="118" t="s">
        <v>2091</v>
      </c>
      <c r="I521" s="118" t="s">
        <v>2095</v>
      </c>
      <c r="J521" s="122" t="s">
        <v>74</v>
      </c>
      <c r="K521" s="123" t="s">
        <v>25</v>
      </c>
      <c r="L521" s="123" t="s">
        <v>25</v>
      </c>
      <c r="M521" s="118" t="s">
        <v>2016</v>
      </c>
      <c r="N521" s="120"/>
      <c r="O521" s="120"/>
      <c r="P521" s="120"/>
    </row>
    <row r="522" hidden="1">
      <c r="A522" s="118" t="s">
        <v>1998</v>
      </c>
      <c r="B522" s="126"/>
      <c r="C522" s="118" t="s">
        <v>2096</v>
      </c>
      <c r="D522" s="120"/>
      <c r="E522" s="118" t="s">
        <v>42</v>
      </c>
      <c r="F522" s="120"/>
      <c r="G522" s="118" t="s">
        <v>2097</v>
      </c>
      <c r="H522" s="118" t="s">
        <v>2098</v>
      </c>
      <c r="I522" s="118" t="s">
        <v>2099</v>
      </c>
      <c r="J522" s="122" t="s">
        <v>74</v>
      </c>
      <c r="K522" s="123" t="s">
        <v>25</v>
      </c>
      <c r="L522" s="123" t="s">
        <v>25</v>
      </c>
      <c r="M522" s="118" t="s">
        <v>2016</v>
      </c>
      <c r="N522" s="120"/>
      <c r="O522" s="120"/>
      <c r="P522" s="120"/>
    </row>
    <row r="523" hidden="1">
      <c r="A523" s="118" t="s">
        <v>1998</v>
      </c>
      <c r="B523" s="126"/>
      <c r="C523" s="118" t="s">
        <v>2100</v>
      </c>
      <c r="D523" s="120"/>
      <c r="E523" s="118" t="s">
        <v>42</v>
      </c>
      <c r="F523" s="120"/>
      <c r="G523" s="118" t="s">
        <v>2101</v>
      </c>
      <c r="H523" s="118" t="s">
        <v>2102</v>
      </c>
      <c r="I523" s="118" t="s">
        <v>2103</v>
      </c>
      <c r="J523" s="122" t="s">
        <v>74</v>
      </c>
      <c r="K523" s="123" t="s">
        <v>25</v>
      </c>
      <c r="L523" s="123" t="s">
        <v>25</v>
      </c>
      <c r="M523" s="118" t="s">
        <v>2016</v>
      </c>
      <c r="N523" s="120"/>
      <c r="O523" s="120"/>
      <c r="P523" s="120"/>
    </row>
    <row r="524" hidden="1">
      <c r="A524" s="118" t="s">
        <v>1998</v>
      </c>
      <c r="B524" s="126"/>
      <c r="C524" s="118" t="s">
        <v>2104</v>
      </c>
      <c r="D524" s="120"/>
      <c r="E524" s="118" t="s">
        <v>42</v>
      </c>
      <c r="F524" s="120"/>
      <c r="G524" s="118" t="s">
        <v>2105</v>
      </c>
      <c r="H524" s="118" t="s">
        <v>2106</v>
      </c>
      <c r="I524" s="118" t="s">
        <v>2107</v>
      </c>
      <c r="J524" s="122" t="s">
        <v>74</v>
      </c>
      <c r="K524" s="123" t="s">
        <v>25</v>
      </c>
      <c r="L524" s="123" t="s">
        <v>25</v>
      </c>
      <c r="M524" s="118" t="s">
        <v>2016</v>
      </c>
      <c r="N524" s="120"/>
      <c r="O524" s="120"/>
      <c r="P524" s="120"/>
    </row>
    <row r="525">
      <c r="A525" s="118" t="s">
        <v>1998</v>
      </c>
      <c r="B525" s="126"/>
      <c r="C525" s="118" t="s">
        <v>2108</v>
      </c>
      <c r="D525" s="120"/>
      <c r="E525" s="118" t="s">
        <v>42</v>
      </c>
      <c r="F525" s="120"/>
      <c r="G525" s="118" t="s">
        <v>2109</v>
      </c>
      <c r="H525" s="118" t="s">
        <v>2110</v>
      </c>
      <c r="I525" s="118" t="s">
        <v>2111</v>
      </c>
      <c r="J525" s="128" t="s">
        <v>714</v>
      </c>
      <c r="K525" s="123" t="s">
        <v>25</v>
      </c>
      <c r="L525" s="123" t="s">
        <v>25</v>
      </c>
      <c r="M525" s="118" t="s">
        <v>890</v>
      </c>
      <c r="N525" s="129" t="s">
        <v>2112</v>
      </c>
      <c r="O525" s="120"/>
      <c r="P525" s="120"/>
    </row>
    <row r="526" hidden="1">
      <c r="A526" s="118" t="s">
        <v>1998</v>
      </c>
      <c r="B526" s="10"/>
      <c r="C526" s="118" t="s">
        <v>2113</v>
      </c>
      <c r="D526" s="120"/>
      <c r="E526" s="118" t="s">
        <v>42</v>
      </c>
      <c r="F526" s="120"/>
      <c r="G526" s="118" t="s">
        <v>2114</v>
      </c>
      <c r="H526" s="118" t="s">
        <v>2115</v>
      </c>
      <c r="I526" s="118" t="s">
        <v>2116</v>
      </c>
      <c r="J526" s="122" t="s">
        <v>74</v>
      </c>
      <c r="K526" s="123" t="s">
        <v>25</v>
      </c>
      <c r="L526" s="123" t="s">
        <v>25</v>
      </c>
      <c r="M526" s="118" t="s">
        <v>2016</v>
      </c>
      <c r="N526" s="120"/>
      <c r="O526" s="120"/>
      <c r="P526" s="120"/>
    </row>
    <row r="527" hidden="1">
      <c r="A527" s="118" t="s">
        <v>2117</v>
      </c>
      <c r="B527" s="119" t="s">
        <v>2118</v>
      </c>
      <c r="C527" s="118" t="s">
        <v>2119</v>
      </c>
      <c r="D527" s="120"/>
      <c r="E527" s="88" t="s">
        <v>31</v>
      </c>
      <c r="F527" s="120"/>
      <c r="G527" s="118" t="s">
        <v>2120</v>
      </c>
      <c r="H527" s="118" t="s">
        <v>2023</v>
      </c>
      <c r="I527" s="118" t="s">
        <v>2121</v>
      </c>
      <c r="J527" s="122" t="s">
        <v>74</v>
      </c>
      <c r="K527" s="123" t="s">
        <v>75</v>
      </c>
      <c r="L527" s="123" t="s">
        <v>76</v>
      </c>
      <c r="M527" s="120"/>
      <c r="N527" s="120"/>
      <c r="O527" s="120"/>
      <c r="P527" s="120"/>
    </row>
    <row r="528" hidden="1">
      <c r="A528" s="118" t="s">
        <v>2117</v>
      </c>
      <c r="B528" s="126"/>
      <c r="C528" s="118" t="s">
        <v>2122</v>
      </c>
      <c r="D528" s="120"/>
      <c r="E528" s="88" t="s">
        <v>31</v>
      </c>
      <c r="F528" s="120"/>
      <c r="G528" s="118" t="s">
        <v>2123</v>
      </c>
      <c r="H528" s="118" t="s">
        <v>2124</v>
      </c>
      <c r="I528" s="118" t="s">
        <v>2125</v>
      </c>
      <c r="J528" s="122" t="s">
        <v>74</v>
      </c>
      <c r="K528" s="123" t="s">
        <v>75</v>
      </c>
      <c r="L528" s="123" t="s">
        <v>76</v>
      </c>
      <c r="M528" s="120"/>
      <c r="N528" s="120"/>
      <c r="O528" s="120"/>
      <c r="P528" s="120"/>
    </row>
    <row r="529" hidden="1">
      <c r="A529" s="118" t="s">
        <v>2117</v>
      </c>
      <c r="B529" s="126"/>
      <c r="C529" s="118" t="s">
        <v>2126</v>
      </c>
      <c r="D529" s="120"/>
      <c r="E529" s="88" t="s">
        <v>31</v>
      </c>
      <c r="F529" s="120"/>
      <c r="G529" s="118" t="s">
        <v>2127</v>
      </c>
      <c r="H529" s="118" t="s">
        <v>2124</v>
      </c>
      <c r="I529" s="118" t="s">
        <v>2128</v>
      </c>
      <c r="J529" s="122" t="s">
        <v>74</v>
      </c>
      <c r="K529" s="123" t="s">
        <v>75</v>
      </c>
      <c r="L529" s="123" t="s">
        <v>76</v>
      </c>
      <c r="M529" s="120"/>
      <c r="N529" s="120"/>
      <c r="O529" s="120"/>
      <c r="P529" s="120"/>
    </row>
    <row r="530" hidden="1">
      <c r="A530" s="118" t="s">
        <v>2117</v>
      </c>
      <c r="B530" s="126"/>
      <c r="C530" s="118" t="s">
        <v>2129</v>
      </c>
      <c r="D530" s="120"/>
      <c r="E530" s="88" t="s">
        <v>31</v>
      </c>
      <c r="F530" s="120"/>
      <c r="G530" s="118" t="s">
        <v>2130</v>
      </c>
      <c r="H530" s="118" t="s">
        <v>2131</v>
      </c>
      <c r="I530" s="118" t="s">
        <v>2132</v>
      </c>
      <c r="J530" s="122" t="s">
        <v>74</v>
      </c>
      <c r="K530" s="123" t="s">
        <v>75</v>
      </c>
      <c r="L530" s="123" t="s">
        <v>76</v>
      </c>
      <c r="M530" s="120"/>
      <c r="N530" s="120"/>
      <c r="O530" s="120"/>
      <c r="P530" s="120"/>
    </row>
    <row r="531" hidden="1">
      <c r="A531" s="118" t="s">
        <v>2117</v>
      </c>
      <c r="B531" s="126"/>
      <c r="C531" s="118" t="s">
        <v>2133</v>
      </c>
      <c r="D531" s="120"/>
      <c r="E531" s="88" t="s">
        <v>31</v>
      </c>
      <c r="F531" s="120"/>
      <c r="G531" s="118" t="s">
        <v>2134</v>
      </c>
      <c r="H531" s="118" t="s">
        <v>2135</v>
      </c>
      <c r="I531" s="118" t="s">
        <v>2136</v>
      </c>
      <c r="J531" s="122" t="s">
        <v>74</v>
      </c>
      <c r="K531" s="123" t="s">
        <v>75</v>
      </c>
      <c r="L531" s="123" t="s">
        <v>76</v>
      </c>
      <c r="M531" s="120"/>
      <c r="N531" s="120"/>
      <c r="O531" s="120"/>
      <c r="P531" s="120"/>
    </row>
    <row r="532" hidden="1">
      <c r="A532" s="118" t="s">
        <v>2117</v>
      </c>
      <c r="B532" s="126"/>
      <c r="C532" s="118" t="s">
        <v>2137</v>
      </c>
      <c r="D532" s="131"/>
      <c r="E532" s="88" t="s">
        <v>31</v>
      </c>
      <c r="F532" s="120"/>
      <c r="G532" s="118" t="s">
        <v>2138</v>
      </c>
      <c r="H532" s="130" t="s">
        <v>2139</v>
      </c>
      <c r="I532" s="130" t="s">
        <v>2140</v>
      </c>
      <c r="J532" s="122" t="s">
        <v>74</v>
      </c>
      <c r="K532" s="123" t="s">
        <v>75</v>
      </c>
      <c r="L532" s="123" t="s">
        <v>76</v>
      </c>
      <c r="M532" s="131"/>
      <c r="N532" s="131"/>
      <c r="O532" s="131"/>
      <c r="P532" s="131"/>
    </row>
    <row r="533" hidden="1">
      <c r="A533" s="118" t="s">
        <v>2117</v>
      </c>
      <c r="B533" s="126"/>
      <c r="C533" s="118" t="s">
        <v>2141</v>
      </c>
      <c r="D533" s="120"/>
      <c r="E533" s="88" t="s">
        <v>31</v>
      </c>
      <c r="F533" s="120"/>
      <c r="G533" s="118" t="s">
        <v>2142</v>
      </c>
      <c r="H533" s="118" t="s">
        <v>2143</v>
      </c>
      <c r="I533" s="118" t="s">
        <v>2144</v>
      </c>
      <c r="J533" s="122" t="s">
        <v>74</v>
      </c>
      <c r="K533" s="123" t="s">
        <v>75</v>
      </c>
      <c r="L533" s="123" t="s">
        <v>76</v>
      </c>
      <c r="M533" s="120"/>
      <c r="N533" s="120"/>
      <c r="O533" s="120"/>
      <c r="P533" s="120"/>
    </row>
    <row r="534" hidden="1">
      <c r="A534" s="118" t="s">
        <v>2117</v>
      </c>
      <c r="B534" s="126"/>
      <c r="C534" s="118" t="s">
        <v>2145</v>
      </c>
      <c r="D534" s="120"/>
      <c r="E534" s="88" t="s">
        <v>31</v>
      </c>
      <c r="F534" s="120"/>
      <c r="G534" s="118" t="s">
        <v>2146</v>
      </c>
      <c r="H534" s="118" t="s">
        <v>2147</v>
      </c>
      <c r="I534" s="118" t="s">
        <v>2148</v>
      </c>
      <c r="J534" s="122" t="s">
        <v>74</v>
      </c>
      <c r="K534" s="123" t="s">
        <v>75</v>
      </c>
      <c r="L534" s="123" t="s">
        <v>76</v>
      </c>
      <c r="M534" s="120"/>
      <c r="N534" s="120"/>
      <c r="O534" s="120"/>
      <c r="P534" s="120"/>
    </row>
    <row r="535" hidden="1">
      <c r="A535" s="118" t="s">
        <v>2117</v>
      </c>
      <c r="B535" s="126"/>
      <c r="C535" s="118" t="s">
        <v>2149</v>
      </c>
      <c r="D535" s="120"/>
      <c r="E535" s="88" t="s">
        <v>31</v>
      </c>
      <c r="F535" s="120"/>
      <c r="G535" s="118" t="s">
        <v>2150</v>
      </c>
      <c r="H535" s="118" t="s">
        <v>2147</v>
      </c>
      <c r="I535" s="118" t="s">
        <v>2151</v>
      </c>
      <c r="J535" s="122" t="s">
        <v>74</v>
      </c>
      <c r="K535" s="123" t="s">
        <v>75</v>
      </c>
      <c r="L535" s="123" t="s">
        <v>76</v>
      </c>
      <c r="M535" s="118" t="s">
        <v>2152</v>
      </c>
      <c r="N535" s="120"/>
      <c r="O535" s="120"/>
      <c r="P535" s="120"/>
    </row>
    <row r="536" hidden="1">
      <c r="A536" s="120"/>
      <c r="B536" s="126"/>
      <c r="C536" s="118" t="s">
        <v>2149</v>
      </c>
      <c r="D536" s="120"/>
      <c r="E536" s="88" t="s">
        <v>31</v>
      </c>
      <c r="F536" s="120"/>
      <c r="G536" s="118" t="s">
        <v>2153</v>
      </c>
      <c r="H536" s="118" t="s">
        <v>2154</v>
      </c>
      <c r="I536" s="118" t="s">
        <v>2155</v>
      </c>
      <c r="J536" s="122" t="s">
        <v>74</v>
      </c>
      <c r="K536" s="123" t="s">
        <v>75</v>
      </c>
      <c r="L536" s="123" t="s">
        <v>76</v>
      </c>
      <c r="M536" s="120"/>
      <c r="N536" s="129" t="s">
        <v>2156</v>
      </c>
      <c r="O536" s="120"/>
      <c r="P536" s="120"/>
    </row>
    <row r="537" hidden="1">
      <c r="A537" s="118" t="s">
        <v>2117</v>
      </c>
      <c r="B537" s="126"/>
      <c r="C537" s="118" t="s">
        <v>2157</v>
      </c>
      <c r="D537" s="120"/>
      <c r="E537" s="88" t="s">
        <v>31</v>
      </c>
      <c r="F537" s="120"/>
      <c r="G537" s="118" t="s">
        <v>2158</v>
      </c>
      <c r="H537" s="118" t="s">
        <v>2159</v>
      </c>
      <c r="I537" s="118" t="s">
        <v>2160</v>
      </c>
      <c r="J537" s="122" t="s">
        <v>74</v>
      </c>
      <c r="K537" s="123" t="s">
        <v>75</v>
      </c>
      <c r="L537" s="123" t="s">
        <v>76</v>
      </c>
      <c r="M537" s="118" t="s">
        <v>593</v>
      </c>
      <c r="N537" s="120"/>
      <c r="O537" s="120"/>
      <c r="P537" s="120"/>
    </row>
    <row r="538" hidden="1">
      <c r="A538" s="118" t="s">
        <v>2117</v>
      </c>
      <c r="B538" s="126"/>
      <c r="C538" s="118" t="s">
        <v>2161</v>
      </c>
      <c r="D538" s="120"/>
      <c r="E538" s="88" t="s">
        <v>31</v>
      </c>
      <c r="F538" s="120"/>
      <c r="G538" s="118" t="s">
        <v>2162</v>
      </c>
      <c r="H538" s="118" t="s">
        <v>2163</v>
      </c>
      <c r="I538" s="118" t="s">
        <v>2164</v>
      </c>
      <c r="J538" s="122" t="s">
        <v>74</v>
      </c>
      <c r="K538" s="123" t="s">
        <v>75</v>
      </c>
      <c r="L538" s="123" t="s">
        <v>76</v>
      </c>
      <c r="M538" s="118" t="s">
        <v>593</v>
      </c>
      <c r="N538" s="120"/>
      <c r="O538" s="120"/>
      <c r="P538" s="120"/>
    </row>
    <row r="539" hidden="1">
      <c r="A539" s="118" t="s">
        <v>2117</v>
      </c>
      <c r="B539" s="10"/>
      <c r="C539" s="118" t="s">
        <v>2165</v>
      </c>
      <c r="D539" s="120"/>
      <c r="E539" s="88" t="s">
        <v>31</v>
      </c>
      <c r="F539" s="120"/>
      <c r="G539" s="118" t="s">
        <v>2166</v>
      </c>
      <c r="H539" s="118" t="s">
        <v>2167</v>
      </c>
      <c r="I539" s="118" t="s">
        <v>2168</v>
      </c>
      <c r="J539" s="122" t="s">
        <v>74</v>
      </c>
      <c r="K539" s="123" t="s">
        <v>25</v>
      </c>
      <c r="L539" s="123" t="s">
        <v>25</v>
      </c>
      <c r="M539" s="118" t="s">
        <v>593</v>
      </c>
      <c r="N539" s="120"/>
      <c r="O539" s="120"/>
      <c r="P539" s="120"/>
    </row>
    <row r="540" hidden="1">
      <c r="A540" s="118" t="s">
        <v>2169</v>
      </c>
      <c r="B540" s="132" t="s">
        <v>2170</v>
      </c>
      <c r="C540" s="133" t="s">
        <v>2171</v>
      </c>
      <c r="D540" s="120"/>
      <c r="E540" s="88" t="s">
        <v>31</v>
      </c>
      <c r="F540" s="120"/>
      <c r="G540" s="118" t="s">
        <v>2172</v>
      </c>
      <c r="H540" s="118" t="s">
        <v>2173</v>
      </c>
      <c r="I540" s="118" t="s">
        <v>2174</v>
      </c>
      <c r="J540" s="122" t="s">
        <v>74</v>
      </c>
      <c r="K540" s="123" t="s">
        <v>75</v>
      </c>
      <c r="L540" s="123" t="s">
        <v>76</v>
      </c>
      <c r="M540" s="120"/>
      <c r="N540" s="120"/>
      <c r="O540" s="120"/>
      <c r="P540" s="120"/>
    </row>
    <row r="541" hidden="1">
      <c r="A541" s="118" t="s">
        <v>2169</v>
      </c>
      <c r="B541" s="126"/>
      <c r="C541" s="133" t="s">
        <v>2175</v>
      </c>
      <c r="D541" s="120"/>
      <c r="E541" s="88" t="s">
        <v>31</v>
      </c>
      <c r="F541" s="120"/>
      <c r="G541" s="118" t="s">
        <v>2176</v>
      </c>
      <c r="H541" s="118" t="s">
        <v>2177</v>
      </c>
      <c r="I541" s="118" t="s">
        <v>2178</v>
      </c>
      <c r="J541" s="122" t="s">
        <v>74</v>
      </c>
      <c r="K541" s="123" t="s">
        <v>75</v>
      </c>
      <c r="L541" s="123" t="s">
        <v>76</v>
      </c>
      <c r="M541" s="120"/>
      <c r="N541" s="120"/>
      <c r="O541" s="120"/>
      <c r="P541" s="120"/>
    </row>
    <row r="542" hidden="1">
      <c r="A542" s="118" t="s">
        <v>2169</v>
      </c>
      <c r="B542" s="126"/>
      <c r="C542" s="133" t="s">
        <v>2179</v>
      </c>
      <c r="D542" s="120"/>
      <c r="E542" s="88" t="s">
        <v>31</v>
      </c>
      <c r="F542" s="120"/>
      <c r="G542" s="118" t="s">
        <v>2180</v>
      </c>
      <c r="H542" s="118" t="s">
        <v>2181</v>
      </c>
      <c r="I542" s="118" t="s">
        <v>2182</v>
      </c>
      <c r="J542" s="122" t="s">
        <v>74</v>
      </c>
      <c r="K542" s="123" t="s">
        <v>75</v>
      </c>
      <c r="L542" s="123" t="s">
        <v>76</v>
      </c>
      <c r="M542" s="120"/>
      <c r="N542" s="120"/>
      <c r="O542" s="120"/>
      <c r="P542" s="120"/>
    </row>
    <row r="543" hidden="1">
      <c r="A543" s="118" t="s">
        <v>2169</v>
      </c>
      <c r="B543" s="126"/>
      <c r="C543" s="133" t="s">
        <v>2183</v>
      </c>
      <c r="D543" s="120"/>
      <c r="E543" s="88" t="s">
        <v>31</v>
      </c>
      <c r="F543" s="120"/>
      <c r="G543" s="118" t="s">
        <v>2184</v>
      </c>
      <c r="H543" s="118" t="s">
        <v>2185</v>
      </c>
      <c r="I543" s="118" t="s">
        <v>2186</v>
      </c>
      <c r="J543" s="122" t="s">
        <v>74</v>
      </c>
      <c r="K543" s="123" t="s">
        <v>75</v>
      </c>
      <c r="L543" s="123" t="s">
        <v>76</v>
      </c>
      <c r="M543" s="120"/>
      <c r="N543" s="120"/>
      <c r="O543" s="120"/>
      <c r="P543" s="120"/>
    </row>
    <row r="544" hidden="1">
      <c r="A544" s="120"/>
      <c r="B544" s="126"/>
      <c r="C544" s="118" t="s">
        <v>2187</v>
      </c>
      <c r="D544" s="120"/>
      <c r="E544" s="88" t="s">
        <v>41</v>
      </c>
      <c r="F544" s="120"/>
      <c r="G544" s="118" t="s">
        <v>2188</v>
      </c>
      <c r="H544" s="118" t="s">
        <v>2189</v>
      </c>
      <c r="I544" s="118" t="s">
        <v>2190</v>
      </c>
      <c r="J544" s="122" t="s">
        <v>74</v>
      </c>
      <c r="K544" s="123" t="s">
        <v>75</v>
      </c>
      <c r="L544" s="123" t="s">
        <v>76</v>
      </c>
      <c r="M544" s="120"/>
      <c r="N544" s="120"/>
      <c r="O544" s="120"/>
      <c r="P544" s="120"/>
    </row>
    <row r="545" hidden="1">
      <c r="A545" s="118" t="s">
        <v>2169</v>
      </c>
      <c r="B545" s="126"/>
      <c r="C545" s="133" t="s">
        <v>2191</v>
      </c>
      <c r="D545" s="120"/>
      <c r="E545" s="88" t="s">
        <v>31</v>
      </c>
      <c r="F545" s="120"/>
      <c r="G545" s="118" t="s">
        <v>2192</v>
      </c>
      <c r="H545" s="118" t="s">
        <v>2193</v>
      </c>
      <c r="I545" s="130" t="s">
        <v>2194</v>
      </c>
      <c r="J545" s="122" t="s">
        <v>74</v>
      </c>
      <c r="K545" s="123" t="s">
        <v>75</v>
      </c>
      <c r="L545" s="123" t="s">
        <v>76</v>
      </c>
      <c r="M545" s="120"/>
      <c r="N545" s="120"/>
      <c r="O545" s="120"/>
      <c r="P545" s="120"/>
    </row>
    <row r="546" hidden="1">
      <c r="A546" s="118" t="s">
        <v>2169</v>
      </c>
      <c r="B546" s="126"/>
      <c r="C546" s="133" t="s">
        <v>2195</v>
      </c>
      <c r="D546" s="131"/>
      <c r="E546" s="88" t="s">
        <v>31</v>
      </c>
      <c r="F546" s="131"/>
      <c r="G546" s="118" t="s">
        <v>2196</v>
      </c>
      <c r="H546" s="130" t="s">
        <v>2197</v>
      </c>
      <c r="I546" s="130" t="s">
        <v>2198</v>
      </c>
      <c r="J546" s="122" t="s">
        <v>74</v>
      </c>
      <c r="K546" s="123" t="s">
        <v>75</v>
      </c>
      <c r="L546" s="123" t="s">
        <v>76</v>
      </c>
      <c r="M546" s="120"/>
      <c r="N546" s="120"/>
      <c r="O546" s="120"/>
      <c r="P546" s="120"/>
    </row>
    <row r="547" hidden="1">
      <c r="A547" s="118" t="s">
        <v>2169</v>
      </c>
      <c r="B547" s="126"/>
      <c r="C547" s="133" t="s">
        <v>2199</v>
      </c>
      <c r="D547" s="120"/>
      <c r="E547" s="88" t="s">
        <v>31</v>
      </c>
      <c r="F547" s="120"/>
      <c r="G547" s="118" t="s">
        <v>2200</v>
      </c>
      <c r="H547" s="130" t="s">
        <v>2201</v>
      </c>
      <c r="I547" s="118" t="s">
        <v>2202</v>
      </c>
      <c r="J547" s="122" t="s">
        <v>74</v>
      </c>
      <c r="K547" s="123" t="s">
        <v>75</v>
      </c>
      <c r="L547" s="123" t="s">
        <v>76</v>
      </c>
      <c r="M547" s="120"/>
      <c r="N547" s="120"/>
      <c r="O547" s="120"/>
      <c r="P547" s="120"/>
    </row>
    <row r="548">
      <c r="A548" s="118" t="s">
        <v>2169</v>
      </c>
      <c r="B548" s="126"/>
      <c r="C548" s="133" t="s">
        <v>2203</v>
      </c>
      <c r="D548" s="120"/>
      <c r="E548" s="88" t="s">
        <v>31</v>
      </c>
      <c r="F548" s="120"/>
      <c r="G548" s="118" t="s">
        <v>2204</v>
      </c>
      <c r="H548" s="130" t="s">
        <v>2205</v>
      </c>
      <c r="I548" s="118" t="s">
        <v>2206</v>
      </c>
      <c r="J548" s="128" t="s">
        <v>714</v>
      </c>
      <c r="K548" s="123" t="s">
        <v>75</v>
      </c>
      <c r="L548" s="123" t="s">
        <v>76</v>
      </c>
      <c r="M548" s="120"/>
      <c r="N548" s="129" t="s">
        <v>2207</v>
      </c>
      <c r="O548" s="120"/>
      <c r="P548" s="120"/>
    </row>
    <row r="549" hidden="1">
      <c r="A549" s="118" t="s">
        <v>2169</v>
      </c>
      <c r="B549" s="126"/>
      <c r="C549" s="133" t="s">
        <v>2208</v>
      </c>
      <c r="D549" s="120"/>
      <c r="E549" s="88" t="s">
        <v>31</v>
      </c>
      <c r="F549" s="120"/>
      <c r="G549" s="118" t="s">
        <v>2209</v>
      </c>
      <c r="H549" s="130" t="s">
        <v>2210</v>
      </c>
      <c r="I549" s="118" t="s">
        <v>2211</v>
      </c>
      <c r="J549" s="122" t="s">
        <v>74</v>
      </c>
      <c r="K549" s="123" t="s">
        <v>75</v>
      </c>
      <c r="L549" s="123" t="s">
        <v>76</v>
      </c>
      <c r="M549" s="120"/>
      <c r="N549" s="120"/>
      <c r="O549" s="120"/>
      <c r="P549" s="120"/>
    </row>
    <row r="550" hidden="1">
      <c r="A550" s="118" t="s">
        <v>2169</v>
      </c>
      <c r="B550" s="126"/>
      <c r="C550" s="133" t="s">
        <v>2212</v>
      </c>
      <c r="D550" s="120"/>
      <c r="E550" s="88" t="s">
        <v>31</v>
      </c>
      <c r="F550" s="120"/>
      <c r="G550" s="118" t="s">
        <v>2213</v>
      </c>
      <c r="H550" s="118" t="s">
        <v>2214</v>
      </c>
      <c r="I550" s="118" t="s">
        <v>2215</v>
      </c>
      <c r="J550" s="122" t="s">
        <v>74</v>
      </c>
      <c r="K550" s="123" t="s">
        <v>75</v>
      </c>
      <c r="L550" s="123" t="s">
        <v>76</v>
      </c>
      <c r="M550" s="120"/>
      <c r="N550" s="120"/>
      <c r="O550" s="120"/>
      <c r="P550" s="120"/>
    </row>
    <row r="551" hidden="1">
      <c r="A551" s="118" t="s">
        <v>2169</v>
      </c>
      <c r="B551" s="126"/>
      <c r="C551" s="133" t="s">
        <v>2216</v>
      </c>
      <c r="D551" s="120"/>
      <c r="E551" s="88" t="s">
        <v>31</v>
      </c>
      <c r="F551" s="120"/>
      <c r="G551" s="118" t="s">
        <v>2217</v>
      </c>
      <c r="H551" s="118" t="s">
        <v>2193</v>
      </c>
      <c r="I551" s="130" t="s">
        <v>2218</v>
      </c>
      <c r="J551" s="122" t="s">
        <v>74</v>
      </c>
      <c r="K551" s="123" t="s">
        <v>75</v>
      </c>
      <c r="L551" s="123" t="s">
        <v>76</v>
      </c>
      <c r="M551" s="120"/>
      <c r="N551" s="120"/>
      <c r="O551" s="120"/>
      <c r="P551" s="120"/>
    </row>
    <row r="552" hidden="1">
      <c r="A552" s="118" t="s">
        <v>2169</v>
      </c>
      <c r="B552" s="126"/>
      <c r="C552" s="133" t="s">
        <v>2219</v>
      </c>
      <c r="D552" s="120"/>
      <c r="E552" s="88" t="s">
        <v>31</v>
      </c>
      <c r="F552" s="120"/>
      <c r="G552" s="118" t="s">
        <v>2220</v>
      </c>
      <c r="H552" s="118" t="s">
        <v>2221</v>
      </c>
      <c r="I552" s="118" t="s">
        <v>2222</v>
      </c>
      <c r="J552" s="122" t="s">
        <v>74</v>
      </c>
      <c r="K552" s="123" t="s">
        <v>75</v>
      </c>
      <c r="L552" s="123" t="s">
        <v>76</v>
      </c>
      <c r="M552" s="120"/>
      <c r="N552" s="120"/>
      <c r="O552" s="120"/>
      <c r="P552" s="120"/>
    </row>
    <row r="553" hidden="1">
      <c r="A553" s="118" t="s">
        <v>2169</v>
      </c>
      <c r="B553" s="126"/>
      <c r="C553" s="133" t="s">
        <v>2223</v>
      </c>
      <c r="D553" s="120"/>
      <c r="E553" s="88" t="s">
        <v>31</v>
      </c>
      <c r="F553" s="120"/>
      <c r="G553" s="130" t="s">
        <v>2224</v>
      </c>
      <c r="H553" s="118" t="s">
        <v>2225</v>
      </c>
      <c r="I553" s="118" t="s">
        <v>2226</v>
      </c>
      <c r="J553" s="122" t="s">
        <v>74</v>
      </c>
      <c r="K553" s="123" t="s">
        <v>75</v>
      </c>
      <c r="L553" s="123" t="s">
        <v>76</v>
      </c>
      <c r="M553" s="120"/>
      <c r="N553" s="120"/>
      <c r="O553" s="120"/>
      <c r="P553" s="120"/>
    </row>
    <row r="554" hidden="1">
      <c r="A554" s="118" t="s">
        <v>2169</v>
      </c>
      <c r="B554" s="126"/>
      <c r="C554" s="133" t="s">
        <v>2227</v>
      </c>
      <c r="D554" s="120"/>
      <c r="E554" s="88" t="s">
        <v>31</v>
      </c>
      <c r="F554" s="120"/>
      <c r="G554" s="118" t="s">
        <v>2228</v>
      </c>
      <c r="H554" s="118" t="s">
        <v>2229</v>
      </c>
      <c r="I554" s="118" t="s">
        <v>2230</v>
      </c>
      <c r="J554" s="122" t="s">
        <v>74</v>
      </c>
      <c r="K554" s="123" t="s">
        <v>25</v>
      </c>
      <c r="L554" s="123" t="s">
        <v>25</v>
      </c>
      <c r="M554" s="118" t="s">
        <v>772</v>
      </c>
      <c r="N554" s="120"/>
      <c r="O554" s="120"/>
      <c r="P554" s="120"/>
    </row>
    <row r="555" hidden="1">
      <c r="A555" s="118" t="s">
        <v>2169</v>
      </c>
      <c r="B555" s="126"/>
      <c r="C555" s="133" t="s">
        <v>2231</v>
      </c>
      <c r="D555" s="120"/>
      <c r="E555" s="88" t="s">
        <v>31</v>
      </c>
      <c r="F555" s="120"/>
      <c r="G555" s="118" t="s">
        <v>2232</v>
      </c>
      <c r="H555" s="118" t="s">
        <v>2233</v>
      </c>
      <c r="I555" s="118" t="s">
        <v>2234</v>
      </c>
      <c r="J555" s="122" t="s">
        <v>74</v>
      </c>
      <c r="K555" s="123" t="s">
        <v>75</v>
      </c>
      <c r="L555" s="123" t="s">
        <v>76</v>
      </c>
      <c r="M555" s="118" t="s">
        <v>593</v>
      </c>
      <c r="N555" s="120"/>
      <c r="O555" s="120"/>
      <c r="P555" s="120"/>
    </row>
    <row r="556" hidden="1">
      <c r="A556" s="118" t="s">
        <v>2169</v>
      </c>
      <c r="B556" s="126"/>
      <c r="C556" s="133" t="s">
        <v>2235</v>
      </c>
      <c r="D556" s="120"/>
      <c r="E556" s="88" t="s">
        <v>31</v>
      </c>
      <c r="F556" s="120"/>
      <c r="G556" s="118" t="s">
        <v>2236</v>
      </c>
      <c r="H556" s="118" t="s">
        <v>2233</v>
      </c>
      <c r="I556" s="118" t="s">
        <v>2237</v>
      </c>
      <c r="J556" s="122" t="s">
        <v>74</v>
      </c>
      <c r="K556" s="123" t="s">
        <v>75</v>
      </c>
      <c r="L556" s="123" t="s">
        <v>76</v>
      </c>
      <c r="M556" s="118" t="s">
        <v>593</v>
      </c>
      <c r="N556" s="120"/>
      <c r="O556" s="120"/>
      <c r="P556" s="120"/>
    </row>
    <row r="557" hidden="1">
      <c r="A557" s="118" t="s">
        <v>2169</v>
      </c>
      <c r="B557" s="126"/>
      <c r="C557" s="133" t="s">
        <v>2238</v>
      </c>
      <c r="D557" s="120"/>
      <c r="E557" s="88" t="s">
        <v>31</v>
      </c>
      <c r="F557" s="120"/>
      <c r="G557" s="118" t="s">
        <v>2239</v>
      </c>
      <c r="H557" s="118" t="s">
        <v>2240</v>
      </c>
      <c r="I557" s="118" t="s">
        <v>2241</v>
      </c>
      <c r="J557" s="122" t="s">
        <v>74</v>
      </c>
      <c r="K557" s="123" t="s">
        <v>75</v>
      </c>
      <c r="L557" s="123" t="s">
        <v>76</v>
      </c>
      <c r="M557" s="118" t="s">
        <v>593</v>
      </c>
      <c r="N557" s="120"/>
      <c r="O557" s="120"/>
      <c r="P557" s="120"/>
    </row>
    <row r="558" hidden="1">
      <c r="A558" s="118" t="s">
        <v>2169</v>
      </c>
      <c r="B558" s="126"/>
      <c r="C558" s="133" t="s">
        <v>2242</v>
      </c>
      <c r="D558" s="120"/>
      <c r="E558" s="88" t="s">
        <v>31</v>
      </c>
      <c r="F558" s="120"/>
      <c r="G558" s="118" t="s">
        <v>2243</v>
      </c>
      <c r="H558" s="118" t="s">
        <v>2233</v>
      </c>
      <c r="I558" s="118" t="s">
        <v>2241</v>
      </c>
      <c r="J558" s="122" t="s">
        <v>74</v>
      </c>
      <c r="K558" s="123" t="s">
        <v>75</v>
      </c>
      <c r="L558" s="123" t="s">
        <v>76</v>
      </c>
      <c r="M558" s="118" t="s">
        <v>593</v>
      </c>
      <c r="N558" s="120"/>
      <c r="O558" s="120"/>
      <c r="P558" s="120"/>
    </row>
    <row r="559" hidden="1">
      <c r="A559" s="118" t="s">
        <v>2169</v>
      </c>
      <c r="B559" s="126"/>
      <c r="C559" s="133" t="s">
        <v>2244</v>
      </c>
      <c r="D559" s="120"/>
      <c r="E559" s="88" t="s">
        <v>31</v>
      </c>
      <c r="F559" s="120"/>
      <c r="G559" s="118" t="s">
        <v>2245</v>
      </c>
      <c r="H559" s="118" t="s">
        <v>2246</v>
      </c>
      <c r="I559" s="118" t="s">
        <v>2247</v>
      </c>
      <c r="J559" s="122" t="s">
        <v>74</v>
      </c>
      <c r="K559" s="123" t="s">
        <v>25</v>
      </c>
      <c r="L559" s="123" t="s">
        <v>25</v>
      </c>
      <c r="M559" s="120"/>
      <c r="N559" s="120"/>
      <c r="O559" s="120"/>
      <c r="P559" s="120"/>
    </row>
    <row r="560" hidden="1">
      <c r="A560" s="118" t="s">
        <v>2169</v>
      </c>
      <c r="B560" s="126"/>
      <c r="C560" s="133" t="s">
        <v>2248</v>
      </c>
      <c r="D560" s="120"/>
      <c r="E560" s="88" t="s">
        <v>31</v>
      </c>
      <c r="F560" s="120"/>
      <c r="G560" s="118" t="s">
        <v>2249</v>
      </c>
      <c r="H560" s="118" t="s">
        <v>2250</v>
      </c>
      <c r="I560" s="118" t="s">
        <v>2247</v>
      </c>
      <c r="J560" s="122" t="s">
        <v>74</v>
      </c>
      <c r="K560" s="123" t="s">
        <v>25</v>
      </c>
      <c r="L560" s="123" t="s">
        <v>25</v>
      </c>
      <c r="M560" s="120"/>
      <c r="N560" s="120"/>
      <c r="O560" s="120"/>
      <c r="P560" s="120"/>
    </row>
    <row r="561" hidden="1">
      <c r="A561" s="118" t="s">
        <v>2169</v>
      </c>
      <c r="B561" s="126"/>
      <c r="C561" s="133" t="s">
        <v>2251</v>
      </c>
      <c r="D561" s="120"/>
      <c r="E561" s="88" t="s">
        <v>31</v>
      </c>
      <c r="F561" s="120"/>
      <c r="G561" s="118" t="s">
        <v>2252</v>
      </c>
      <c r="H561" s="118" t="s">
        <v>2253</v>
      </c>
      <c r="I561" s="118" t="s">
        <v>2254</v>
      </c>
      <c r="J561" s="122" t="s">
        <v>74</v>
      </c>
      <c r="K561" s="123" t="s">
        <v>25</v>
      </c>
      <c r="L561" s="123" t="s">
        <v>25</v>
      </c>
      <c r="M561" s="120"/>
      <c r="N561" s="120"/>
      <c r="O561" s="120"/>
      <c r="P561" s="120"/>
    </row>
    <row r="562" hidden="1">
      <c r="A562" s="118" t="s">
        <v>2169</v>
      </c>
      <c r="B562" s="10"/>
      <c r="C562" s="133" t="s">
        <v>2255</v>
      </c>
      <c r="D562" s="120"/>
      <c r="E562" s="88" t="s">
        <v>31</v>
      </c>
      <c r="F562" s="120"/>
      <c r="G562" s="134" t="s">
        <v>2256</v>
      </c>
      <c r="H562" s="130" t="s">
        <v>2257</v>
      </c>
      <c r="I562" s="135" t="s">
        <v>2258</v>
      </c>
      <c r="J562" s="122" t="s">
        <v>74</v>
      </c>
      <c r="K562" s="123" t="s">
        <v>25</v>
      </c>
      <c r="L562" s="123" t="s">
        <v>25</v>
      </c>
      <c r="M562" s="120"/>
      <c r="N562" s="120"/>
      <c r="O562" s="120"/>
      <c r="P562" s="120"/>
    </row>
    <row r="563" hidden="1">
      <c r="A563" s="118" t="s">
        <v>2259</v>
      </c>
      <c r="B563" s="119"/>
      <c r="C563" s="118" t="s">
        <v>2260</v>
      </c>
      <c r="D563" s="120"/>
      <c r="E563" s="118" t="s">
        <v>42</v>
      </c>
      <c r="F563" s="131"/>
      <c r="G563" s="118" t="s">
        <v>2261</v>
      </c>
      <c r="H563" s="118" t="s">
        <v>2262</v>
      </c>
      <c r="I563" s="118" t="s">
        <v>2263</v>
      </c>
      <c r="J563" s="122" t="s">
        <v>74</v>
      </c>
      <c r="K563" s="123" t="s">
        <v>75</v>
      </c>
      <c r="L563" s="123" t="s">
        <v>76</v>
      </c>
      <c r="M563" s="120"/>
      <c r="N563" s="120"/>
      <c r="O563" s="120"/>
      <c r="P563" s="120"/>
    </row>
    <row r="564" hidden="1">
      <c r="A564" s="118" t="s">
        <v>2259</v>
      </c>
      <c r="B564" s="126"/>
      <c r="C564" s="118" t="s">
        <v>2264</v>
      </c>
      <c r="D564" s="120"/>
      <c r="E564" s="118" t="s">
        <v>42</v>
      </c>
      <c r="F564" s="120"/>
      <c r="G564" s="118" t="s">
        <v>2265</v>
      </c>
      <c r="H564" s="118" t="s">
        <v>2266</v>
      </c>
      <c r="I564" s="118" t="s">
        <v>2267</v>
      </c>
      <c r="J564" s="122" t="s">
        <v>74</v>
      </c>
      <c r="K564" s="123" t="s">
        <v>75</v>
      </c>
      <c r="L564" s="123" t="s">
        <v>76</v>
      </c>
      <c r="M564" s="120"/>
      <c r="N564" s="120"/>
      <c r="O564" s="120"/>
      <c r="P564" s="120"/>
    </row>
    <row r="565" hidden="1">
      <c r="A565" s="118" t="s">
        <v>2259</v>
      </c>
      <c r="B565" s="126"/>
      <c r="C565" s="118" t="s">
        <v>2268</v>
      </c>
      <c r="D565" s="120"/>
      <c r="E565" s="118" t="s">
        <v>42</v>
      </c>
      <c r="F565" s="120"/>
      <c r="G565" s="120"/>
      <c r="H565" s="118" t="s">
        <v>2269</v>
      </c>
      <c r="I565" s="118" t="s">
        <v>2270</v>
      </c>
      <c r="J565" s="122" t="s">
        <v>74</v>
      </c>
      <c r="K565" s="123" t="s">
        <v>75</v>
      </c>
      <c r="L565" s="123" t="s">
        <v>76</v>
      </c>
      <c r="M565" s="120"/>
      <c r="N565" s="120"/>
      <c r="O565" s="120"/>
      <c r="P565" s="120"/>
    </row>
    <row r="566" hidden="1">
      <c r="A566" s="118" t="s">
        <v>2259</v>
      </c>
      <c r="B566" s="126"/>
      <c r="C566" s="118" t="s">
        <v>2271</v>
      </c>
      <c r="D566" s="120"/>
      <c r="E566" s="118" t="s">
        <v>42</v>
      </c>
      <c r="F566" s="120"/>
      <c r="G566" s="118" t="s">
        <v>2272</v>
      </c>
      <c r="H566" s="118" t="s">
        <v>2273</v>
      </c>
      <c r="I566" s="118" t="s">
        <v>2274</v>
      </c>
      <c r="J566" s="122" t="s">
        <v>74</v>
      </c>
      <c r="K566" s="123" t="s">
        <v>75</v>
      </c>
      <c r="L566" s="123" t="s">
        <v>76</v>
      </c>
      <c r="M566" s="120"/>
      <c r="N566" s="120"/>
      <c r="O566" s="120"/>
      <c r="P566" s="120"/>
    </row>
    <row r="567" hidden="1">
      <c r="A567" s="118" t="s">
        <v>2259</v>
      </c>
      <c r="B567" s="126"/>
      <c r="C567" s="118" t="s">
        <v>2275</v>
      </c>
      <c r="D567" s="120"/>
      <c r="E567" s="118" t="s">
        <v>42</v>
      </c>
      <c r="F567" s="120"/>
      <c r="G567" s="118" t="s">
        <v>2276</v>
      </c>
      <c r="H567" s="118" t="s">
        <v>2277</v>
      </c>
      <c r="I567" s="118" t="s">
        <v>2278</v>
      </c>
      <c r="J567" s="122" t="s">
        <v>74</v>
      </c>
      <c r="K567" s="123" t="s">
        <v>75</v>
      </c>
      <c r="L567" s="123" t="s">
        <v>76</v>
      </c>
      <c r="M567" s="120"/>
      <c r="N567" s="120"/>
      <c r="O567" s="120"/>
      <c r="P567" s="120"/>
    </row>
    <row r="568" hidden="1">
      <c r="A568" s="118" t="s">
        <v>2259</v>
      </c>
      <c r="B568" s="126"/>
      <c r="C568" s="118" t="s">
        <v>2279</v>
      </c>
      <c r="D568" s="120"/>
      <c r="E568" s="118" t="s">
        <v>42</v>
      </c>
      <c r="F568" s="118" t="s">
        <v>2280</v>
      </c>
      <c r="G568" s="118" t="s">
        <v>2281</v>
      </c>
      <c r="H568" s="118" t="s">
        <v>2282</v>
      </c>
      <c r="I568" s="118" t="s">
        <v>2283</v>
      </c>
      <c r="J568" s="122" t="s">
        <v>74</v>
      </c>
      <c r="K568" s="123" t="s">
        <v>75</v>
      </c>
      <c r="L568" s="123" t="s">
        <v>76</v>
      </c>
      <c r="M568" s="120"/>
      <c r="N568" s="120"/>
      <c r="O568" s="120"/>
      <c r="P568" s="120"/>
    </row>
    <row r="569" hidden="1">
      <c r="A569" s="118" t="s">
        <v>2259</v>
      </c>
      <c r="B569" s="126"/>
      <c r="C569" s="118" t="s">
        <v>2284</v>
      </c>
      <c r="D569" s="120"/>
      <c r="E569" s="118" t="s">
        <v>42</v>
      </c>
      <c r="F569" s="120"/>
      <c r="G569" s="118" t="s">
        <v>2285</v>
      </c>
      <c r="H569" s="118" t="s">
        <v>2286</v>
      </c>
      <c r="I569" s="118" t="s">
        <v>2283</v>
      </c>
      <c r="J569" s="122" t="s">
        <v>74</v>
      </c>
      <c r="K569" s="123" t="s">
        <v>75</v>
      </c>
      <c r="L569" s="123" t="s">
        <v>76</v>
      </c>
      <c r="M569" s="118" t="s">
        <v>593</v>
      </c>
      <c r="N569" s="120"/>
      <c r="O569" s="120"/>
      <c r="P569" s="120"/>
    </row>
    <row r="570" hidden="1">
      <c r="A570" s="118" t="s">
        <v>2259</v>
      </c>
      <c r="B570" s="126"/>
      <c r="C570" s="118" t="s">
        <v>2287</v>
      </c>
      <c r="D570" s="120"/>
      <c r="E570" s="118" t="s">
        <v>42</v>
      </c>
      <c r="F570" s="120"/>
      <c r="G570" s="118" t="s">
        <v>2288</v>
      </c>
      <c r="H570" s="118" t="s">
        <v>2289</v>
      </c>
      <c r="I570" s="118" t="s">
        <v>2290</v>
      </c>
      <c r="J570" s="122" t="s">
        <v>74</v>
      </c>
      <c r="K570" s="123" t="s">
        <v>75</v>
      </c>
      <c r="L570" s="123" t="s">
        <v>76</v>
      </c>
      <c r="M570" s="118" t="s">
        <v>593</v>
      </c>
      <c r="N570" s="120"/>
      <c r="O570" s="120"/>
      <c r="P570" s="120"/>
    </row>
    <row r="571" hidden="1">
      <c r="A571" s="118" t="s">
        <v>2259</v>
      </c>
      <c r="B571" s="126"/>
      <c r="C571" s="118" t="s">
        <v>2291</v>
      </c>
      <c r="D571" s="120"/>
      <c r="E571" s="118" t="s">
        <v>42</v>
      </c>
      <c r="F571" s="120"/>
      <c r="G571" s="118" t="s">
        <v>2292</v>
      </c>
      <c r="H571" s="118" t="s">
        <v>2293</v>
      </c>
      <c r="I571" s="118" t="s">
        <v>2294</v>
      </c>
      <c r="J571" s="122" t="s">
        <v>74</v>
      </c>
      <c r="K571" s="123" t="s">
        <v>75</v>
      </c>
      <c r="L571" s="123" t="s">
        <v>76</v>
      </c>
      <c r="M571" s="118" t="s">
        <v>593</v>
      </c>
      <c r="N571" s="120"/>
      <c r="O571" s="120"/>
      <c r="P571" s="120"/>
    </row>
    <row r="572">
      <c r="A572" s="118" t="s">
        <v>2259</v>
      </c>
      <c r="B572" s="126"/>
      <c r="C572" s="118" t="s">
        <v>2295</v>
      </c>
      <c r="D572" s="120"/>
      <c r="E572" s="118" t="s">
        <v>42</v>
      </c>
      <c r="F572" s="120"/>
      <c r="G572" s="118" t="s">
        <v>2296</v>
      </c>
      <c r="H572" s="118" t="s">
        <v>2297</v>
      </c>
      <c r="I572" s="118" t="s">
        <v>2298</v>
      </c>
      <c r="J572" s="128" t="s">
        <v>714</v>
      </c>
      <c r="K572" s="123" t="s">
        <v>75</v>
      </c>
      <c r="L572" s="123" t="s">
        <v>76</v>
      </c>
      <c r="M572" s="120"/>
      <c r="N572" s="129" t="s">
        <v>2299</v>
      </c>
      <c r="O572" s="120"/>
      <c r="P572" s="120"/>
    </row>
    <row r="573" hidden="1">
      <c r="A573" s="118" t="s">
        <v>2259</v>
      </c>
      <c r="B573" s="126"/>
      <c r="C573" s="118" t="s">
        <v>2300</v>
      </c>
      <c r="D573" s="120"/>
      <c r="E573" s="118" t="s">
        <v>42</v>
      </c>
      <c r="F573" s="120"/>
      <c r="G573" s="118" t="s">
        <v>2301</v>
      </c>
      <c r="H573" s="118" t="s">
        <v>2302</v>
      </c>
      <c r="I573" s="118" t="s">
        <v>2303</v>
      </c>
      <c r="J573" s="122" t="s">
        <v>74</v>
      </c>
      <c r="K573" s="123" t="s">
        <v>25</v>
      </c>
      <c r="L573" s="123" t="s">
        <v>25</v>
      </c>
      <c r="M573" s="120"/>
      <c r="N573" s="120"/>
      <c r="O573" s="120"/>
      <c r="P573" s="120"/>
    </row>
    <row r="574" hidden="1">
      <c r="A574" s="118" t="s">
        <v>2259</v>
      </c>
      <c r="B574" s="126"/>
      <c r="C574" s="118" t="s">
        <v>2304</v>
      </c>
      <c r="D574" s="120"/>
      <c r="E574" s="118" t="s">
        <v>42</v>
      </c>
      <c r="F574" s="120"/>
      <c r="G574" s="118" t="s">
        <v>2305</v>
      </c>
      <c r="H574" s="118" t="s">
        <v>2306</v>
      </c>
      <c r="I574" s="118" t="s">
        <v>2307</v>
      </c>
      <c r="J574" s="122" t="s">
        <v>74</v>
      </c>
      <c r="K574" s="123" t="s">
        <v>75</v>
      </c>
      <c r="L574" s="123" t="s">
        <v>76</v>
      </c>
      <c r="M574" s="120"/>
      <c r="N574" s="120"/>
      <c r="O574" s="120"/>
      <c r="P574" s="120"/>
    </row>
    <row r="575">
      <c r="A575" s="118" t="s">
        <v>2259</v>
      </c>
      <c r="B575" s="126"/>
      <c r="C575" s="118" t="s">
        <v>2308</v>
      </c>
      <c r="D575" s="120"/>
      <c r="E575" s="118" t="s">
        <v>42</v>
      </c>
      <c r="F575" s="120"/>
      <c r="G575" s="136" t="s">
        <v>2309</v>
      </c>
      <c r="H575" s="118" t="s">
        <v>2310</v>
      </c>
      <c r="I575" s="118" t="s">
        <v>2311</v>
      </c>
      <c r="J575" s="128" t="s">
        <v>714</v>
      </c>
      <c r="K575" s="123" t="s">
        <v>75</v>
      </c>
      <c r="L575" s="123" t="s">
        <v>76</v>
      </c>
      <c r="M575" s="120"/>
      <c r="N575" s="129" t="s">
        <v>2312</v>
      </c>
      <c r="O575" s="120"/>
      <c r="P575" s="120"/>
    </row>
    <row r="576">
      <c r="A576" s="118" t="s">
        <v>2259</v>
      </c>
      <c r="B576" s="10"/>
      <c r="C576" s="118" t="s">
        <v>2313</v>
      </c>
      <c r="D576" s="120"/>
      <c r="E576" s="118" t="s">
        <v>42</v>
      </c>
      <c r="F576" s="120"/>
      <c r="G576" s="118" t="s">
        <v>2314</v>
      </c>
      <c r="H576" s="118" t="s">
        <v>2310</v>
      </c>
      <c r="I576" s="118" t="s">
        <v>2315</v>
      </c>
      <c r="J576" s="128" t="s">
        <v>714</v>
      </c>
      <c r="K576" s="123" t="s">
        <v>75</v>
      </c>
      <c r="L576" s="123" t="s">
        <v>76</v>
      </c>
      <c r="M576" s="120"/>
      <c r="N576" s="129" t="s">
        <v>2316</v>
      </c>
      <c r="O576" s="120"/>
      <c r="P576" s="120"/>
    </row>
    <row r="577" hidden="1">
      <c r="A577" s="118" t="s">
        <v>2317</v>
      </c>
      <c r="B577" s="119" t="s">
        <v>2318</v>
      </c>
      <c r="C577" s="118" t="s">
        <v>2319</v>
      </c>
      <c r="D577" s="120"/>
      <c r="E577" s="88" t="s">
        <v>31</v>
      </c>
      <c r="F577" s="120"/>
      <c r="G577" s="118" t="s">
        <v>2320</v>
      </c>
      <c r="H577" s="118" t="s">
        <v>2321</v>
      </c>
      <c r="I577" s="118" t="s">
        <v>2322</v>
      </c>
      <c r="J577" s="122" t="s">
        <v>74</v>
      </c>
      <c r="K577" s="123" t="s">
        <v>75</v>
      </c>
      <c r="L577" s="118" t="s">
        <v>76</v>
      </c>
      <c r="M577" s="120"/>
      <c r="N577" s="120"/>
      <c r="O577" s="120"/>
      <c r="P577" s="120"/>
    </row>
    <row r="578" hidden="1">
      <c r="A578" s="118" t="s">
        <v>2317</v>
      </c>
      <c r="B578" s="126"/>
      <c r="C578" s="118" t="s">
        <v>2323</v>
      </c>
      <c r="D578" s="120"/>
      <c r="E578" s="88" t="s">
        <v>31</v>
      </c>
      <c r="F578" s="120"/>
      <c r="G578" s="118" t="s">
        <v>2324</v>
      </c>
      <c r="H578" s="118" t="s">
        <v>2325</v>
      </c>
      <c r="I578" s="118" t="s">
        <v>2326</v>
      </c>
      <c r="J578" s="122" t="s">
        <v>74</v>
      </c>
      <c r="K578" s="123" t="s">
        <v>75</v>
      </c>
      <c r="L578" s="118" t="s">
        <v>76</v>
      </c>
      <c r="M578" s="120"/>
      <c r="N578" s="120"/>
      <c r="O578" s="120"/>
      <c r="P578" s="120"/>
    </row>
    <row r="579" hidden="1">
      <c r="A579" s="118" t="s">
        <v>2317</v>
      </c>
      <c r="B579" s="126"/>
      <c r="C579" s="118" t="s">
        <v>2327</v>
      </c>
      <c r="D579" s="120"/>
      <c r="E579" s="88" t="s">
        <v>31</v>
      </c>
      <c r="F579" s="120"/>
      <c r="G579" s="118" t="s">
        <v>2328</v>
      </c>
      <c r="H579" s="118" t="s">
        <v>2325</v>
      </c>
      <c r="I579" s="118" t="s">
        <v>2329</v>
      </c>
      <c r="J579" s="122" t="s">
        <v>74</v>
      </c>
      <c r="K579" s="123" t="s">
        <v>75</v>
      </c>
      <c r="L579" s="118" t="s">
        <v>76</v>
      </c>
      <c r="M579" s="120"/>
      <c r="N579" s="120"/>
      <c r="O579" s="120"/>
      <c r="P579" s="120"/>
    </row>
    <row r="580" hidden="1">
      <c r="A580" s="118" t="s">
        <v>2317</v>
      </c>
      <c r="B580" s="126"/>
      <c r="C580" s="118" t="s">
        <v>2330</v>
      </c>
      <c r="D580" s="120"/>
      <c r="E580" s="88" t="s">
        <v>31</v>
      </c>
      <c r="F580" s="120"/>
      <c r="G580" s="118" t="s">
        <v>2331</v>
      </c>
      <c r="H580" s="118" t="s">
        <v>2332</v>
      </c>
      <c r="I580" s="118" t="s">
        <v>2333</v>
      </c>
      <c r="J580" s="122" t="s">
        <v>74</v>
      </c>
      <c r="K580" s="123" t="s">
        <v>75</v>
      </c>
      <c r="L580" s="118" t="s">
        <v>76</v>
      </c>
      <c r="M580" s="120"/>
      <c r="N580" s="120"/>
      <c r="O580" s="120"/>
      <c r="P580" s="120"/>
    </row>
    <row r="581" hidden="1">
      <c r="A581" s="118" t="s">
        <v>2317</v>
      </c>
      <c r="B581" s="126"/>
      <c r="C581" s="118" t="s">
        <v>2334</v>
      </c>
      <c r="D581" s="120"/>
      <c r="E581" s="88" t="s">
        <v>31</v>
      </c>
      <c r="F581" s="120"/>
      <c r="G581" s="118" t="s">
        <v>2335</v>
      </c>
      <c r="H581" s="118" t="s">
        <v>2336</v>
      </c>
      <c r="I581" s="118" t="s">
        <v>2337</v>
      </c>
      <c r="J581" s="122" t="s">
        <v>74</v>
      </c>
      <c r="K581" s="123" t="s">
        <v>75</v>
      </c>
      <c r="L581" s="118" t="s">
        <v>76</v>
      </c>
      <c r="M581" s="120"/>
      <c r="N581" s="120"/>
      <c r="O581" s="120"/>
      <c r="P581" s="120"/>
    </row>
    <row r="582" hidden="1">
      <c r="A582" s="118" t="s">
        <v>2317</v>
      </c>
      <c r="B582" s="126"/>
      <c r="C582" s="118" t="s">
        <v>2338</v>
      </c>
      <c r="D582" s="120"/>
      <c r="E582" s="88" t="s">
        <v>31</v>
      </c>
      <c r="F582" s="120"/>
      <c r="G582" s="118" t="s">
        <v>2339</v>
      </c>
      <c r="H582" s="118" t="s">
        <v>2340</v>
      </c>
      <c r="I582" s="118" t="s">
        <v>2341</v>
      </c>
      <c r="J582" s="122" t="s">
        <v>74</v>
      </c>
      <c r="K582" s="123" t="s">
        <v>75</v>
      </c>
      <c r="L582" s="118" t="s">
        <v>76</v>
      </c>
      <c r="M582" s="120"/>
      <c r="N582" s="120"/>
      <c r="O582" s="120"/>
      <c r="P582" s="120"/>
    </row>
    <row r="583" hidden="1">
      <c r="A583" s="118" t="s">
        <v>2317</v>
      </c>
      <c r="B583" s="126"/>
      <c r="C583" s="118" t="s">
        <v>2342</v>
      </c>
      <c r="D583" s="120"/>
      <c r="E583" s="88" t="s">
        <v>31</v>
      </c>
      <c r="F583" s="120"/>
      <c r="G583" s="118" t="s">
        <v>2343</v>
      </c>
      <c r="H583" s="118" t="s">
        <v>2344</v>
      </c>
      <c r="I583" s="118" t="s">
        <v>2345</v>
      </c>
      <c r="J583" s="122" t="s">
        <v>74</v>
      </c>
      <c r="K583" s="123" t="s">
        <v>75</v>
      </c>
      <c r="L583" s="118" t="s">
        <v>76</v>
      </c>
      <c r="M583" s="120"/>
      <c r="N583" s="120"/>
      <c r="O583" s="120"/>
      <c r="P583" s="120"/>
    </row>
    <row r="584" hidden="1">
      <c r="A584" s="118" t="s">
        <v>2317</v>
      </c>
      <c r="B584" s="126"/>
      <c r="C584" s="118" t="s">
        <v>2346</v>
      </c>
      <c r="D584" s="120"/>
      <c r="E584" s="88" t="s">
        <v>31</v>
      </c>
      <c r="F584" s="120"/>
      <c r="G584" s="118" t="s">
        <v>2347</v>
      </c>
      <c r="H584" s="118" t="s">
        <v>2143</v>
      </c>
      <c r="I584" s="118" t="s">
        <v>2144</v>
      </c>
      <c r="J584" s="122" t="s">
        <v>74</v>
      </c>
      <c r="K584" s="123" t="s">
        <v>75</v>
      </c>
      <c r="L584" s="118" t="s">
        <v>76</v>
      </c>
      <c r="M584" s="120"/>
      <c r="N584" s="120"/>
      <c r="O584" s="120"/>
      <c r="P584" s="120"/>
    </row>
    <row r="585" hidden="1">
      <c r="A585" s="118" t="s">
        <v>2317</v>
      </c>
      <c r="B585" s="126"/>
      <c r="C585" s="118" t="s">
        <v>2348</v>
      </c>
      <c r="D585" s="120"/>
      <c r="E585" s="88" t="s">
        <v>31</v>
      </c>
      <c r="F585" s="120"/>
      <c r="G585" s="118" t="s">
        <v>2349</v>
      </c>
      <c r="H585" s="118" t="s">
        <v>2350</v>
      </c>
      <c r="I585" s="118" t="s">
        <v>2351</v>
      </c>
      <c r="J585" s="122" t="s">
        <v>74</v>
      </c>
      <c r="K585" s="123" t="s">
        <v>75</v>
      </c>
      <c r="L585" s="118" t="s">
        <v>76</v>
      </c>
      <c r="M585" s="120"/>
      <c r="N585" s="120"/>
      <c r="O585" s="120"/>
      <c r="P585" s="120"/>
    </row>
    <row r="586" hidden="1">
      <c r="A586" s="118" t="s">
        <v>2317</v>
      </c>
      <c r="B586" s="126"/>
      <c r="C586" s="118" t="s">
        <v>2352</v>
      </c>
      <c r="D586" s="120"/>
      <c r="E586" s="88" t="s">
        <v>31</v>
      </c>
      <c r="F586" s="120"/>
      <c r="G586" s="118" t="s">
        <v>2353</v>
      </c>
      <c r="H586" s="118" t="s">
        <v>2350</v>
      </c>
      <c r="I586" s="118" t="s">
        <v>2354</v>
      </c>
      <c r="J586" s="122" t="s">
        <v>74</v>
      </c>
      <c r="K586" s="123" t="s">
        <v>25</v>
      </c>
      <c r="L586" s="123" t="s">
        <v>25</v>
      </c>
      <c r="M586" s="118" t="s">
        <v>593</v>
      </c>
      <c r="N586" s="129" t="s">
        <v>2355</v>
      </c>
      <c r="O586" s="120"/>
      <c r="P586" s="120"/>
    </row>
    <row r="587" hidden="1">
      <c r="A587" s="118" t="s">
        <v>2317</v>
      </c>
      <c r="B587" s="126"/>
      <c r="C587" s="118" t="s">
        <v>2356</v>
      </c>
      <c r="D587" s="120"/>
      <c r="E587" s="88" t="s">
        <v>31</v>
      </c>
      <c r="F587" s="120"/>
      <c r="G587" s="118" t="s">
        <v>2357</v>
      </c>
      <c r="H587" s="118" t="s">
        <v>2358</v>
      </c>
      <c r="I587" s="118" t="s">
        <v>2359</v>
      </c>
      <c r="J587" s="122" t="s">
        <v>74</v>
      </c>
      <c r="K587" s="123" t="s">
        <v>75</v>
      </c>
      <c r="L587" s="118" t="s">
        <v>76</v>
      </c>
      <c r="M587" s="120"/>
      <c r="N587" s="120"/>
      <c r="O587" s="120"/>
      <c r="P587" s="120"/>
    </row>
    <row r="588" hidden="1">
      <c r="A588" s="118" t="s">
        <v>2317</v>
      </c>
      <c r="B588" s="126"/>
      <c r="C588" s="118" t="s">
        <v>2360</v>
      </c>
      <c r="D588" s="120"/>
      <c r="E588" s="88" t="s">
        <v>31</v>
      </c>
      <c r="F588" s="120"/>
      <c r="G588" s="118" t="s">
        <v>2361</v>
      </c>
      <c r="H588" s="118" t="s">
        <v>2362</v>
      </c>
      <c r="I588" s="118" t="s">
        <v>2363</v>
      </c>
      <c r="J588" s="122" t="s">
        <v>74</v>
      </c>
      <c r="K588" s="123" t="s">
        <v>75</v>
      </c>
      <c r="L588" s="118" t="s">
        <v>76</v>
      </c>
      <c r="M588" s="120"/>
      <c r="N588" s="120"/>
      <c r="O588" s="120"/>
      <c r="P588" s="120"/>
    </row>
    <row r="589" hidden="1">
      <c r="A589" s="118" t="s">
        <v>2317</v>
      </c>
      <c r="B589" s="10"/>
      <c r="C589" s="118" t="s">
        <v>2364</v>
      </c>
      <c r="D589" s="120"/>
      <c r="E589" s="88" t="s">
        <v>31</v>
      </c>
      <c r="F589" s="120"/>
      <c r="G589" s="118" t="s">
        <v>2365</v>
      </c>
      <c r="H589" s="118" t="s">
        <v>2366</v>
      </c>
      <c r="I589" s="118" t="s">
        <v>2367</v>
      </c>
      <c r="J589" s="122" t="s">
        <v>74</v>
      </c>
      <c r="K589" s="123" t="s">
        <v>75</v>
      </c>
      <c r="L589" s="118" t="s">
        <v>76</v>
      </c>
      <c r="M589" s="120"/>
      <c r="N589" s="120"/>
      <c r="O589" s="120"/>
      <c r="P589" s="120"/>
    </row>
    <row r="590" hidden="1">
      <c r="A590" s="118" t="s">
        <v>2368</v>
      </c>
      <c r="B590" s="119" t="s">
        <v>2369</v>
      </c>
      <c r="C590" s="118" t="s">
        <v>2370</v>
      </c>
      <c r="D590" s="120"/>
      <c r="E590" s="88" t="s">
        <v>31</v>
      </c>
      <c r="F590" s="120"/>
      <c r="G590" s="118" t="s">
        <v>2371</v>
      </c>
      <c r="H590" s="118" t="s">
        <v>2372</v>
      </c>
      <c r="I590" s="118" t="s">
        <v>2373</v>
      </c>
      <c r="J590" s="122" t="s">
        <v>74</v>
      </c>
      <c r="K590" s="123" t="s">
        <v>75</v>
      </c>
      <c r="L590" s="118" t="s">
        <v>76</v>
      </c>
      <c r="M590" s="120"/>
      <c r="N590" s="120"/>
      <c r="O590" s="120"/>
      <c r="P590" s="120"/>
    </row>
    <row r="591" hidden="1">
      <c r="A591" s="118" t="s">
        <v>2368</v>
      </c>
      <c r="B591" s="126"/>
      <c r="C591" s="118" t="s">
        <v>2374</v>
      </c>
      <c r="D591" s="120"/>
      <c r="E591" s="88" t="s">
        <v>31</v>
      </c>
      <c r="F591" s="120"/>
      <c r="G591" s="118" t="s">
        <v>2375</v>
      </c>
      <c r="H591" s="118" t="s">
        <v>2376</v>
      </c>
      <c r="I591" s="118" t="s">
        <v>2377</v>
      </c>
      <c r="J591" s="122" t="s">
        <v>74</v>
      </c>
      <c r="K591" s="123" t="s">
        <v>75</v>
      </c>
      <c r="L591" s="118" t="s">
        <v>76</v>
      </c>
      <c r="M591" s="120"/>
      <c r="N591" s="120"/>
      <c r="O591" s="120"/>
      <c r="P591" s="120"/>
    </row>
    <row r="592" hidden="1">
      <c r="A592" s="118" t="s">
        <v>2368</v>
      </c>
      <c r="B592" s="126"/>
      <c r="C592" s="118" t="s">
        <v>2378</v>
      </c>
      <c r="D592" s="120"/>
      <c r="E592" s="88" t="s">
        <v>31</v>
      </c>
      <c r="F592" s="120"/>
      <c r="G592" s="118" t="s">
        <v>2379</v>
      </c>
      <c r="H592" s="118" t="s">
        <v>2380</v>
      </c>
      <c r="I592" s="118" t="s">
        <v>2381</v>
      </c>
      <c r="J592" s="122" t="s">
        <v>74</v>
      </c>
      <c r="K592" s="123" t="s">
        <v>75</v>
      </c>
      <c r="L592" s="118" t="s">
        <v>76</v>
      </c>
      <c r="M592" s="120"/>
      <c r="N592" s="120"/>
      <c r="O592" s="120"/>
      <c r="P592" s="120"/>
    </row>
    <row r="593" hidden="1">
      <c r="A593" s="118" t="s">
        <v>2368</v>
      </c>
      <c r="B593" s="126"/>
      <c r="C593" s="118" t="s">
        <v>2382</v>
      </c>
      <c r="D593" s="120"/>
      <c r="E593" s="88" t="s">
        <v>31</v>
      </c>
      <c r="F593" s="120"/>
      <c r="G593" s="118" t="s">
        <v>2383</v>
      </c>
      <c r="H593" s="118" t="s">
        <v>2384</v>
      </c>
      <c r="I593" s="118" t="s">
        <v>2385</v>
      </c>
      <c r="J593" s="122" t="s">
        <v>74</v>
      </c>
      <c r="K593" s="123" t="s">
        <v>75</v>
      </c>
      <c r="L593" s="118" t="s">
        <v>76</v>
      </c>
      <c r="M593" s="120"/>
      <c r="N593" s="120"/>
      <c r="O593" s="120"/>
      <c r="P593" s="120"/>
    </row>
    <row r="594" hidden="1">
      <c r="A594" s="118" t="s">
        <v>2368</v>
      </c>
      <c r="B594" s="126"/>
      <c r="C594" s="118" t="s">
        <v>2386</v>
      </c>
      <c r="D594" s="120"/>
      <c r="E594" s="88" t="s">
        <v>31</v>
      </c>
      <c r="F594" s="120"/>
      <c r="G594" s="118" t="s">
        <v>2387</v>
      </c>
      <c r="H594" s="118" t="s">
        <v>2388</v>
      </c>
      <c r="I594" s="118" t="s">
        <v>2389</v>
      </c>
      <c r="J594" s="122" t="s">
        <v>74</v>
      </c>
      <c r="K594" s="123" t="s">
        <v>75</v>
      </c>
      <c r="L594" s="118" t="s">
        <v>76</v>
      </c>
      <c r="M594" s="120"/>
      <c r="N594" s="120"/>
      <c r="O594" s="120"/>
      <c r="P594" s="120"/>
    </row>
    <row r="595" hidden="1">
      <c r="A595" s="118" t="s">
        <v>2368</v>
      </c>
      <c r="B595" s="126"/>
      <c r="C595" s="118" t="s">
        <v>2390</v>
      </c>
      <c r="D595" s="120"/>
      <c r="E595" s="88" t="s">
        <v>31</v>
      </c>
      <c r="F595" s="120"/>
      <c r="G595" s="118" t="s">
        <v>2391</v>
      </c>
      <c r="H595" s="118" t="s">
        <v>2392</v>
      </c>
      <c r="I595" s="118" t="s">
        <v>2393</v>
      </c>
      <c r="J595" s="122" t="s">
        <v>74</v>
      </c>
      <c r="K595" s="123" t="s">
        <v>75</v>
      </c>
      <c r="L595" s="118" t="s">
        <v>76</v>
      </c>
      <c r="M595" s="120"/>
      <c r="N595" s="120"/>
      <c r="O595" s="120"/>
      <c r="P595" s="120"/>
    </row>
    <row r="596" hidden="1">
      <c r="A596" s="118" t="s">
        <v>2368</v>
      </c>
      <c r="B596" s="126"/>
      <c r="C596" s="118" t="s">
        <v>2394</v>
      </c>
      <c r="D596" s="120"/>
      <c r="E596" s="88" t="s">
        <v>31</v>
      </c>
      <c r="F596" s="120"/>
      <c r="G596" s="118" t="s">
        <v>2395</v>
      </c>
      <c r="H596" s="118" t="s">
        <v>2396</v>
      </c>
      <c r="I596" s="118" t="s">
        <v>2397</v>
      </c>
      <c r="J596" s="122" t="s">
        <v>74</v>
      </c>
      <c r="K596" s="123" t="s">
        <v>75</v>
      </c>
      <c r="L596" s="118" t="s">
        <v>76</v>
      </c>
      <c r="M596" s="120"/>
      <c r="N596" s="120"/>
      <c r="O596" s="120"/>
      <c r="P596" s="120"/>
    </row>
    <row r="597" hidden="1">
      <c r="A597" s="118" t="s">
        <v>2368</v>
      </c>
      <c r="B597" s="10"/>
      <c r="C597" s="118" t="s">
        <v>2398</v>
      </c>
      <c r="D597" s="120"/>
      <c r="E597" s="88" t="s">
        <v>31</v>
      </c>
      <c r="F597" s="120"/>
      <c r="G597" s="118" t="s">
        <v>2399</v>
      </c>
      <c r="H597" s="118" t="s">
        <v>2400</v>
      </c>
      <c r="I597" s="118" t="s">
        <v>2401</v>
      </c>
      <c r="J597" s="122" t="s">
        <v>74</v>
      </c>
      <c r="K597" s="123" t="s">
        <v>75</v>
      </c>
      <c r="L597" s="118" t="s">
        <v>76</v>
      </c>
      <c r="M597" s="120"/>
      <c r="N597" s="120"/>
      <c r="O597" s="120"/>
      <c r="P597" s="120"/>
    </row>
    <row r="598" hidden="1">
      <c r="A598" s="118" t="s">
        <v>2402</v>
      </c>
      <c r="B598" s="119" t="s">
        <v>2403</v>
      </c>
      <c r="C598" s="118" t="s">
        <v>2404</v>
      </c>
      <c r="D598" s="120"/>
      <c r="E598" s="88" t="s">
        <v>31</v>
      </c>
      <c r="F598" s="131"/>
      <c r="G598" s="118" t="s">
        <v>2405</v>
      </c>
      <c r="H598" s="118" t="s">
        <v>2406</v>
      </c>
      <c r="I598" s="118" t="s">
        <v>2407</v>
      </c>
      <c r="J598" s="122" t="s">
        <v>74</v>
      </c>
      <c r="K598" s="123" t="s">
        <v>75</v>
      </c>
      <c r="L598" s="118" t="s">
        <v>76</v>
      </c>
      <c r="M598" s="120"/>
      <c r="N598" s="120"/>
      <c r="O598" s="120"/>
      <c r="P598" s="120"/>
    </row>
    <row r="599" hidden="1">
      <c r="A599" s="118" t="s">
        <v>2402</v>
      </c>
      <c r="B599" s="126"/>
      <c r="C599" s="118" t="s">
        <v>2408</v>
      </c>
      <c r="D599" s="120"/>
      <c r="E599" s="88" t="s">
        <v>31</v>
      </c>
      <c r="F599" s="120"/>
      <c r="G599" s="118" t="s">
        <v>2409</v>
      </c>
      <c r="H599" s="118" t="s">
        <v>2410</v>
      </c>
      <c r="I599" s="118" t="s">
        <v>2411</v>
      </c>
      <c r="J599" s="122" t="s">
        <v>74</v>
      </c>
      <c r="K599" s="123" t="s">
        <v>75</v>
      </c>
      <c r="L599" s="118" t="s">
        <v>76</v>
      </c>
      <c r="M599" s="120"/>
      <c r="N599" s="120"/>
      <c r="O599" s="120"/>
      <c r="P599" s="120"/>
    </row>
    <row r="600" hidden="1">
      <c r="A600" s="118" t="s">
        <v>2402</v>
      </c>
      <c r="B600" s="126"/>
      <c r="C600" s="118" t="s">
        <v>2412</v>
      </c>
      <c r="D600" s="120"/>
      <c r="E600" s="88" t="s">
        <v>31</v>
      </c>
      <c r="F600" s="120"/>
      <c r="G600" s="118" t="s">
        <v>2413</v>
      </c>
      <c r="H600" s="118" t="s">
        <v>2414</v>
      </c>
      <c r="I600" s="118" t="s">
        <v>2415</v>
      </c>
      <c r="J600" s="122" t="s">
        <v>74</v>
      </c>
      <c r="K600" s="123" t="s">
        <v>75</v>
      </c>
      <c r="L600" s="118" t="s">
        <v>76</v>
      </c>
      <c r="M600" s="120"/>
      <c r="N600" s="120"/>
      <c r="O600" s="120"/>
      <c r="P600" s="120"/>
    </row>
    <row r="601" hidden="1">
      <c r="A601" s="118" t="s">
        <v>2402</v>
      </c>
      <c r="B601" s="126"/>
      <c r="C601" s="118" t="s">
        <v>2416</v>
      </c>
      <c r="D601" s="120"/>
      <c r="E601" s="88" t="s">
        <v>31</v>
      </c>
      <c r="F601" s="120"/>
      <c r="G601" s="118" t="s">
        <v>2417</v>
      </c>
      <c r="H601" s="118" t="s">
        <v>2418</v>
      </c>
      <c r="I601" s="118" t="s">
        <v>2419</v>
      </c>
      <c r="J601" s="122" t="s">
        <v>74</v>
      </c>
      <c r="K601" s="123" t="s">
        <v>75</v>
      </c>
      <c r="L601" s="118" t="s">
        <v>76</v>
      </c>
      <c r="M601" s="120"/>
      <c r="N601" s="120"/>
      <c r="O601" s="120"/>
      <c r="P601" s="120"/>
    </row>
    <row r="602" hidden="1">
      <c r="A602" s="118" t="s">
        <v>2402</v>
      </c>
      <c r="B602" s="126"/>
      <c r="C602" s="118" t="s">
        <v>2420</v>
      </c>
      <c r="D602" s="120"/>
      <c r="E602" s="88" t="s">
        <v>31</v>
      </c>
      <c r="F602" s="120"/>
      <c r="G602" s="118" t="s">
        <v>2421</v>
      </c>
      <c r="H602" s="118" t="s">
        <v>2422</v>
      </c>
      <c r="I602" s="118" t="s">
        <v>2423</v>
      </c>
      <c r="J602" s="122" t="s">
        <v>74</v>
      </c>
      <c r="K602" s="123" t="s">
        <v>75</v>
      </c>
      <c r="L602" s="118" t="s">
        <v>76</v>
      </c>
      <c r="M602" s="120"/>
      <c r="N602" s="120"/>
      <c r="O602" s="120"/>
      <c r="P602" s="120"/>
    </row>
    <row r="603" hidden="1">
      <c r="A603" s="120"/>
      <c r="B603" s="126"/>
      <c r="C603" s="118" t="s">
        <v>2424</v>
      </c>
      <c r="D603" s="120"/>
      <c r="E603" s="88" t="s">
        <v>31</v>
      </c>
      <c r="F603" s="120"/>
      <c r="G603" s="118" t="s">
        <v>2425</v>
      </c>
      <c r="H603" s="118" t="s">
        <v>2422</v>
      </c>
      <c r="I603" s="118" t="s">
        <v>2426</v>
      </c>
      <c r="J603" s="122" t="s">
        <v>74</v>
      </c>
      <c r="K603" s="123" t="s">
        <v>75</v>
      </c>
      <c r="L603" s="118" t="s">
        <v>76</v>
      </c>
      <c r="M603" s="118" t="s">
        <v>593</v>
      </c>
      <c r="N603" s="129" t="s">
        <v>2427</v>
      </c>
      <c r="O603" s="120"/>
      <c r="P603" s="120"/>
    </row>
    <row r="604" hidden="1">
      <c r="A604" s="118" t="s">
        <v>2402</v>
      </c>
      <c r="B604" s="126"/>
      <c r="C604" s="118" t="s">
        <v>2428</v>
      </c>
      <c r="D604" s="120"/>
      <c r="E604" s="88" t="s">
        <v>31</v>
      </c>
      <c r="F604" s="120"/>
      <c r="G604" s="118" t="s">
        <v>2429</v>
      </c>
      <c r="H604" s="118" t="s">
        <v>2430</v>
      </c>
      <c r="I604" s="118" t="s">
        <v>2431</v>
      </c>
      <c r="J604" s="122" t="s">
        <v>74</v>
      </c>
      <c r="K604" s="123" t="s">
        <v>75</v>
      </c>
      <c r="L604" s="118" t="s">
        <v>76</v>
      </c>
      <c r="M604" s="120"/>
      <c r="N604" s="120"/>
      <c r="O604" s="120"/>
      <c r="P604" s="120"/>
    </row>
    <row r="605" hidden="1">
      <c r="A605" s="118" t="s">
        <v>2402</v>
      </c>
      <c r="B605" s="126"/>
      <c r="C605" s="118" t="s">
        <v>2432</v>
      </c>
      <c r="D605" s="120"/>
      <c r="E605" s="88" t="s">
        <v>31</v>
      </c>
      <c r="F605" s="120"/>
      <c r="G605" s="118" t="s">
        <v>2433</v>
      </c>
      <c r="H605" s="118" t="s">
        <v>2434</v>
      </c>
      <c r="I605" s="118" t="s">
        <v>2435</v>
      </c>
      <c r="J605" s="122" t="s">
        <v>74</v>
      </c>
      <c r="K605" s="123" t="s">
        <v>75</v>
      </c>
      <c r="L605" s="118" t="s">
        <v>76</v>
      </c>
      <c r="M605" s="120"/>
      <c r="N605" s="120"/>
      <c r="O605" s="120"/>
      <c r="P605" s="120"/>
    </row>
    <row r="606" hidden="1">
      <c r="A606" s="118" t="s">
        <v>2402</v>
      </c>
      <c r="B606" s="126"/>
      <c r="C606" s="118" t="s">
        <v>2436</v>
      </c>
      <c r="D606" s="120"/>
      <c r="E606" s="88" t="s">
        <v>31</v>
      </c>
      <c r="F606" s="120"/>
      <c r="G606" s="118" t="s">
        <v>2437</v>
      </c>
      <c r="H606" s="118" t="s">
        <v>2438</v>
      </c>
      <c r="I606" s="118" t="s">
        <v>2439</v>
      </c>
      <c r="J606" s="122" t="s">
        <v>74</v>
      </c>
      <c r="K606" s="123" t="s">
        <v>75</v>
      </c>
      <c r="L606" s="118" t="s">
        <v>76</v>
      </c>
      <c r="M606" s="120"/>
      <c r="N606" s="120"/>
      <c r="O606" s="120"/>
      <c r="P606" s="120"/>
    </row>
    <row r="607" hidden="1">
      <c r="A607" s="118" t="s">
        <v>2402</v>
      </c>
      <c r="B607" s="126"/>
      <c r="C607" s="118" t="s">
        <v>2440</v>
      </c>
      <c r="D607" s="120"/>
      <c r="E607" s="88" t="s">
        <v>31</v>
      </c>
      <c r="F607" s="120"/>
      <c r="G607" s="118" t="s">
        <v>2441</v>
      </c>
      <c r="H607" s="118" t="s">
        <v>2442</v>
      </c>
      <c r="I607" s="118" t="s">
        <v>2443</v>
      </c>
      <c r="J607" s="122" t="s">
        <v>74</v>
      </c>
      <c r="K607" s="123" t="s">
        <v>75</v>
      </c>
      <c r="L607" s="118" t="s">
        <v>76</v>
      </c>
      <c r="M607" s="120"/>
      <c r="N607" s="120"/>
      <c r="O607" s="120"/>
      <c r="P607" s="120"/>
    </row>
    <row r="608">
      <c r="A608" s="118" t="s">
        <v>2402</v>
      </c>
      <c r="B608" s="126"/>
      <c r="C608" s="118" t="s">
        <v>2444</v>
      </c>
      <c r="D608" s="120"/>
      <c r="E608" s="88" t="s">
        <v>31</v>
      </c>
      <c r="F608" s="120"/>
      <c r="G608" s="118" t="s">
        <v>2445</v>
      </c>
      <c r="H608" s="118" t="s">
        <v>2446</v>
      </c>
      <c r="I608" s="118" t="s">
        <v>2447</v>
      </c>
      <c r="J608" s="128" t="s">
        <v>714</v>
      </c>
      <c r="K608" s="123" t="s">
        <v>25</v>
      </c>
      <c r="L608" s="123" t="s">
        <v>25</v>
      </c>
      <c r="M608" s="118" t="s">
        <v>2448</v>
      </c>
      <c r="N608" s="129" t="s">
        <v>2449</v>
      </c>
      <c r="O608" s="120"/>
      <c r="P608" s="120"/>
    </row>
    <row r="609">
      <c r="A609" s="118" t="s">
        <v>2402</v>
      </c>
      <c r="B609" s="126"/>
      <c r="C609" s="118" t="s">
        <v>2450</v>
      </c>
      <c r="D609" s="120"/>
      <c r="E609" s="88" t="s">
        <v>31</v>
      </c>
      <c r="F609" s="120"/>
      <c r="G609" s="118" t="s">
        <v>2451</v>
      </c>
      <c r="H609" s="118" t="s">
        <v>2452</v>
      </c>
      <c r="I609" s="118" t="s">
        <v>2453</v>
      </c>
      <c r="J609" s="128" t="s">
        <v>714</v>
      </c>
      <c r="K609" s="123" t="s">
        <v>25</v>
      </c>
      <c r="L609" s="123" t="s">
        <v>25</v>
      </c>
      <c r="M609" s="118" t="s">
        <v>2454</v>
      </c>
      <c r="N609" s="129" t="s">
        <v>2455</v>
      </c>
      <c r="O609" s="120"/>
      <c r="P609" s="120"/>
    </row>
    <row r="610" hidden="1">
      <c r="A610" s="118" t="s">
        <v>2402</v>
      </c>
      <c r="B610" s="126"/>
      <c r="C610" s="118" t="s">
        <v>2456</v>
      </c>
      <c r="D610" s="120"/>
      <c r="E610" s="88" t="s">
        <v>31</v>
      </c>
      <c r="F610" s="120"/>
      <c r="G610" s="118" t="s">
        <v>2457</v>
      </c>
      <c r="H610" s="118" t="s">
        <v>2458</v>
      </c>
      <c r="I610" s="118" t="s">
        <v>2459</v>
      </c>
      <c r="J610" s="122" t="s">
        <v>74</v>
      </c>
      <c r="K610" s="123" t="s">
        <v>25</v>
      </c>
      <c r="L610" s="123" t="s">
        <v>25</v>
      </c>
      <c r="M610" s="120"/>
      <c r="N610" s="120"/>
      <c r="O610" s="120"/>
      <c r="P610" s="120"/>
    </row>
    <row r="611">
      <c r="A611" s="118" t="s">
        <v>2402</v>
      </c>
      <c r="B611" s="126"/>
      <c r="C611" s="118" t="s">
        <v>2460</v>
      </c>
      <c r="D611" s="120"/>
      <c r="E611" s="88" t="s">
        <v>31</v>
      </c>
      <c r="F611" s="120"/>
      <c r="G611" s="118" t="s">
        <v>2461</v>
      </c>
      <c r="H611" s="118" t="s">
        <v>2462</v>
      </c>
      <c r="I611" s="135" t="s">
        <v>2463</v>
      </c>
      <c r="J611" s="128" t="s">
        <v>714</v>
      </c>
      <c r="K611" s="123" t="s">
        <v>75</v>
      </c>
      <c r="L611" s="123" t="s">
        <v>76</v>
      </c>
      <c r="M611" s="120"/>
      <c r="N611" s="129" t="s">
        <v>2464</v>
      </c>
      <c r="O611" s="120"/>
      <c r="P611" s="120"/>
    </row>
    <row r="612">
      <c r="A612" s="118" t="s">
        <v>2402</v>
      </c>
      <c r="B612" s="10"/>
      <c r="C612" s="118" t="s">
        <v>2465</v>
      </c>
      <c r="D612" s="120"/>
      <c r="E612" s="88" t="s">
        <v>31</v>
      </c>
      <c r="F612" s="120"/>
      <c r="G612" s="118" t="s">
        <v>2466</v>
      </c>
      <c r="H612" s="118" t="s">
        <v>2467</v>
      </c>
      <c r="I612" s="135" t="s">
        <v>2468</v>
      </c>
      <c r="J612" s="128" t="s">
        <v>714</v>
      </c>
      <c r="K612" s="123" t="s">
        <v>25</v>
      </c>
      <c r="L612" s="123" t="s">
        <v>25</v>
      </c>
      <c r="M612" s="118" t="s">
        <v>1792</v>
      </c>
      <c r="N612" s="129" t="s">
        <v>2469</v>
      </c>
      <c r="O612" s="120"/>
      <c r="P612" s="120"/>
    </row>
    <row r="613" hidden="1">
      <c r="A613" s="137" t="s">
        <v>2470</v>
      </c>
      <c r="B613" s="132" t="s">
        <v>2471</v>
      </c>
      <c r="C613" s="118" t="s">
        <v>2472</v>
      </c>
      <c r="D613" s="120"/>
      <c r="E613" s="88" t="s">
        <v>31</v>
      </c>
      <c r="F613" s="120"/>
      <c r="G613" s="118" t="s">
        <v>2473</v>
      </c>
      <c r="H613" s="118" t="s">
        <v>2474</v>
      </c>
      <c r="I613" s="118" t="s">
        <v>2475</v>
      </c>
      <c r="J613" s="122" t="s">
        <v>74</v>
      </c>
      <c r="K613" s="123" t="s">
        <v>75</v>
      </c>
      <c r="L613" s="118" t="s">
        <v>76</v>
      </c>
      <c r="M613" s="138"/>
      <c r="N613" s="138"/>
      <c r="O613" s="138"/>
      <c r="P613" s="138"/>
    </row>
    <row r="614" hidden="1">
      <c r="A614" s="118" t="s">
        <v>2470</v>
      </c>
      <c r="B614" s="126"/>
      <c r="C614" s="118" t="s">
        <v>2476</v>
      </c>
      <c r="D614" s="120"/>
      <c r="E614" s="88" t="s">
        <v>31</v>
      </c>
      <c r="F614" s="120"/>
      <c r="G614" s="118" t="s">
        <v>2477</v>
      </c>
      <c r="H614" s="118" t="s">
        <v>2478</v>
      </c>
      <c r="I614" s="118" t="s">
        <v>2479</v>
      </c>
      <c r="J614" s="122" t="s">
        <v>74</v>
      </c>
      <c r="K614" s="123" t="s">
        <v>75</v>
      </c>
      <c r="L614" s="118" t="s">
        <v>76</v>
      </c>
      <c r="M614" s="120"/>
      <c r="N614" s="129" t="s">
        <v>2480</v>
      </c>
      <c r="O614" s="120"/>
      <c r="P614" s="120"/>
    </row>
    <row r="615" hidden="1">
      <c r="A615" s="118" t="s">
        <v>2470</v>
      </c>
      <c r="B615" s="126"/>
      <c r="C615" s="118" t="s">
        <v>2481</v>
      </c>
      <c r="D615" s="120"/>
      <c r="E615" s="88" t="s">
        <v>31</v>
      </c>
      <c r="F615" s="120"/>
      <c r="G615" s="118" t="s">
        <v>2482</v>
      </c>
      <c r="H615" s="118" t="s">
        <v>2483</v>
      </c>
      <c r="I615" s="118" t="s">
        <v>2484</v>
      </c>
      <c r="J615" s="122" t="s">
        <v>74</v>
      </c>
      <c r="K615" s="123" t="s">
        <v>75</v>
      </c>
      <c r="L615" s="118" t="s">
        <v>76</v>
      </c>
      <c r="M615" s="120"/>
      <c r="N615" s="120"/>
      <c r="O615" s="120"/>
      <c r="P615" s="120"/>
    </row>
    <row r="616" hidden="1">
      <c r="A616" s="118" t="s">
        <v>2470</v>
      </c>
      <c r="B616" s="126"/>
      <c r="C616" s="118" t="s">
        <v>2485</v>
      </c>
      <c r="D616" s="120"/>
      <c r="E616" s="88" t="s">
        <v>31</v>
      </c>
      <c r="F616" s="120"/>
      <c r="G616" s="118" t="s">
        <v>2486</v>
      </c>
      <c r="H616" s="118" t="s">
        <v>2487</v>
      </c>
      <c r="I616" s="118" t="s">
        <v>2488</v>
      </c>
      <c r="J616" s="122" t="s">
        <v>74</v>
      </c>
      <c r="K616" s="123" t="s">
        <v>75</v>
      </c>
      <c r="L616" s="118" t="s">
        <v>76</v>
      </c>
      <c r="M616" s="120"/>
      <c r="N616" s="120"/>
      <c r="O616" s="120"/>
      <c r="P616" s="120"/>
    </row>
    <row r="617" hidden="1">
      <c r="A617" s="118" t="s">
        <v>2470</v>
      </c>
      <c r="B617" s="126"/>
      <c r="C617" s="118" t="s">
        <v>2489</v>
      </c>
      <c r="D617" s="120"/>
      <c r="E617" s="88" t="s">
        <v>31</v>
      </c>
      <c r="F617" s="120"/>
      <c r="G617" s="118" t="s">
        <v>2490</v>
      </c>
      <c r="H617" s="118" t="s">
        <v>2487</v>
      </c>
      <c r="I617" s="118" t="s">
        <v>2491</v>
      </c>
      <c r="J617" s="122" t="s">
        <v>74</v>
      </c>
      <c r="K617" s="123" t="s">
        <v>75</v>
      </c>
      <c r="L617" s="118" t="s">
        <v>76</v>
      </c>
      <c r="M617" s="120"/>
      <c r="N617" s="129" t="s">
        <v>2492</v>
      </c>
      <c r="O617" s="120"/>
      <c r="P617" s="120"/>
    </row>
    <row r="618" hidden="1">
      <c r="A618" s="118" t="s">
        <v>2470</v>
      </c>
      <c r="B618" s="126"/>
      <c r="C618" s="118" t="s">
        <v>2493</v>
      </c>
      <c r="D618" s="120"/>
      <c r="E618" s="88" t="s">
        <v>31</v>
      </c>
      <c r="F618" s="120"/>
      <c r="G618" s="118" t="s">
        <v>2494</v>
      </c>
      <c r="H618" s="118" t="s">
        <v>2495</v>
      </c>
      <c r="I618" s="118" t="s">
        <v>2496</v>
      </c>
      <c r="J618" s="122" t="s">
        <v>74</v>
      </c>
      <c r="K618" s="123" t="s">
        <v>75</v>
      </c>
      <c r="L618" s="118" t="s">
        <v>76</v>
      </c>
      <c r="M618" s="120"/>
      <c r="N618" s="120"/>
      <c r="O618" s="120"/>
      <c r="P618" s="120"/>
    </row>
    <row r="619" hidden="1">
      <c r="A619" s="118" t="s">
        <v>2470</v>
      </c>
      <c r="B619" s="126"/>
      <c r="C619" s="118" t="s">
        <v>2497</v>
      </c>
      <c r="D619" s="120"/>
      <c r="E619" s="88" t="s">
        <v>31</v>
      </c>
      <c r="F619" s="120"/>
      <c r="G619" s="118" t="s">
        <v>2498</v>
      </c>
      <c r="H619" s="118" t="s">
        <v>2499</v>
      </c>
      <c r="I619" s="118" t="s">
        <v>2496</v>
      </c>
      <c r="J619" s="122" t="s">
        <v>74</v>
      </c>
      <c r="K619" s="123" t="s">
        <v>75</v>
      </c>
      <c r="L619" s="118" t="s">
        <v>76</v>
      </c>
      <c r="M619" s="120"/>
      <c r="N619" s="120"/>
      <c r="O619" s="120"/>
      <c r="P619" s="120"/>
    </row>
    <row r="620" hidden="1">
      <c r="A620" s="118" t="s">
        <v>2470</v>
      </c>
      <c r="B620" s="126"/>
      <c r="C620" s="118" t="s">
        <v>2500</v>
      </c>
      <c r="D620" s="120"/>
      <c r="E620" s="88" t="s">
        <v>31</v>
      </c>
      <c r="F620" s="120"/>
      <c r="G620" s="118" t="s">
        <v>2501</v>
      </c>
      <c r="H620" s="118" t="s">
        <v>2502</v>
      </c>
      <c r="I620" s="118" t="s">
        <v>2503</v>
      </c>
      <c r="J620" s="122" t="s">
        <v>74</v>
      </c>
      <c r="K620" s="123" t="s">
        <v>75</v>
      </c>
      <c r="L620" s="118" t="s">
        <v>76</v>
      </c>
      <c r="M620" s="120"/>
      <c r="N620" s="120"/>
      <c r="O620" s="120"/>
      <c r="P620" s="120"/>
    </row>
    <row r="621" hidden="1">
      <c r="A621" s="118" t="s">
        <v>2470</v>
      </c>
      <c r="B621" s="126"/>
      <c r="C621" s="118" t="s">
        <v>2504</v>
      </c>
      <c r="D621" s="120"/>
      <c r="E621" s="88" t="s">
        <v>31</v>
      </c>
      <c r="F621" s="120"/>
      <c r="G621" s="118" t="s">
        <v>2505</v>
      </c>
      <c r="H621" s="118" t="s">
        <v>2506</v>
      </c>
      <c r="I621" s="118" t="s">
        <v>2507</v>
      </c>
      <c r="J621" s="122" t="s">
        <v>74</v>
      </c>
      <c r="K621" s="123" t="s">
        <v>75</v>
      </c>
      <c r="L621" s="118" t="s">
        <v>76</v>
      </c>
      <c r="M621" s="120"/>
      <c r="N621" s="120"/>
      <c r="O621" s="120"/>
      <c r="P621" s="120"/>
    </row>
    <row r="622" hidden="1">
      <c r="A622" s="118" t="s">
        <v>2470</v>
      </c>
      <c r="B622" s="126"/>
      <c r="C622" s="118" t="s">
        <v>2508</v>
      </c>
      <c r="D622" s="120"/>
      <c r="E622" s="88" t="s">
        <v>31</v>
      </c>
      <c r="F622" s="120"/>
      <c r="G622" s="118" t="s">
        <v>2509</v>
      </c>
      <c r="H622" s="118" t="s">
        <v>2510</v>
      </c>
      <c r="I622" s="118" t="s">
        <v>2511</v>
      </c>
      <c r="J622" s="122" t="s">
        <v>74</v>
      </c>
      <c r="K622" s="123" t="s">
        <v>75</v>
      </c>
      <c r="L622" s="118" t="s">
        <v>76</v>
      </c>
      <c r="M622" s="120"/>
      <c r="N622" s="120"/>
      <c r="O622" s="120"/>
      <c r="P622" s="120"/>
    </row>
    <row r="623" hidden="1">
      <c r="A623" s="118" t="s">
        <v>2470</v>
      </c>
      <c r="B623" s="126"/>
      <c r="C623" s="118" t="s">
        <v>2512</v>
      </c>
      <c r="D623" s="131"/>
      <c r="E623" s="88" t="s">
        <v>31</v>
      </c>
      <c r="F623" s="131"/>
      <c r="G623" s="118" t="s">
        <v>2513</v>
      </c>
      <c r="H623" s="118" t="s">
        <v>2514</v>
      </c>
      <c r="I623" s="118" t="s">
        <v>2515</v>
      </c>
      <c r="J623" s="122" t="s">
        <v>74</v>
      </c>
      <c r="K623" s="123" t="s">
        <v>75</v>
      </c>
      <c r="L623" s="118" t="s">
        <v>76</v>
      </c>
      <c r="M623" s="120"/>
      <c r="N623" s="120"/>
      <c r="O623" s="120"/>
      <c r="P623" s="120"/>
    </row>
    <row r="624">
      <c r="A624" s="118" t="s">
        <v>2470</v>
      </c>
      <c r="B624" s="126"/>
      <c r="C624" s="118" t="s">
        <v>2516</v>
      </c>
      <c r="D624" s="120"/>
      <c r="E624" s="88" t="s">
        <v>31</v>
      </c>
      <c r="F624" s="120"/>
      <c r="G624" s="118" t="s">
        <v>2517</v>
      </c>
      <c r="H624" s="118" t="s">
        <v>2518</v>
      </c>
      <c r="I624" s="118" t="s">
        <v>2519</v>
      </c>
      <c r="J624" s="128" t="s">
        <v>714</v>
      </c>
      <c r="K624" s="123" t="s">
        <v>25</v>
      </c>
      <c r="L624" s="123" t="s">
        <v>25</v>
      </c>
      <c r="M624" s="118" t="s">
        <v>2083</v>
      </c>
      <c r="N624" s="129" t="s">
        <v>2520</v>
      </c>
      <c r="O624" s="120"/>
      <c r="P624" s="120"/>
    </row>
    <row r="625">
      <c r="A625" s="118" t="s">
        <v>2470</v>
      </c>
      <c r="B625" s="10"/>
      <c r="C625" s="118" t="s">
        <v>2521</v>
      </c>
      <c r="D625" s="120"/>
      <c r="E625" s="88" t="s">
        <v>31</v>
      </c>
      <c r="F625" s="120"/>
      <c r="G625" s="118" t="s">
        <v>2522</v>
      </c>
      <c r="H625" s="118" t="s">
        <v>2518</v>
      </c>
      <c r="I625" s="118" t="s">
        <v>2523</v>
      </c>
      <c r="J625" s="128" t="s">
        <v>714</v>
      </c>
      <c r="K625" s="123" t="s">
        <v>25</v>
      </c>
      <c r="L625" s="123" t="s">
        <v>25</v>
      </c>
      <c r="M625" s="118" t="s">
        <v>2083</v>
      </c>
      <c r="N625" s="129" t="s">
        <v>2524</v>
      </c>
      <c r="O625" s="120"/>
      <c r="P625" s="120"/>
    </row>
    <row r="626" hidden="1">
      <c r="A626" s="118" t="s">
        <v>2525</v>
      </c>
      <c r="B626" s="120"/>
      <c r="C626" s="118" t="s">
        <v>2526</v>
      </c>
      <c r="D626" s="120"/>
      <c r="E626" s="118" t="s">
        <v>42</v>
      </c>
      <c r="F626" s="120"/>
      <c r="G626" s="118" t="s">
        <v>2527</v>
      </c>
      <c r="H626" s="118" t="s">
        <v>2528</v>
      </c>
      <c r="I626" s="118" t="s">
        <v>2529</v>
      </c>
      <c r="J626" s="122" t="s">
        <v>74</v>
      </c>
      <c r="K626" s="123" t="s">
        <v>75</v>
      </c>
      <c r="L626" s="118" t="s">
        <v>76</v>
      </c>
      <c r="M626" s="120"/>
      <c r="N626" s="120"/>
      <c r="O626" s="125"/>
      <c r="P626" s="125"/>
    </row>
    <row r="627" hidden="1">
      <c r="A627" s="118" t="s">
        <v>2525</v>
      </c>
      <c r="B627" s="120"/>
      <c r="C627" s="118" t="s">
        <v>2530</v>
      </c>
      <c r="D627" s="120"/>
      <c r="E627" s="118" t="s">
        <v>42</v>
      </c>
      <c r="F627" s="120"/>
      <c r="G627" s="118" t="s">
        <v>2531</v>
      </c>
      <c r="H627" s="118" t="s">
        <v>2528</v>
      </c>
      <c r="I627" s="118" t="s">
        <v>2532</v>
      </c>
      <c r="J627" s="122" t="s">
        <v>74</v>
      </c>
      <c r="K627" s="123" t="s">
        <v>75</v>
      </c>
      <c r="L627" s="118" t="s">
        <v>76</v>
      </c>
      <c r="M627" s="120"/>
      <c r="N627" s="120"/>
      <c r="O627" s="125"/>
      <c r="P627" s="125"/>
    </row>
    <row r="628" hidden="1">
      <c r="A628" s="118" t="s">
        <v>2525</v>
      </c>
      <c r="B628" s="120"/>
      <c r="C628" s="118" t="s">
        <v>2533</v>
      </c>
      <c r="D628" s="120"/>
      <c r="E628" s="118" t="s">
        <v>42</v>
      </c>
      <c r="F628" s="120"/>
      <c r="G628" s="118" t="s">
        <v>2534</v>
      </c>
      <c r="H628" s="118" t="s">
        <v>2535</v>
      </c>
      <c r="I628" s="118" t="s">
        <v>2536</v>
      </c>
      <c r="J628" s="122" t="s">
        <v>74</v>
      </c>
      <c r="K628" s="123" t="s">
        <v>75</v>
      </c>
      <c r="L628" s="118" t="s">
        <v>76</v>
      </c>
      <c r="M628" s="120"/>
      <c r="N628" s="120"/>
      <c r="O628" s="125"/>
      <c r="P628" s="125"/>
    </row>
    <row r="629" hidden="1">
      <c r="A629" s="118" t="s">
        <v>2525</v>
      </c>
      <c r="B629" s="120"/>
      <c r="C629" s="118" t="s">
        <v>2537</v>
      </c>
      <c r="D629" s="120"/>
      <c r="E629" s="118" t="s">
        <v>42</v>
      </c>
      <c r="F629" s="120"/>
      <c r="G629" s="118" t="s">
        <v>2538</v>
      </c>
      <c r="H629" s="118" t="s">
        <v>2539</v>
      </c>
      <c r="I629" s="130" t="s">
        <v>2540</v>
      </c>
      <c r="J629" s="122" t="s">
        <v>74</v>
      </c>
      <c r="K629" s="123" t="s">
        <v>75</v>
      </c>
      <c r="L629" s="118" t="s">
        <v>76</v>
      </c>
      <c r="M629" s="120"/>
      <c r="N629" s="120"/>
      <c r="O629" s="125"/>
      <c r="P629" s="125"/>
    </row>
    <row r="630" hidden="1">
      <c r="A630" s="118" t="s">
        <v>2525</v>
      </c>
      <c r="B630" s="120"/>
      <c r="C630" s="118" t="s">
        <v>2541</v>
      </c>
      <c r="D630" s="120"/>
      <c r="E630" s="118" t="s">
        <v>42</v>
      </c>
      <c r="F630" s="120"/>
      <c r="G630" s="118" t="s">
        <v>2542</v>
      </c>
      <c r="H630" s="118" t="s">
        <v>2543</v>
      </c>
      <c r="I630" s="118" t="s">
        <v>2544</v>
      </c>
      <c r="J630" s="122" t="s">
        <v>74</v>
      </c>
      <c r="K630" s="123" t="s">
        <v>25</v>
      </c>
      <c r="L630" s="123" t="s">
        <v>25</v>
      </c>
      <c r="M630" s="120"/>
      <c r="N630" s="120"/>
      <c r="O630" s="125"/>
      <c r="P630" s="125"/>
    </row>
    <row r="631" hidden="1">
      <c r="A631" s="118" t="s">
        <v>2525</v>
      </c>
      <c r="B631" s="120"/>
      <c r="C631" s="118" t="s">
        <v>2545</v>
      </c>
      <c r="D631" s="120"/>
      <c r="E631" s="118" t="s">
        <v>42</v>
      </c>
      <c r="F631" s="120"/>
      <c r="G631" s="118" t="s">
        <v>2546</v>
      </c>
      <c r="H631" s="118" t="s">
        <v>2547</v>
      </c>
      <c r="I631" s="118" t="s">
        <v>2548</v>
      </c>
      <c r="J631" s="122" t="s">
        <v>74</v>
      </c>
      <c r="K631" s="123" t="s">
        <v>25</v>
      </c>
      <c r="L631" s="123" t="s">
        <v>25</v>
      </c>
      <c r="M631" s="120"/>
      <c r="N631" s="120"/>
      <c r="O631" s="125"/>
      <c r="P631" s="125"/>
    </row>
    <row r="632" hidden="1">
      <c r="A632" s="118" t="s">
        <v>2525</v>
      </c>
      <c r="B632" s="120"/>
      <c r="C632" s="118" t="s">
        <v>2549</v>
      </c>
      <c r="D632" s="120"/>
      <c r="E632" s="118" t="s">
        <v>42</v>
      </c>
      <c r="F632" s="120"/>
      <c r="G632" s="118" t="s">
        <v>2550</v>
      </c>
      <c r="H632" s="118" t="s">
        <v>2551</v>
      </c>
      <c r="I632" s="118" t="s">
        <v>2552</v>
      </c>
      <c r="J632" s="122" t="s">
        <v>74</v>
      </c>
      <c r="K632" s="123" t="s">
        <v>75</v>
      </c>
      <c r="L632" s="118" t="s">
        <v>76</v>
      </c>
      <c r="M632" s="120"/>
      <c r="N632" s="120"/>
      <c r="O632" s="125"/>
      <c r="P632" s="125"/>
    </row>
    <row r="633" hidden="1">
      <c r="A633" s="118" t="s">
        <v>2525</v>
      </c>
      <c r="B633" s="120"/>
      <c r="C633" s="118" t="s">
        <v>2553</v>
      </c>
      <c r="D633" s="120"/>
      <c r="E633" s="118" t="s">
        <v>42</v>
      </c>
      <c r="F633" s="120"/>
      <c r="G633" s="118" t="s">
        <v>2554</v>
      </c>
      <c r="H633" s="118" t="s">
        <v>2555</v>
      </c>
      <c r="I633" s="118" t="s">
        <v>2556</v>
      </c>
      <c r="J633" s="122" t="s">
        <v>74</v>
      </c>
      <c r="K633" s="123" t="s">
        <v>75</v>
      </c>
      <c r="L633" s="118" t="s">
        <v>76</v>
      </c>
      <c r="M633" s="120"/>
      <c r="N633" s="120"/>
      <c r="O633" s="125"/>
      <c r="P633" s="125"/>
    </row>
    <row r="634" hidden="1">
      <c r="A634" s="118" t="s">
        <v>2525</v>
      </c>
      <c r="B634" s="120"/>
      <c r="C634" s="118" t="s">
        <v>2557</v>
      </c>
      <c r="D634" s="120"/>
      <c r="E634" s="118" t="s">
        <v>42</v>
      </c>
      <c r="F634" s="120"/>
      <c r="G634" s="118" t="s">
        <v>2558</v>
      </c>
      <c r="H634" s="118" t="s">
        <v>2559</v>
      </c>
      <c r="I634" s="118" t="s">
        <v>2560</v>
      </c>
      <c r="J634" s="122" t="s">
        <v>74</v>
      </c>
      <c r="K634" s="123" t="s">
        <v>75</v>
      </c>
      <c r="L634" s="118" t="s">
        <v>76</v>
      </c>
      <c r="M634" s="120"/>
      <c r="N634" s="120"/>
      <c r="O634" s="125"/>
      <c r="P634" s="125"/>
    </row>
    <row r="635" hidden="1">
      <c r="A635" s="118" t="s">
        <v>2525</v>
      </c>
      <c r="B635" s="120"/>
      <c r="C635" s="118" t="s">
        <v>2561</v>
      </c>
      <c r="D635" s="120"/>
      <c r="E635" s="118" t="s">
        <v>42</v>
      </c>
      <c r="F635" s="120"/>
      <c r="G635" s="118" t="s">
        <v>2562</v>
      </c>
      <c r="H635" s="118" t="s">
        <v>2563</v>
      </c>
      <c r="I635" s="130" t="s">
        <v>2564</v>
      </c>
      <c r="J635" s="122" t="s">
        <v>74</v>
      </c>
      <c r="K635" s="123" t="s">
        <v>25</v>
      </c>
      <c r="L635" s="123" t="s">
        <v>25</v>
      </c>
      <c r="M635" s="120"/>
      <c r="N635" s="120"/>
      <c r="O635" s="125"/>
      <c r="P635" s="125"/>
    </row>
    <row r="636" hidden="1">
      <c r="A636" s="118" t="s">
        <v>2525</v>
      </c>
      <c r="B636" s="120"/>
      <c r="C636" s="118" t="s">
        <v>2565</v>
      </c>
      <c r="D636" s="120"/>
      <c r="E636" s="118" t="s">
        <v>42</v>
      </c>
      <c r="F636" s="120"/>
      <c r="G636" s="118" t="s">
        <v>2566</v>
      </c>
      <c r="H636" s="118" t="s">
        <v>2567</v>
      </c>
      <c r="I636" s="120"/>
      <c r="J636" s="122" t="s">
        <v>74</v>
      </c>
      <c r="K636" s="123" t="s">
        <v>25</v>
      </c>
      <c r="L636" s="123" t="s">
        <v>25</v>
      </c>
      <c r="M636" s="120"/>
      <c r="N636" s="120"/>
      <c r="O636" s="125"/>
      <c r="P636" s="125"/>
    </row>
    <row r="637" hidden="1">
      <c r="A637" s="118" t="s">
        <v>2525</v>
      </c>
      <c r="B637" s="120"/>
      <c r="C637" s="118" t="s">
        <v>2568</v>
      </c>
      <c r="D637" s="120"/>
      <c r="E637" s="118" t="s">
        <v>42</v>
      </c>
      <c r="F637" s="120"/>
      <c r="G637" s="118" t="s">
        <v>2569</v>
      </c>
      <c r="H637" s="118" t="s">
        <v>2570</v>
      </c>
      <c r="I637" s="118" t="s">
        <v>2571</v>
      </c>
      <c r="J637" s="122" t="s">
        <v>74</v>
      </c>
      <c r="K637" s="123" t="s">
        <v>75</v>
      </c>
      <c r="L637" s="118" t="s">
        <v>76</v>
      </c>
      <c r="M637" s="120"/>
      <c r="N637" s="120"/>
      <c r="O637" s="125"/>
      <c r="P637" s="125"/>
    </row>
    <row r="638" hidden="1">
      <c r="A638" s="118" t="s">
        <v>2525</v>
      </c>
      <c r="B638" s="120"/>
      <c r="C638" s="118" t="s">
        <v>2572</v>
      </c>
      <c r="D638" s="120"/>
      <c r="E638" s="118" t="s">
        <v>42</v>
      </c>
      <c r="F638" s="120"/>
      <c r="G638" s="118" t="s">
        <v>2573</v>
      </c>
      <c r="H638" s="118" t="s">
        <v>2570</v>
      </c>
      <c r="I638" s="118" t="s">
        <v>2574</v>
      </c>
      <c r="J638" s="122" t="s">
        <v>74</v>
      </c>
      <c r="K638" s="123" t="s">
        <v>75</v>
      </c>
      <c r="L638" s="118" t="s">
        <v>76</v>
      </c>
      <c r="M638" s="120"/>
      <c r="N638" s="120"/>
      <c r="O638" s="125"/>
      <c r="P638" s="125"/>
    </row>
    <row r="639" hidden="1">
      <c r="A639" s="118" t="s">
        <v>2525</v>
      </c>
      <c r="B639" s="120"/>
      <c r="C639" s="118" t="s">
        <v>2575</v>
      </c>
      <c r="D639" s="120"/>
      <c r="E639" s="118" t="s">
        <v>42</v>
      </c>
      <c r="F639" s="120"/>
      <c r="G639" s="118" t="s">
        <v>2576</v>
      </c>
      <c r="H639" s="118" t="s">
        <v>2570</v>
      </c>
      <c r="I639" s="118" t="s">
        <v>2577</v>
      </c>
      <c r="J639" s="122" t="s">
        <v>74</v>
      </c>
      <c r="K639" s="123" t="s">
        <v>75</v>
      </c>
      <c r="L639" s="118" t="s">
        <v>76</v>
      </c>
      <c r="M639" s="120"/>
      <c r="N639" s="120"/>
      <c r="O639" s="125"/>
      <c r="P639" s="125"/>
    </row>
    <row r="640" hidden="1">
      <c r="A640" s="118" t="s">
        <v>2525</v>
      </c>
      <c r="B640" s="120"/>
      <c r="C640" s="118" t="s">
        <v>2578</v>
      </c>
      <c r="D640" s="120"/>
      <c r="E640" s="118" t="s">
        <v>42</v>
      </c>
      <c r="F640" s="120"/>
      <c r="G640" s="118" t="s">
        <v>2579</v>
      </c>
      <c r="H640" s="118" t="s">
        <v>2580</v>
      </c>
      <c r="I640" s="118" t="s">
        <v>2581</v>
      </c>
      <c r="J640" s="122" t="s">
        <v>74</v>
      </c>
      <c r="K640" s="123" t="s">
        <v>75</v>
      </c>
      <c r="L640" s="118" t="s">
        <v>76</v>
      </c>
      <c r="M640" s="120"/>
      <c r="N640" s="120"/>
      <c r="O640" s="125"/>
      <c r="P640" s="125"/>
    </row>
    <row r="641" hidden="1">
      <c r="A641" s="118" t="s">
        <v>2525</v>
      </c>
      <c r="B641" s="120"/>
      <c r="C641" s="118" t="s">
        <v>2582</v>
      </c>
      <c r="D641" s="120"/>
      <c r="E641" s="118" t="s">
        <v>42</v>
      </c>
      <c r="F641" s="120"/>
      <c r="G641" s="118" t="s">
        <v>2583</v>
      </c>
      <c r="H641" s="118" t="s">
        <v>2580</v>
      </c>
      <c r="I641" s="118" t="s">
        <v>2584</v>
      </c>
      <c r="J641" s="122" t="s">
        <v>74</v>
      </c>
      <c r="K641" s="123" t="s">
        <v>75</v>
      </c>
      <c r="L641" s="118" t="s">
        <v>76</v>
      </c>
      <c r="M641" s="120"/>
      <c r="N641" s="120"/>
      <c r="O641" s="125"/>
      <c r="P641" s="125"/>
    </row>
    <row r="642" hidden="1">
      <c r="A642" s="118" t="s">
        <v>2525</v>
      </c>
      <c r="B642" s="120"/>
      <c r="C642" s="118" t="s">
        <v>2585</v>
      </c>
      <c r="D642" s="120"/>
      <c r="E642" s="118" t="s">
        <v>42</v>
      </c>
      <c r="F642" s="120"/>
      <c r="G642" s="118" t="s">
        <v>2586</v>
      </c>
      <c r="H642" s="118" t="s">
        <v>2587</v>
      </c>
      <c r="I642" s="118" t="s">
        <v>2588</v>
      </c>
      <c r="J642" s="122" t="s">
        <v>74</v>
      </c>
      <c r="K642" s="123" t="s">
        <v>75</v>
      </c>
      <c r="L642" s="118" t="s">
        <v>76</v>
      </c>
      <c r="M642" s="120"/>
      <c r="N642" s="120"/>
      <c r="O642" s="125"/>
      <c r="P642" s="125"/>
    </row>
    <row r="643" hidden="1">
      <c r="A643" s="118" t="s">
        <v>2525</v>
      </c>
      <c r="B643" s="120"/>
      <c r="C643" s="118" t="s">
        <v>2589</v>
      </c>
      <c r="D643" s="120"/>
      <c r="E643" s="118" t="s">
        <v>42</v>
      </c>
      <c r="F643" s="120"/>
      <c r="G643" s="118" t="s">
        <v>2590</v>
      </c>
      <c r="H643" s="118" t="s">
        <v>2591</v>
      </c>
      <c r="I643" s="130" t="s">
        <v>2592</v>
      </c>
      <c r="J643" s="122" t="s">
        <v>74</v>
      </c>
      <c r="K643" s="123" t="s">
        <v>75</v>
      </c>
      <c r="L643" s="118" t="s">
        <v>76</v>
      </c>
      <c r="M643" s="120"/>
      <c r="N643" s="120"/>
      <c r="O643" s="125"/>
      <c r="P643" s="125"/>
    </row>
    <row r="644" hidden="1">
      <c r="A644" s="118" t="s">
        <v>2525</v>
      </c>
      <c r="B644" s="120"/>
      <c r="C644" s="118" t="s">
        <v>2593</v>
      </c>
      <c r="D644" s="120"/>
      <c r="E644" s="118" t="s">
        <v>42</v>
      </c>
      <c r="F644" s="120"/>
      <c r="G644" s="118" t="s">
        <v>2594</v>
      </c>
      <c r="H644" s="118" t="s">
        <v>2595</v>
      </c>
      <c r="I644" s="118" t="s">
        <v>2552</v>
      </c>
      <c r="J644" s="122" t="s">
        <v>74</v>
      </c>
      <c r="K644" s="123" t="s">
        <v>75</v>
      </c>
      <c r="L644" s="118" t="s">
        <v>76</v>
      </c>
      <c r="M644" s="120"/>
      <c r="N644" s="120"/>
      <c r="O644" s="125"/>
      <c r="P644" s="125"/>
    </row>
    <row r="645" hidden="1">
      <c r="A645" s="118" t="s">
        <v>2525</v>
      </c>
      <c r="B645" s="120"/>
      <c r="C645" s="118" t="s">
        <v>2596</v>
      </c>
      <c r="D645" s="120"/>
      <c r="E645" s="118" t="s">
        <v>42</v>
      </c>
      <c r="F645" s="120"/>
      <c r="G645" s="118" t="s">
        <v>2597</v>
      </c>
      <c r="H645" s="118" t="s">
        <v>2598</v>
      </c>
      <c r="I645" s="118" t="s">
        <v>2556</v>
      </c>
      <c r="J645" s="122" t="s">
        <v>74</v>
      </c>
      <c r="K645" s="123" t="s">
        <v>75</v>
      </c>
      <c r="L645" s="118" t="s">
        <v>76</v>
      </c>
      <c r="M645" s="120"/>
      <c r="N645" s="120"/>
      <c r="O645" s="125"/>
      <c r="P645" s="125"/>
    </row>
    <row r="646" hidden="1">
      <c r="A646" s="118" t="s">
        <v>2599</v>
      </c>
      <c r="B646" s="120"/>
      <c r="C646" s="118" t="s">
        <v>2600</v>
      </c>
      <c r="D646" s="120"/>
      <c r="E646" s="88" t="s">
        <v>360</v>
      </c>
      <c r="F646" s="120"/>
      <c r="G646" s="118" t="s">
        <v>2601</v>
      </c>
      <c r="H646" s="118" t="s">
        <v>2602</v>
      </c>
      <c r="I646" s="118" t="s">
        <v>2603</v>
      </c>
      <c r="J646" s="122" t="s">
        <v>74</v>
      </c>
      <c r="K646" s="123" t="s">
        <v>75</v>
      </c>
      <c r="L646" s="123" t="s">
        <v>54</v>
      </c>
      <c r="M646" s="120"/>
      <c r="N646" s="129" t="s">
        <v>2604</v>
      </c>
      <c r="O646" s="120"/>
      <c r="P646" s="120"/>
    </row>
    <row r="647" hidden="1">
      <c r="A647" s="139" t="s">
        <v>2599</v>
      </c>
      <c r="B647" s="120"/>
      <c r="C647" s="118" t="s">
        <v>2605</v>
      </c>
      <c r="D647" s="120"/>
      <c r="E647" s="88" t="s">
        <v>360</v>
      </c>
      <c r="F647" s="120"/>
      <c r="G647" s="118" t="s">
        <v>2606</v>
      </c>
      <c r="H647" s="118" t="s">
        <v>2607</v>
      </c>
      <c r="I647" s="118" t="s">
        <v>2603</v>
      </c>
      <c r="J647" s="122" t="s">
        <v>74</v>
      </c>
      <c r="K647" s="123" t="s">
        <v>75</v>
      </c>
      <c r="L647" s="123" t="s">
        <v>54</v>
      </c>
      <c r="M647" s="120"/>
      <c r="N647" s="129" t="s">
        <v>2608</v>
      </c>
      <c r="O647" s="120"/>
      <c r="P647" s="120"/>
    </row>
    <row r="648" hidden="1">
      <c r="A648" s="139" t="s">
        <v>2599</v>
      </c>
      <c r="B648" s="120"/>
      <c r="C648" s="118" t="s">
        <v>2609</v>
      </c>
      <c r="D648" s="120"/>
      <c r="E648" s="88" t="s">
        <v>360</v>
      </c>
      <c r="F648" s="120"/>
      <c r="G648" s="118" t="s">
        <v>2610</v>
      </c>
      <c r="H648" s="118" t="s">
        <v>2611</v>
      </c>
      <c r="I648" s="118" t="s">
        <v>2612</v>
      </c>
      <c r="J648" s="122" t="s">
        <v>74</v>
      </c>
      <c r="K648" s="123" t="s">
        <v>25</v>
      </c>
      <c r="L648" s="123" t="s">
        <v>25</v>
      </c>
      <c r="M648" s="120"/>
      <c r="N648" s="140"/>
      <c r="O648" s="120"/>
      <c r="P648" s="120"/>
    </row>
    <row r="649" hidden="1">
      <c r="A649" s="139" t="s">
        <v>2599</v>
      </c>
      <c r="B649" s="120"/>
      <c r="C649" s="118" t="s">
        <v>2613</v>
      </c>
      <c r="D649" s="120"/>
      <c r="E649" s="88" t="s">
        <v>360</v>
      </c>
      <c r="F649" s="120"/>
      <c r="G649" s="118" t="s">
        <v>2614</v>
      </c>
      <c r="H649" s="118" t="s">
        <v>2615</v>
      </c>
      <c r="I649" s="118" t="s">
        <v>2616</v>
      </c>
      <c r="J649" s="122" t="s">
        <v>74</v>
      </c>
      <c r="K649" s="123" t="s">
        <v>25</v>
      </c>
      <c r="L649" s="123" t="s">
        <v>25</v>
      </c>
      <c r="M649" s="120"/>
      <c r="N649" s="140"/>
      <c r="O649" s="120"/>
      <c r="P649" s="120"/>
    </row>
    <row r="650" hidden="1">
      <c r="A650" s="139" t="s">
        <v>2599</v>
      </c>
      <c r="B650" s="120"/>
      <c r="C650" s="118" t="s">
        <v>2617</v>
      </c>
      <c r="D650" s="120"/>
      <c r="E650" s="88" t="s">
        <v>360</v>
      </c>
      <c r="F650" s="120"/>
      <c r="G650" s="118" t="s">
        <v>2618</v>
      </c>
      <c r="H650" s="118" t="s">
        <v>2619</v>
      </c>
      <c r="I650" s="118" t="s">
        <v>2620</v>
      </c>
      <c r="J650" s="122" t="s">
        <v>74</v>
      </c>
      <c r="K650" s="123" t="s">
        <v>25</v>
      </c>
      <c r="L650" s="123" t="s">
        <v>25</v>
      </c>
      <c r="M650" s="120"/>
      <c r="N650" s="140"/>
      <c r="O650" s="120"/>
      <c r="P650" s="120"/>
    </row>
    <row r="651" hidden="1">
      <c r="A651" s="139" t="s">
        <v>2599</v>
      </c>
      <c r="B651" s="120"/>
      <c r="C651" s="118" t="s">
        <v>2621</v>
      </c>
      <c r="D651" s="120"/>
      <c r="E651" s="88" t="s">
        <v>360</v>
      </c>
      <c r="F651" s="120"/>
      <c r="G651" s="118" t="s">
        <v>2622</v>
      </c>
      <c r="H651" s="118" t="s">
        <v>2623</v>
      </c>
      <c r="I651" s="118" t="s">
        <v>2620</v>
      </c>
      <c r="J651" s="122" t="s">
        <v>74</v>
      </c>
      <c r="K651" s="123" t="s">
        <v>75</v>
      </c>
      <c r="L651" s="123" t="s">
        <v>54</v>
      </c>
      <c r="M651" s="120"/>
      <c r="N651" s="129" t="s">
        <v>2624</v>
      </c>
      <c r="O651" s="120"/>
      <c r="P651" s="120"/>
    </row>
    <row r="652" hidden="1">
      <c r="A652" s="139" t="s">
        <v>2599</v>
      </c>
      <c r="B652" s="120"/>
      <c r="C652" s="118" t="s">
        <v>2625</v>
      </c>
      <c r="D652" s="120"/>
      <c r="E652" s="88" t="s">
        <v>360</v>
      </c>
      <c r="F652" s="120"/>
      <c r="G652" s="118" t="s">
        <v>2626</v>
      </c>
      <c r="H652" s="118" t="s">
        <v>2627</v>
      </c>
      <c r="I652" s="118" t="s">
        <v>2628</v>
      </c>
      <c r="J652" s="122" t="s">
        <v>74</v>
      </c>
      <c r="K652" s="123" t="s">
        <v>75</v>
      </c>
      <c r="L652" s="123" t="s">
        <v>54</v>
      </c>
      <c r="M652" s="120"/>
      <c r="N652" s="129" t="s">
        <v>2629</v>
      </c>
      <c r="O652" s="120"/>
      <c r="P652" s="120"/>
    </row>
    <row r="653" hidden="1">
      <c r="A653" s="139" t="s">
        <v>2599</v>
      </c>
      <c r="B653" s="131"/>
      <c r="C653" s="130" t="s">
        <v>2630</v>
      </c>
      <c r="D653" s="131"/>
      <c r="E653" s="88" t="s">
        <v>360</v>
      </c>
      <c r="F653" s="131"/>
      <c r="G653" s="130" t="s">
        <v>2631</v>
      </c>
      <c r="H653" s="130" t="s">
        <v>2632</v>
      </c>
      <c r="I653" s="130" t="s">
        <v>2633</v>
      </c>
      <c r="J653" s="122" t="s">
        <v>74</v>
      </c>
      <c r="K653" s="123" t="s">
        <v>75</v>
      </c>
      <c r="L653" s="123" t="s">
        <v>54</v>
      </c>
      <c r="M653" s="131"/>
      <c r="N653" s="129" t="s">
        <v>2634</v>
      </c>
      <c r="O653" s="131"/>
      <c r="P653" s="131"/>
    </row>
    <row r="654" hidden="1">
      <c r="A654" s="139" t="s">
        <v>2635</v>
      </c>
      <c r="B654" s="120"/>
      <c r="C654" s="118" t="s">
        <v>2636</v>
      </c>
      <c r="D654" s="120"/>
      <c r="E654" s="88" t="s">
        <v>31</v>
      </c>
      <c r="F654" s="120"/>
      <c r="G654" s="118" t="s">
        <v>2637</v>
      </c>
      <c r="H654" s="118" t="s">
        <v>2638</v>
      </c>
      <c r="I654" s="118" t="s">
        <v>2639</v>
      </c>
      <c r="J654" s="122" t="s">
        <v>74</v>
      </c>
      <c r="K654" s="123" t="s">
        <v>25</v>
      </c>
      <c r="L654" s="123" t="s">
        <v>25</v>
      </c>
      <c r="M654" s="120"/>
      <c r="N654" s="140"/>
      <c r="O654" s="120"/>
      <c r="P654" s="120"/>
    </row>
    <row r="655" hidden="1">
      <c r="A655" s="139" t="s">
        <v>2640</v>
      </c>
      <c r="B655" s="120"/>
      <c r="C655" s="118" t="s">
        <v>2641</v>
      </c>
      <c r="D655" s="120"/>
      <c r="E655" s="88" t="s">
        <v>32</v>
      </c>
      <c r="F655" s="120"/>
      <c r="G655" s="141" t="s">
        <v>2642</v>
      </c>
      <c r="H655" s="118" t="s">
        <v>2643</v>
      </c>
      <c r="I655" s="118" t="s">
        <v>2644</v>
      </c>
      <c r="J655" s="122" t="s">
        <v>74</v>
      </c>
      <c r="K655" s="123" t="s">
        <v>75</v>
      </c>
      <c r="L655" s="123" t="s">
        <v>54</v>
      </c>
      <c r="M655" s="120"/>
      <c r="N655" s="129" t="s">
        <v>2645</v>
      </c>
      <c r="O655" s="120"/>
      <c r="P655" s="120"/>
    </row>
    <row r="656" hidden="1">
      <c r="A656" s="139" t="s">
        <v>2646</v>
      </c>
      <c r="B656" s="120"/>
      <c r="C656" s="118" t="s">
        <v>2647</v>
      </c>
      <c r="D656" s="120"/>
      <c r="E656" s="118" t="s">
        <v>42</v>
      </c>
      <c r="F656" s="120"/>
      <c r="G656" s="118" t="s">
        <v>2648</v>
      </c>
      <c r="H656" s="118" t="s">
        <v>2649</v>
      </c>
      <c r="I656" s="118" t="s">
        <v>2650</v>
      </c>
      <c r="J656" s="122" t="s">
        <v>74</v>
      </c>
      <c r="K656" s="123" t="s">
        <v>25</v>
      </c>
      <c r="L656" s="123" t="s">
        <v>25</v>
      </c>
      <c r="M656" s="120"/>
      <c r="N656" s="140"/>
      <c r="O656" s="120"/>
      <c r="P656" s="120"/>
    </row>
    <row r="657" hidden="1">
      <c r="A657" s="139" t="s">
        <v>2646</v>
      </c>
      <c r="B657" s="120"/>
      <c r="C657" s="118" t="s">
        <v>2651</v>
      </c>
      <c r="D657" s="120"/>
      <c r="E657" s="118" t="s">
        <v>42</v>
      </c>
      <c r="F657" s="131"/>
      <c r="G657" s="130" t="s">
        <v>2652</v>
      </c>
      <c r="H657" s="130" t="s">
        <v>2653</v>
      </c>
      <c r="I657" s="130" t="s">
        <v>2654</v>
      </c>
      <c r="J657" s="122" t="s">
        <v>74</v>
      </c>
      <c r="K657" s="123" t="s">
        <v>25</v>
      </c>
      <c r="L657" s="123" t="s">
        <v>25</v>
      </c>
      <c r="M657" s="131"/>
      <c r="N657" s="142"/>
      <c r="O657" s="131"/>
      <c r="P657" s="131"/>
    </row>
    <row r="658" hidden="1">
      <c r="A658" s="139" t="s">
        <v>2646</v>
      </c>
      <c r="B658" s="120"/>
      <c r="C658" s="118" t="s">
        <v>2655</v>
      </c>
      <c r="D658" s="120"/>
      <c r="E658" s="118" t="s">
        <v>42</v>
      </c>
      <c r="F658" s="120"/>
      <c r="G658" s="118" t="s">
        <v>2656</v>
      </c>
      <c r="H658" s="118" t="s">
        <v>2657</v>
      </c>
      <c r="I658" s="118" t="s">
        <v>2658</v>
      </c>
      <c r="J658" s="122" t="s">
        <v>74</v>
      </c>
      <c r="K658" s="123" t="s">
        <v>75</v>
      </c>
      <c r="L658" s="123" t="s">
        <v>54</v>
      </c>
      <c r="M658" s="120"/>
      <c r="N658" s="129" t="s">
        <v>2659</v>
      </c>
      <c r="O658" s="120"/>
      <c r="P658" s="120"/>
    </row>
    <row r="659" hidden="1">
      <c r="A659" s="139" t="s">
        <v>2660</v>
      </c>
      <c r="B659" s="120"/>
      <c r="C659" s="118" t="s">
        <v>2661</v>
      </c>
      <c r="D659" s="120"/>
      <c r="E659" s="88" t="s">
        <v>32</v>
      </c>
      <c r="F659" s="120"/>
      <c r="G659" s="118" t="s">
        <v>2662</v>
      </c>
      <c r="H659" s="118" t="s">
        <v>2663</v>
      </c>
      <c r="I659" s="118" t="s">
        <v>2664</v>
      </c>
      <c r="J659" s="122" t="s">
        <v>74</v>
      </c>
      <c r="K659" s="123" t="s">
        <v>75</v>
      </c>
      <c r="L659" s="123" t="s">
        <v>54</v>
      </c>
      <c r="M659" s="120"/>
      <c r="N659" s="129" t="s">
        <v>2665</v>
      </c>
      <c r="O659" s="120"/>
      <c r="P659" s="120"/>
    </row>
    <row r="660">
      <c r="A660" s="139" t="s">
        <v>2470</v>
      </c>
      <c r="B660" s="143"/>
      <c r="C660" s="118" t="s">
        <v>2470</v>
      </c>
      <c r="D660" s="125"/>
      <c r="E660" s="88" t="s">
        <v>360</v>
      </c>
      <c r="F660" s="125"/>
      <c r="G660" s="118" t="s">
        <v>2666</v>
      </c>
      <c r="H660" s="118" t="s">
        <v>2667</v>
      </c>
      <c r="I660" s="118" t="s">
        <v>2668</v>
      </c>
      <c r="J660" s="128" t="s">
        <v>714</v>
      </c>
      <c r="K660" s="123" t="s">
        <v>75</v>
      </c>
      <c r="L660" s="123" t="s">
        <v>76</v>
      </c>
      <c r="M660" s="125"/>
      <c r="N660" s="129" t="s">
        <v>2669</v>
      </c>
      <c r="O660" s="125"/>
      <c r="P660" s="125"/>
    </row>
    <row r="661">
      <c r="A661" s="124" t="s">
        <v>2670</v>
      </c>
      <c r="B661" s="143"/>
      <c r="C661" s="144" t="s">
        <v>2670</v>
      </c>
      <c r="D661" s="125"/>
      <c r="E661" s="88" t="s">
        <v>360</v>
      </c>
      <c r="F661" s="125"/>
      <c r="G661" s="118" t="s">
        <v>2671</v>
      </c>
      <c r="H661" s="118" t="s">
        <v>2672</v>
      </c>
      <c r="I661" s="118" t="s">
        <v>2673</v>
      </c>
      <c r="J661" s="128" t="s">
        <v>714</v>
      </c>
      <c r="K661" s="123" t="s">
        <v>75</v>
      </c>
      <c r="L661" s="118" t="s">
        <v>76</v>
      </c>
      <c r="M661" s="125"/>
      <c r="N661" s="129" t="s">
        <v>2674</v>
      </c>
      <c r="O661" s="125"/>
      <c r="P661" s="125"/>
    </row>
    <row r="662">
      <c r="A662" s="124" t="s">
        <v>2675</v>
      </c>
      <c r="B662" s="143"/>
      <c r="C662" s="144" t="s">
        <v>2675</v>
      </c>
      <c r="D662" s="125"/>
      <c r="E662" s="88" t="s">
        <v>32</v>
      </c>
      <c r="F662" s="125"/>
      <c r="G662" s="118" t="s">
        <v>2676</v>
      </c>
      <c r="H662" s="124" t="s">
        <v>2677</v>
      </c>
      <c r="I662" s="145" t="s">
        <v>2678</v>
      </c>
      <c r="J662" s="128" t="s">
        <v>714</v>
      </c>
      <c r="K662" s="123" t="s">
        <v>75</v>
      </c>
      <c r="L662" s="123" t="s">
        <v>76</v>
      </c>
      <c r="M662" s="125"/>
      <c r="N662" s="129" t="s">
        <v>2679</v>
      </c>
      <c r="O662" s="125"/>
      <c r="P662" s="125"/>
    </row>
    <row r="663">
      <c r="A663" s="125"/>
      <c r="B663" s="143"/>
      <c r="C663" s="144" t="s">
        <v>2680</v>
      </c>
      <c r="D663" s="125"/>
      <c r="E663" s="118" t="s">
        <v>42</v>
      </c>
      <c r="F663" s="125"/>
      <c r="G663" s="118" t="s">
        <v>2681</v>
      </c>
      <c r="H663" s="118" t="s">
        <v>2682</v>
      </c>
      <c r="I663" s="145" t="s">
        <v>2683</v>
      </c>
      <c r="J663" s="128" t="s">
        <v>714</v>
      </c>
      <c r="K663" s="123" t="s">
        <v>25</v>
      </c>
      <c r="L663" s="123" t="s">
        <v>25</v>
      </c>
      <c r="M663" s="124" t="s">
        <v>2684</v>
      </c>
      <c r="N663" s="129" t="s">
        <v>2685</v>
      </c>
      <c r="O663" s="125"/>
      <c r="P663" s="125"/>
    </row>
    <row r="664" hidden="1">
      <c r="A664" s="143"/>
      <c r="B664" s="143"/>
      <c r="C664" s="144" t="s">
        <v>2686</v>
      </c>
      <c r="D664" s="125"/>
      <c r="E664" s="118" t="s">
        <v>42</v>
      </c>
      <c r="F664" s="125"/>
      <c r="G664" s="118" t="s">
        <v>2687</v>
      </c>
      <c r="H664" s="118" t="s">
        <v>2688</v>
      </c>
      <c r="I664" s="118" t="s">
        <v>2689</v>
      </c>
      <c r="J664" s="122" t="s">
        <v>74</v>
      </c>
      <c r="K664" s="123" t="s">
        <v>25</v>
      </c>
      <c r="L664" s="123" t="s">
        <v>25</v>
      </c>
      <c r="M664" s="125"/>
      <c r="N664" s="129" t="s">
        <v>2690</v>
      </c>
      <c r="O664" s="125"/>
      <c r="P664" s="125"/>
    </row>
    <row r="665" hidden="1">
      <c r="A665" s="143"/>
      <c r="B665" s="143"/>
      <c r="C665" s="144" t="s">
        <v>2691</v>
      </c>
      <c r="D665" s="125"/>
      <c r="E665" s="118" t="s">
        <v>42</v>
      </c>
      <c r="F665" s="125"/>
      <c r="G665" s="118" t="s">
        <v>2692</v>
      </c>
      <c r="H665" s="118" t="s">
        <v>2693</v>
      </c>
      <c r="I665" s="145" t="s">
        <v>2694</v>
      </c>
      <c r="J665" s="122" t="s">
        <v>74</v>
      </c>
      <c r="K665" s="123" t="s">
        <v>25</v>
      </c>
      <c r="L665" s="123" t="s">
        <v>25</v>
      </c>
      <c r="M665" s="125"/>
      <c r="N665" s="129" t="s">
        <v>2695</v>
      </c>
      <c r="O665" s="125"/>
      <c r="P665" s="125"/>
    </row>
    <row r="666" hidden="1">
      <c r="A666" s="143"/>
      <c r="B666" s="143"/>
      <c r="C666" s="144" t="s">
        <v>2696</v>
      </c>
      <c r="D666" s="125"/>
      <c r="E666" s="88" t="s">
        <v>360</v>
      </c>
      <c r="F666" s="125"/>
      <c r="G666" s="118" t="s">
        <v>2697</v>
      </c>
      <c r="H666" s="118" t="s">
        <v>2698</v>
      </c>
      <c r="I666" s="118" t="s">
        <v>2673</v>
      </c>
      <c r="J666" s="122" t="s">
        <v>74</v>
      </c>
      <c r="K666" s="123" t="s">
        <v>25</v>
      </c>
      <c r="L666" s="123" t="s">
        <v>25</v>
      </c>
      <c r="M666" s="125"/>
      <c r="N666" s="129" t="s">
        <v>2699</v>
      </c>
      <c r="O666" s="125"/>
      <c r="P666" s="125"/>
    </row>
    <row r="667">
      <c r="A667" s="143"/>
      <c r="B667" s="143"/>
      <c r="C667" s="144" t="s">
        <v>2700</v>
      </c>
      <c r="D667" s="125"/>
      <c r="E667" s="118" t="s">
        <v>42</v>
      </c>
      <c r="F667" s="125"/>
      <c r="G667" s="118" t="s">
        <v>2701</v>
      </c>
      <c r="H667" s="118" t="s">
        <v>2702</v>
      </c>
      <c r="I667" s="118" t="s">
        <v>2703</v>
      </c>
      <c r="J667" s="128" t="s">
        <v>714</v>
      </c>
      <c r="K667" s="123" t="s">
        <v>75</v>
      </c>
      <c r="L667" s="123" t="s">
        <v>76</v>
      </c>
      <c r="M667" s="125"/>
      <c r="N667" s="129" t="s">
        <v>2704</v>
      </c>
      <c r="O667" s="125"/>
      <c r="P667" s="125"/>
    </row>
    <row r="668">
      <c r="A668" s="143"/>
      <c r="B668" s="143"/>
      <c r="C668" s="144" t="s">
        <v>2705</v>
      </c>
      <c r="D668" s="125"/>
      <c r="E668" s="118" t="s">
        <v>42</v>
      </c>
      <c r="F668" s="125"/>
      <c r="G668" s="118" t="s">
        <v>2706</v>
      </c>
      <c r="H668" s="118" t="s">
        <v>2707</v>
      </c>
      <c r="I668" s="118" t="s">
        <v>2708</v>
      </c>
      <c r="J668" s="128" t="s">
        <v>714</v>
      </c>
      <c r="K668" s="123" t="s">
        <v>25</v>
      </c>
      <c r="L668" s="123" t="s">
        <v>25</v>
      </c>
      <c r="M668" s="124" t="s">
        <v>2709</v>
      </c>
      <c r="N668" s="129" t="s">
        <v>2710</v>
      </c>
      <c r="O668" s="125"/>
      <c r="P668" s="125"/>
    </row>
    <row r="669">
      <c r="A669" s="143"/>
      <c r="B669" s="143"/>
      <c r="C669" s="144" t="s">
        <v>2711</v>
      </c>
      <c r="D669" s="125"/>
      <c r="E669" s="124" t="s">
        <v>2712</v>
      </c>
      <c r="F669" s="125"/>
      <c r="G669" s="118" t="s">
        <v>2713</v>
      </c>
      <c r="H669" s="118" t="s">
        <v>2714</v>
      </c>
      <c r="I669" s="118" t="s">
        <v>2715</v>
      </c>
      <c r="J669" s="128" t="s">
        <v>714</v>
      </c>
      <c r="K669" s="123" t="s">
        <v>25</v>
      </c>
      <c r="L669" s="123" t="s">
        <v>25</v>
      </c>
      <c r="M669" s="124" t="s">
        <v>2716</v>
      </c>
      <c r="N669" s="129" t="s">
        <v>2717</v>
      </c>
      <c r="O669" s="125"/>
      <c r="P669" s="125"/>
    </row>
    <row r="670">
      <c r="A670" s="143"/>
      <c r="B670" s="143"/>
      <c r="C670" s="144" t="s">
        <v>2718</v>
      </c>
      <c r="D670" s="125"/>
      <c r="E670" s="118" t="s">
        <v>42</v>
      </c>
      <c r="F670" s="125"/>
      <c r="G670" s="118" t="s">
        <v>2719</v>
      </c>
      <c r="H670" s="118" t="s">
        <v>2720</v>
      </c>
      <c r="I670" s="118" t="s">
        <v>2721</v>
      </c>
      <c r="J670" s="128" t="s">
        <v>714</v>
      </c>
      <c r="K670" s="123" t="s">
        <v>25</v>
      </c>
      <c r="L670" s="123" t="s">
        <v>25</v>
      </c>
      <c r="M670" s="124" t="s">
        <v>2722</v>
      </c>
      <c r="N670" s="129" t="s">
        <v>2723</v>
      </c>
      <c r="O670" s="125"/>
      <c r="P670" s="125"/>
    </row>
    <row r="671">
      <c r="A671" s="143"/>
      <c r="B671" s="143"/>
      <c r="C671" s="144" t="s">
        <v>2724</v>
      </c>
      <c r="D671" s="125"/>
      <c r="E671" s="118" t="s">
        <v>42</v>
      </c>
      <c r="F671" s="125"/>
      <c r="G671" s="118" t="s">
        <v>2725</v>
      </c>
      <c r="H671" s="118" t="s">
        <v>2726</v>
      </c>
      <c r="I671" s="118" t="s">
        <v>2727</v>
      </c>
      <c r="J671" s="128" t="s">
        <v>714</v>
      </c>
      <c r="K671" s="123" t="s">
        <v>25</v>
      </c>
      <c r="L671" s="123" t="s">
        <v>25</v>
      </c>
      <c r="M671" s="124" t="s">
        <v>2709</v>
      </c>
      <c r="N671" s="129" t="s">
        <v>2728</v>
      </c>
      <c r="O671" s="125"/>
      <c r="P671" s="125"/>
    </row>
    <row r="672">
      <c r="A672" s="143"/>
      <c r="B672" s="143"/>
      <c r="C672" s="144" t="s">
        <v>2729</v>
      </c>
      <c r="D672" s="125"/>
      <c r="E672" s="118" t="s">
        <v>42</v>
      </c>
      <c r="F672" s="125"/>
      <c r="G672" s="118" t="s">
        <v>2730</v>
      </c>
      <c r="H672" s="118" t="s">
        <v>2731</v>
      </c>
      <c r="I672" s="118" t="s">
        <v>2727</v>
      </c>
      <c r="J672" s="128" t="s">
        <v>714</v>
      </c>
      <c r="K672" s="123" t="s">
        <v>25</v>
      </c>
      <c r="L672" s="123" t="s">
        <v>25</v>
      </c>
      <c r="M672" s="124" t="s">
        <v>2709</v>
      </c>
      <c r="N672" s="129" t="s">
        <v>2732</v>
      </c>
      <c r="O672" s="125"/>
      <c r="P672" s="125"/>
    </row>
    <row r="673">
      <c r="A673" s="143"/>
      <c r="B673" s="143"/>
      <c r="C673" s="144" t="s">
        <v>2733</v>
      </c>
      <c r="D673" s="125"/>
      <c r="E673" s="88" t="s">
        <v>360</v>
      </c>
      <c r="F673" s="125"/>
      <c r="G673" s="118" t="s">
        <v>2734</v>
      </c>
      <c r="H673" s="118" t="s">
        <v>2735</v>
      </c>
      <c r="I673" s="145" t="s">
        <v>2736</v>
      </c>
      <c r="J673" s="128" t="s">
        <v>714</v>
      </c>
      <c r="K673" s="123" t="s">
        <v>25</v>
      </c>
      <c r="L673" s="123" t="s">
        <v>25</v>
      </c>
      <c r="M673" s="124" t="s">
        <v>406</v>
      </c>
      <c r="N673" s="129" t="s">
        <v>2737</v>
      </c>
      <c r="O673" s="125"/>
      <c r="P673" s="125"/>
    </row>
    <row r="674">
      <c r="A674" s="146"/>
      <c r="B674" s="143"/>
      <c r="C674" s="144" t="s">
        <v>2738</v>
      </c>
      <c r="D674" s="125"/>
      <c r="E674" s="124" t="s">
        <v>2712</v>
      </c>
      <c r="F674" s="125"/>
      <c r="G674" s="118" t="s">
        <v>2739</v>
      </c>
      <c r="H674" s="118" t="s">
        <v>2740</v>
      </c>
      <c r="I674" s="118" t="s">
        <v>2741</v>
      </c>
      <c r="J674" s="128" t="s">
        <v>714</v>
      </c>
      <c r="K674" s="123" t="s">
        <v>25</v>
      </c>
      <c r="L674" s="123" t="s">
        <v>25</v>
      </c>
      <c r="M674" s="124" t="s">
        <v>2742</v>
      </c>
      <c r="N674" s="129" t="s">
        <v>2743</v>
      </c>
      <c r="O674" s="125"/>
      <c r="P674" s="125"/>
    </row>
    <row r="675">
      <c r="A675" s="146"/>
      <c r="B675" s="143"/>
      <c r="C675" s="124" t="s">
        <v>2744</v>
      </c>
      <c r="D675" s="125"/>
      <c r="E675" s="88" t="s">
        <v>360</v>
      </c>
      <c r="F675" s="125"/>
      <c r="G675" s="145" t="s">
        <v>2745</v>
      </c>
      <c r="H675" s="118" t="s">
        <v>2746</v>
      </c>
      <c r="I675" s="118" t="s">
        <v>2747</v>
      </c>
      <c r="J675" s="128" t="s">
        <v>714</v>
      </c>
      <c r="K675" s="123" t="s">
        <v>75</v>
      </c>
      <c r="L675" s="123" t="s">
        <v>76</v>
      </c>
      <c r="M675" s="124" t="s">
        <v>2748</v>
      </c>
      <c r="N675" s="129" t="s">
        <v>2749</v>
      </c>
      <c r="O675" s="125"/>
      <c r="P675" s="125"/>
    </row>
    <row r="676" hidden="1">
      <c r="A676" s="143"/>
      <c r="B676" s="143"/>
      <c r="C676" s="147" t="s">
        <v>2750</v>
      </c>
      <c r="D676" s="125"/>
      <c r="E676" s="88" t="s">
        <v>41</v>
      </c>
      <c r="F676" s="125"/>
      <c r="G676" s="124" t="s">
        <v>2751</v>
      </c>
      <c r="H676" s="124" t="s">
        <v>2752</v>
      </c>
      <c r="I676" s="148" t="s">
        <v>2753</v>
      </c>
      <c r="J676" s="122" t="s">
        <v>74</v>
      </c>
      <c r="K676" s="123" t="s">
        <v>75</v>
      </c>
      <c r="L676" s="123" t="s">
        <v>76</v>
      </c>
      <c r="M676" s="124" t="s">
        <v>2748</v>
      </c>
      <c r="N676" s="129" t="s">
        <v>2754</v>
      </c>
      <c r="O676" s="125"/>
      <c r="P676" s="125"/>
    </row>
    <row r="677">
      <c r="A677" s="143"/>
      <c r="B677" s="143"/>
      <c r="C677" s="147" t="s">
        <v>2755</v>
      </c>
      <c r="D677" s="125"/>
      <c r="E677" s="88" t="s">
        <v>32</v>
      </c>
      <c r="F677" s="125"/>
      <c r="G677" s="124" t="s">
        <v>2756</v>
      </c>
      <c r="H677" s="124" t="s">
        <v>2757</v>
      </c>
      <c r="I677" s="124" t="s">
        <v>2758</v>
      </c>
      <c r="J677" s="128" t="s">
        <v>714</v>
      </c>
      <c r="K677" s="123" t="s">
        <v>75</v>
      </c>
      <c r="L677" s="123" t="s">
        <v>76</v>
      </c>
      <c r="M677" s="125"/>
      <c r="N677" s="129" t="s">
        <v>2759</v>
      </c>
      <c r="O677" s="125"/>
      <c r="P677" s="125"/>
    </row>
    <row r="678">
      <c r="A678" s="143"/>
      <c r="B678" s="143"/>
      <c r="C678" s="147" t="s">
        <v>2760</v>
      </c>
      <c r="D678" s="125"/>
      <c r="E678" s="88" t="s">
        <v>360</v>
      </c>
      <c r="F678" s="125"/>
      <c r="G678" s="124" t="s">
        <v>2761</v>
      </c>
      <c r="H678" s="124" t="s">
        <v>2762</v>
      </c>
      <c r="I678" s="124" t="s">
        <v>2763</v>
      </c>
      <c r="J678" s="128" t="s">
        <v>714</v>
      </c>
      <c r="K678" s="123" t="s">
        <v>25</v>
      </c>
      <c r="L678" s="123" t="s">
        <v>25</v>
      </c>
      <c r="M678" s="124" t="s">
        <v>890</v>
      </c>
      <c r="N678" s="129" t="s">
        <v>2764</v>
      </c>
      <c r="O678" s="125"/>
      <c r="P678" s="125"/>
    </row>
    <row r="679">
      <c r="A679" s="143"/>
      <c r="B679" s="143"/>
      <c r="C679" s="147" t="s">
        <v>2765</v>
      </c>
      <c r="D679" s="125"/>
      <c r="E679" s="88" t="s">
        <v>360</v>
      </c>
      <c r="F679" s="125"/>
      <c r="G679" s="124" t="s">
        <v>2766</v>
      </c>
      <c r="H679" s="124" t="s">
        <v>2767</v>
      </c>
      <c r="I679" s="124" t="s">
        <v>2768</v>
      </c>
      <c r="J679" s="128" t="s">
        <v>714</v>
      </c>
      <c r="K679" s="123" t="s">
        <v>25</v>
      </c>
      <c r="L679" s="123" t="s">
        <v>25</v>
      </c>
      <c r="M679" s="124" t="s">
        <v>2769</v>
      </c>
      <c r="N679" s="129" t="s">
        <v>2770</v>
      </c>
      <c r="O679" s="125"/>
      <c r="P679" s="125"/>
    </row>
    <row r="680">
      <c r="A680" s="143"/>
      <c r="B680" s="143"/>
      <c r="C680" s="147" t="s">
        <v>2771</v>
      </c>
      <c r="D680" s="125"/>
      <c r="E680" s="88" t="s">
        <v>31</v>
      </c>
      <c r="F680" s="125"/>
      <c r="G680" s="124" t="s">
        <v>2772</v>
      </c>
      <c r="H680" s="124" t="s">
        <v>2773</v>
      </c>
      <c r="I680" s="124" t="s">
        <v>2774</v>
      </c>
      <c r="J680" s="128" t="s">
        <v>714</v>
      </c>
      <c r="K680" s="123" t="s">
        <v>75</v>
      </c>
      <c r="L680" s="123" t="s">
        <v>76</v>
      </c>
      <c r="M680" s="125"/>
      <c r="N680" s="129" t="s">
        <v>2775</v>
      </c>
      <c r="O680" s="125"/>
      <c r="P680" s="125"/>
    </row>
    <row r="681">
      <c r="A681" s="143"/>
      <c r="B681" s="143"/>
      <c r="C681" s="147" t="s">
        <v>2776</v>
      </c>
      <c r="D681" s="125"/>
      <c r="E681" s="88" t="s">
        <v>41</v>
      </c>
      <c r="F681" s="125"/>
      <c r="G681" s="124" t="s">
        <v>2777</v>
      </c>
      <c r="H681" s="124" t="s">
        <v>2778</v>
      </c>
      <c r="I681" s="148" t="s">
        <v>2779</v>
      </c>
      <c r="J681" s="128" t="s">
        <v>714</v>
      </c>
      <c r="K681" s="123" t="s">
        <v>25</v>
      </c>
      <c r="L681" s="123" t="s">
        <v>25</v>
      </c>
      <c r="M681" s="118" t="s">
        <v>406</v>
      </c>
      <c r="N681" s="129" t="s">
        <v>2780</v>
      </c>
      <c r="O681" s="125"/>
      <c r="P681" s="125"/>
    </row>
    <row r="682">
      <c r="A682" s="143"/>
      <c r="B682" s="143"/>
      <c r="C682" s="147" t="s">
        <v>2781</v>
      </c>
      <c r="D682" s="125"/>
      <c r="E682" s="88" t="s">
        <v>41</v>
      </c>
      <c r="F682" s="125"/>
      <c r="G682" s="124" t="s">
        <v>2782</v>
      </c>
      <c r="H682" s="124" t="s">
        <v>2783</v>
      </c>
      <c r="I682" s="124" t="s">
        <v>2784</v>
      </c>
      <c r="J682" s="128" t="s">
        <v>714</v>
      </c>
      <c r="K682" s="123" t="s">
        <v>25</v>
      </c>
      <c r="L682" s="123" t="s">
        <v>25</v>
      </c>
      <c r="M682" s="118" t="s">
        <v>406</v>
      </c>
      <c r="N682" s="129" t="s">
        <v>2785</v>
      </c>
      <c r="O682" s="125"/>
      <c r="P682" s="125"/>
    </row>
    <row r="683">
      <c r="A683" s="143"/>
      <c r="B683" s="143"/>
      <c r="C683" s="147" t="s">
        <v>2786</v>
      </c>
      <c r="D683" s="125"/>
      <c r="E683" s="88" t="s">
        <v>31</v>
      </c>
      <c r="F683" s="125"/>
      <c r="G683" s="124" t="s">
        <v>2787</v>
      </c>
      <c r="H683" s="124" t="s">
        <v>2788</v>
      </c>
      <c r="I683" s="124" t="s">
        <v>2789</v>
      </c>
      <c r="J683" s="128" t="s">
        <v>714</v>
      </c>
      <c r="K683" s="123" t="s">
        <v>25</v>
      </c>
      <c r="L683" s="123" t="s">
        <v>25</v>
      </c>
      <c r="M683" s="124" t="s">
        <v>406</v>
      </c>
      <c r="N683" s="129" t="s">
        <v>2790</v>
      </c>
      <c r="O683" s="125"/>
      <c r="P683" s="125"/>
    </row>
    <row r="684" hidden="1">
      <c r="A684" s="143"/>
      <c r="B684" s="143"/>
      <c r="C684" s="147" t="s">
        <v>2791</v>
      </c>
      <c r="D684" s="125"/>
      <c r="E684" s="118" t="s">
        <v>42</v>
      </c>
      <c r="F684" s="125"/>
      <c r="G684" s="124" t="s">
        <v>2792</v>
      </c>
      <c r="H684" s="124" t="s">
        <v>2793</v>
      </c>
      <c r="I684" s="124" t="s">
        <v>2794</v>
      </c>
      <c r="J684" s="122" t="s">
        <v>74</v>
      </c>
      <c r="K684" s="123" t="s">
        <v>75</v>
      </c>
      <c r="L684" s="123" t="s">
        <v>76</v>
      </c>
      <c r="M684" s="125"/>
      <c r="N684" s="129" t="s">
        <v>2795</v>
      </c>
      <c r="O684" s="125"/>
      <c r="P684" s="125"/>
    </row>
    <row r="685">
      <c r="A685" s="143"/>
      <c r="B685" s="143"/>
      <c r="C685" s="147" t="s">
        <v>2796</v>
      </c>
      <c r="D685" s="125"/>
      <c r="E685" s="118" t="s">
        <v>42</v>
      </c>
      <c r="F685" s="125"/>
      <c r="G685" s="124" t="s">
        <v>2797</v>
      </c>
      <c r="H685" s="124" t="s">
        <v>2798</v>
      </c>
      <c r="I685" s="124" t="s">
        <v>2799</v>
      </c>
      <c r="J685" s="128" t="s">
        <v>714</v>
      </c>
      <c r="K685" s="123" t="s">
        <v>25</v>
      </c>
      <c r="L685" s="123" t="s">
        <v>25</v>
      </c>
      <c r="M685" s="118" t="s">
        <v>2709</v>
      </c>
      <c r="N685" s="129" t="s">
        <v>2800</v>
      </c>
      <c r="O685" s="125"/>
      <c r="P685" s="125"/>
    </row>
    <row r="686" hidden="1">
      <c r="A686" s="143"/>
      <c r="B686" s="143"/>
      <c r="C686" s="147" t="s">
        <v>2801</v>
      </c>
      <c r="D686" s="125"/>
      <c r="E686" s="88" t="s">
        <v>31</v>
      </c>
      <c r="F686" s="125"/>
      <c r="G686" s="124" t="s">
        <v>2802</v>
      </c>
      <c r="H686" s="124" t="s">
        <v>2803</v>
      </c>
      <c r="I686" s="124" t="s">
        <v>2804</v>
      </c>
      <c r="J686" s="122" t="s">
        <v>74</v>
      </c>
      <c r="K686" s="123" t="s">
        <v>75</v>
      </c>
      <c r="L686" s="123" t="s">
        <v>76</v>
      </c>
      <c r="M686" s="118" t="s">
        <v>2709</v>
      </c>
      <c r="N686" s="129" t="s">
        <v>2805</v>
      </c>
      <c r="O686" s="125"/>
      <c r="P686" s="125"/>
    </row>
    <row r="687" hidden="1">
      <c r="A687" s="143"/>
      <c r="B687" s="143"/>
      <c r="C687" s="147" t="s">
        <v>2806</v>
      </c>
      <c r="D687" s="125"/>
      <c r="E687" s="88" t="s">
        <v>31</v>
      </c>
      <c r="F687" s="125"/>
      <c r="G687" s="124" t="s">
        <v>2807</v>
      </c>
      <c r="H687" s="124" t="s">
        <v>2808</v>
      </c>
      <c r="I687" s="148" t="s">
        <v>2809</v>
      </c>
      <c r="J687" s="122" t="s">
        <v>74</v>
      </c>
      <c r="K687" s="123" t="s">
        <v>25</v>
      </c>
      <c r="L687" s="123" t="s">
        <v>25</v>
      </c>
      <c r="M687" s="124" t="s">
        <v>2810</v>
      </c>
      <c r="N687" s="129" t="s">
        <v>2811</v>
      </c>
      <c r="O687" s="125"/>
      <c r="P687" s="125"/>
    </row>
    <row r="688" hidden="1">
      <c r="A688" s="143"/>
      <c r="B688" s="143"/>
      <c r="C688" s="147" t="s">
        <v>2812</v>
      </c>
      <c r="D688" s="125"/>
      <c r="E688" s="118" t="s">
        <v>42</v>
      </c>
      <c r="F688" s="125"/>
      <c r="G688" s="124" t="s">
        <v>2813</v>
      </c>
      <c r="H688" s="124" t="s">
        <v>2814</v>
      </c>
      <c r="I688" s="124" t="s">
        <v>2815</v>
      </c>
      <c r="J688" s="122" t="s">
        <v>74</v>
      </c>
      <c r="K688" s="123" t="s">
        <v>25</v>
      </c>
      <c r="L688" s="123" t="s">
        <v>25</v>
      </c>
      <c r="M688" s="125"/>
      <c r="N688" s="129" t="s">
        <v>2816</v>
      </c>
      <c r="O688" s="125"/>
      <c r="P688" s="125"/>
    </row>
    <row r="689">
      <c r="A689" s="143"/>
      <c r="B689" s="143"/>
      <c r="C689" s="147" t="s">
        <v>2817</v>
      </c>
      <c r="D689" s="125"/>
      <c r="E689" s="118" t="s">
        <v>42</v>
      </c>
      <c r="F689" s="125"/>
      <c r="G689" s="124" t="s">
        <v>2818</v>
      </c>
      <c r="H689" s="124" t="s">
        <v>2819</v>
      </c>
      <c r="I689" s="124" t="s">
        <v>2820</v>
      </c>
      <c r="J689" s="128" t="s">
        <v>714</v>
      </c>
      <c r="K689" s="123" t="s">
        <v>25</v>
      </c>
      <c r="L689" s="123" t="s">
        <v>25</v>
      </c>
      <c r="M689" s="124" t="s">
        <v>2810</v>
      </c>
      <c r="N689" s="129" t="s">
        <v>2821</v>
      </c>
      <c r="O689" s="125"/>
      <c r="P689" s="125"/>
    </row>
    <row r="690" hidden="1">
      <c r="A690" s="143"/>
      <c r="B690" s="143"/>
      <c r="C690" s="147" t="s">
        <v>2822</v>
      </c>
      <c r="D690" s="125"/>
      <c r="E690" s="88" t="s">
        <v>360</v>
      </c>
      <c r="F690" s="125"/>
      <c r="G690" s="145" t="s">
        <v>2823</v>
      </c>
      <c r="H690" s="118" t="s">
        <v>2824</v>
      </c>
      <c r="I690" s="118" t="s">
        <v>2825</v>
      </c>
      <c r="J690" s="122" t="s">
        <v>74</v>
      </c>
      <c r="K690" s="123" t="s">
        <v>25</v>
      </c>
      <c r="L690" s="123" t="s">
        <v>25</v>
      </c>
      <c r="M690" s="124" t="s">
        <v>2083</v>
      </c>
      <c r="N690" s="129" t="s">
        <v>2826</v>
      </c>
      <c r="O690" s="125"/>
      <c r="P690" s="125"/>
    </row>
    <row r="691" hidden="1">
      <c r="A691" s="118" t="s">
        <v>2827</v>
      </c>
      <c r="B691" s="143"/>
      <c r="C691" s="118" t="s">
        <v>2828</v>
      </c>
      <c r="D691" s="149"/>
      <c r="E691" s="118" t="s">
        <v>43</v>
      </c>
      <c r="F691" s="120"/>
      <c r="G691" s="118" t="s">
        <v>2829</v>
      </c>
      <c r="H691" s="150" t="s">
        <v>2830</v>
      </c>
      <c r="I691" s="118" t="s">
        <v>2831</v>
      </c>
      <c r="J691" s="122" t="s">
        <v>74</v>
      </c>
      <c r="K691" s="123" t="s">
        <v>25</v>
      </c>
      <c r="L691" s="123" t="s">
        <v>25</v>
      </c>
      <c r="M691" s="120"/>
      <c r="N691" s="120"/>
      <c r="O691" s="120"/>
      <c r="P691" s="120"/>
    </row>
    <row r="692" hidden="1">
      <c r="A692" s="118" t="s">
        <v>2827</v>
      </c>
      <c r="B692" s="143"/>
      <c r="C692" s="118" t="s">
        <v>2832</v>
      </c>
      <c r="D692" s="126"/>
      <c r="E692" s="118" t="s">
        <v>43</v>
      </c>
      <c r="F692" s="120"/>
      <c r="G692" s="118" t="s">
        <v>2833</v>
      </c>
      <c r="H692" s="118" t="s">
        <v>2834</v>
      </c>
      <c r="I692" s="118" t="s">
        <v>2835</v>
      </c>
      <c r="J692" s="122" t="s">
        <v>74</v>
      </c>
      <c r="K692" s="123" t="s">
        <v>25</v>
      </c>
      <c r="L692" s="123" t="s">
        <v>25</v>
      </c>
      <c r="M692" s="118" t="s">
        <v>2836</v>
      </c>
      <c r="N692" s="120"/>
      <c r="O692" s="120"/>
      <c r="P692" s="120"/>
    </row>
    <row r="693" hidden="1">
      <c r="A693" s="118" t="s">
        <v>2827</v>
      </c>
      <c r="B693" s="143"/>
      <c r="C693" s="118" t="s">
        <v>2837</v>
      </c>
      <c r="D693" s="126"/>
      <c r="E693" s="118" t="s">
        <v>43</v>
      </c>
      <c r="F693" s="120"/>
      <c r="G693" s="118" t="s">
        <v>2838</v>
      </c>
      <c r="H693" s="118" t="s">
        <v>2839</v>
      </c>
      <c r="I693" s="118" t="s">
        <v>2840</v>
      </c>
      <c r="J693" s="122" t="s">
        <v>74</v>
      </c>
      <c r="K693" s="123" t="s">
        <v>25</v>
      </c>
      <c r="L693" s="123" t="s">
        <v>25</v>
      </c>
      <c r="M693" s="118" t="s">
        <v>2836</v>
      </c>
      <c r="N693" s="120"/>
      <c r="O693" s="120"/>
      <c r="P693" s="120"/>
    </row>
    <row r="694" hidden="1">
      <c r="A694" s="118" t="s">
        <v>2827</v>
      </c>
      <c r="B694" s="143"/>
      <c r="C694" s="118" t="s">
        <v>2841</v>
      </c>
      <c r="D694" s="126"/>
      <c r="E694" s="118" t="s">
        <v>43</v>
      </c>
      <c r="F694" s="120"/>
      <c r="G694" s="118" t="s">
        <v>2842</v>
      </c>
      <c r="H694" s="118" t="s">
        <v>2843</v>
      </c>
      <c r="I694" s="118" t="s">
        <v>2844</v>
      </c>
      <c r="J694" s="122" t="s">
        <v>74</v>
      </c>
      <c r="K694" s="123" t="s">
        <v>25</v>
      </c>
      <c r="L694" s="123" t="s">
        <v>25</v>
      </c>
      <c r="M694" s="118" t="s">
        <v>2836</v>
      </c>
      <c r="N694" s="120"/>
      <c r="O694" s="120"/>
      <c r="P694" s="120"/>
    </row>
    <row r="695" hidden="1">
      <c r="A695" s="118" t="s">
        <v>2827</v>
      </c>
      <c r="B695" s="143"/>
      <c r="C695" s="118" t="s">
        <v>2845</v>
      </c>
      <c r="D695" s="126"/>
      <c r="E695" s="118" t="s">
        <v>43</v>
      </c>
      <c r="F695" s="120"/>
      <c r="G695" s="118" t="s">
        <v>2846</v>
      </c>
      <c r="H695" s="118" t="s">
        <v>2847</v>
      </c>
      <c r="I695" s="118" t="s">
        <v>2848</v>
      </c>
      <c r="J695" s="122" t="s">
        <v>74</v>
      </c>
      <c r="K695" s="123" t="s">
        <v>25</v>
      </c>
      <c r="L695" s="123" t="s">
        <v>25</v>
      </c>
      <c r="M695" s="118" t="s">
        <v>2836</v>
      </c>
      <c r="N695" s="120"/>
      <c r="O695" s="120"/>
      <c r="P695" s="120"/>
    </row>
    <row r="696" hidden="1">
      <c r="A696" s="118" t="s">
        <v>2827</v>
      </c>
      <c r="B696" s="143"/>
      <c r="C696" s="118" t="s">
        <v>2849</v>
      </c>
      <c r="D696" s="126"/>
      <c r="E696" s="118" t="s">
        <v>43</v>
      </c>
      <c r="F696" s="120"/>
      <c r="G696" s="136" t="s">
        <v>2850</v>
      </c>
      <c r="H696" s="118" t="s">
        <v>2851</v>
      </c>
      <c r="I696" s="118" t="s">
        <v>2852</v>
      </c>
      <c r="J696" s="122" t="s">
        <v>74</v>
      </c>
      <c r="K696" s="123" t="s">
        <v>25</v>
      </c>
      <c r="L696" s="123" t="s">
        <v>25</v>
      </c>
      <c r="M696" s="118" t="s">
        <v>2836</v>
      </c>
      <c r="N696" s="120"/>
      <c r="O696" s="120"/>
      <c r="P696" s="120"/>
    </row>
    <row r="697" hidden="1">
      <c r="A697" s="118" t="s">
        <v>2827</v>
      </c>
      <c r="B697" s="143"/>
      <c r="C697" s="118" t="s">
        <v>2853</v>
      </c>
      <c r="D697" s="126"/>
      <c r="E697" s="118" t="s">
        <v>43</v>
      </c>
      <c r="F697" s="120"/>
      <c r="G697" s="118" t="s">
        <v>2854</v>
      </c>
      <c r="H697" s="118" t="s">
        <v>2855</v>
      </c>
      <c r="I697" s="118" t="s">
        <v>2856</v>
      </c>
      <c r="J697" s="122" t="s">
        <v>74</v>
      </c>
      <c r="K697" s="123" t="s">
        <v>25</v>
      </c>
      <c r="L697" s="123" t="s">
        <v>25</v>
      </c>
      <c r="M697" s="118" t="s">
        <v>2836</v>
      </c>
      <c r="N697" s="120"/>
      <c r="O697" s="120"/>
      <c r="P697" s="120"/>
    </row>
    <row r="698" hidden="1">
      <c r="A698" s="118" t="s">
        <v>2827</v>
      </c>
      <c r="B698" s="143"/>
      <c r="C698" s="118" t="s">
        <v>2857</v>
      </c>
      <c r="D698" s="126"/>
      <c r="E698" s="118" t="s">
        <v>43</v>
      </c>
      <c r="F698" s="120"/>
      <c r="G698" s="151" t="s">
        <v>2858</v>
      </c>
      <c r="H698" s="118" t="s">
        <v>2859</v>
      </c>
      <c r="I698" s="118" t="s">
        <v>2860</v>
      </c>
      <c r="J698" s="122" t="s">
        <v>74</v>
      </c>
      <c r="K698" s="123" t="s">
        <v>25</v>
      </c>
      <c r="L698" s="123" t="s">
        <v>25</v>
      </c>
      <c r="M698" s="118" t="s">
        <v>2836</v>
      </c>
      <c r="N698" s="120"/>
      <c r="O698" s="120"/>
      <c r="P698" s="120"/>
    </row>
    <row r="699" hidden="1">
      <c r="A699" s="120"/>
      <c r="B699" s="143"/>
      <c r="C699" s="118" t="s">
        <v>2861</v>
      </c>
      <c r="D699" s="126"/>
      <c r="E699" s="118" t="s">
        <v>43</v>
      </c>
      <c r="F699" s="120"/>
      <c r="G699" s="118" t="s">
        <v>2862</v>
      </c>
      <c r="H699" s="118" t="s">
        <v>2863</v>
      </c>
      <c r="I699" s="118" t="s">
        <v>2864</v>
      </c>
      <c r="J699" s="122" t="s">
        <v>74</v>
      </c>
      <c r="K699" s="123" t="s">
        <v>25</v>
      </c>
      <c r="L699" s="123" t="s">
        <v>25</v>
      </c>
      <c r="M699" s="118" t="s">
        <v>2836</v>
      </c>
      <c r="N699" s="120"/>
      <c r="O699" s="120"/>
      <c r="P699" s="120"/>
    </row>
    <row r="700" hidden="1">
      <c r="A700" s="118" t="s">
        <v>2827</v>
      </c>
      <c r="B700" s="143"/>
      <c r="C700" s="118" t="s">
        <v>2865</v>
      </c>
      <c r="D700" s="126"/>
      <c r="E700" s="118" t="s">
        <v>43</v>
      </c>
      <c r="F700" s="120"/>
      <c r="G700" s="118" t="s">
        <v>2866</v>
      </c>
      <c r="H700" s="118" t="s">
        <v>2867</v>
      </c>
      <c r="I700" s="118" t="s">
        <v>2856</v>
      </c>
      <c r="J700" s="122" t="s">
        <v>74</v>
      </c>
      <c r="K700" s="123" t="s">
        <v>25</v>
      </c>
      <c r="L700" s="123" t="s">
        <v>25</v>
      </c>
      <c r="M700" s="118" t="s">
        <v>2836</v>
      </c>
      <c r="N700" s="120"/>
      <c r="O700" s="120"/>
      <c r="P700" s="120"/>
    </row>
    <row r="701" hidden="1">
      <c r="A701" s="118" t="s">
        <v>2827</v>
      </c>
      <c r="B701" s="143"/>
      <c r="C701" s="118" t="s">
        <v>2868</v>
      </c>
      <c r="D701" s="126"/>
      <c r="E701" s="118" t="s">
        <v>43</v>
      </c>
      <c r="F701" s="120"/>
      <c r="G701" s="136" t="s">
        <v>2869</v>
      </c>
      <c r="H701" s="118" t="s">
        <v>2870</v>
      </c>
      <c r="I701" s="118" t="s">
        <v>2871</v>
      </c>
      <c r="J701" s="122" t="s">
        <v>74</v>
      </c>
      <c r="K701" s="123" t="s">
        <v>25</v>
      </c>
      <c r="L701" s="123" t="s">
        <v>25</v>
      </c>
      <c r="M701" s="118" t="s">
        <v>2836</v>
      </c>
      <c r="N701" s="120"/>
      <c r="O701" s="120"/>
      <c r="P701" s="120"/>
    </row>
    <row r="702" hidden="1">
      <c r="A702" s="118" t="s">
        <v>2827</v>
      </c>
      <c r="B702" s="143"/>
      <c r="C702" s="118" t="s">
        <v>2872</v>
      </c>
      <c r="D702" s="10"/>
      <c r="E702" s="118" t="s">
        <v>43</v>
      </c>
      <c r="F702" s="120"/>
      <c r="G702" s="118" t="s">
        <v>2873</v>
      </c>
      <c r="H702" s="118" t="s">
        <v>2874</v>
      </c>
      <c r="I702" s="118" t="s">
        <v>2875</v>
      </c>
      <c r="J702" s="122" t="s">
        <v>74</v>
      </c>
      <c r="K702" s="123" t="s">
        <v>25</v>
      </c>
      <c r="L702" s="123" t="s">
        <v>25</v>
      </c>
      <c r="M702" s="118" t="s">
        <v>2836</v>
      </c>
      <c r="N702" s="120"/>
      <c r="O702" s="120"/>
      <c r="P702" s="120"/>
    </row>
    <row r="703" hidden="1">
      <c r="A703" s="118" t="s">
        <v>2876</v>
      </c>
      <c r="B703" s="119" t="s">
        <v>2877</v>
      </c>
      <c r="C703" s="118" t="s">
        <v>2878</v>
      </c>
      <c r="D703" s="120"/>
      <c r="E703" s="118" t="s">
        <v>44</v>
      </c>
      <c r="F703" s="120"/>
      <c r="G703" s="118" t="s">
        <v>2879</v>
      </c>
      <c r="H703" s="118" t="s">
        <v>2880</v>
      </c>
      <c r="I703" s="118" t="s">
        <v>2881</v>
      </c>
      <c r="J703" s="122" t="s">
        <v>74</v>
      </c>
      <c r="K703" s="123" t="s">
        <v>25</v>
      </c>
      <c r="L703" s="123" t="s">
        <v>25</v>
      </c>
      <c r="M703" s="118" t="s">
        <v>2836</v>
      </c>
      <c r="N703" s="120"/>
      <c r="O703" s="120"/>
      <c r="P703" s="120"/>
    </row>
    <row r="704" hidden="1">
      <c r="A704" s="118" t="s">
        <v>2876</v>
      </c>
      <c r="B704" s="126"/>
      <c r="C704" s="118" t="s">
        <v>2882</v>
      </c>
      <c r="D704" s="120"/>
      <c r="E704" s="118" t="s">
        <v>44</v>
      </c>
      <c r="F704" s="120"/>
      <c r="G704" s="118" t="s">
        <v>2883</v>
      </c>
      <c r="H704" s="118" t="s">
        <v>2884</v>
      </c>
      <c r="I704" s="118" t="s">
        <v>2885</v>
      </c>
      <c r="J704" s="122" t="s">
        <v>74</v>
      </c>
      <c r="K704" s="123" t="s">
        <v>25</v>
      </c>
      <c r="L704" s="123" t="s">
        <v>25</v>
      </c>
      <c r="M704" s="118" t="s">
        <v>2886</v>
      </c>
      <c r="N704" s="120"/>
      <c r="O704" s="120"/>
      <c r="P704" s="120"/>
    </row>
    <row r="705" hidden="1">
      <c r="A705" s="118" t="s">
        <v>2876</v>
      </c>
      <c r="B705" s="126"/>
      <c r="C705" s="118" t="s">
        <v>2887</v>
      </c>
      <c r="D705" s="120"/>
      <c r="E705" s="118" t="s">
        <v>44</v>
      </c>
      <c r="F705" s="120"/>
      <c r="G705" s="118" t="s">
        <v>2888</v>
      </c>
      <c r="H705" s="118" t="s">
        <v>2884</v>
      </c>
      <c r="I705" s="118" t="s">
        <v>2889</v>
      </c>
      <c r="J705" s="122" t="s">
        <v>74</v>
      </c>
      <c r="K705" s="123" t="s">
        <v>25</v>
      </c>
      <c r="L705" s="123" t="s">
        <v>25</v>
      </c>
      <c r="M705" s="118" t="s">
        <v>2886</v>
      </c>
      <c r="N705" s="120"/>
      <c r="O705" s="120"/>
      <c r="P705" s="120"/>
    </row>
    <row r="706" hidden="1">
      <c r="A706" s="118" t="s">
        <v>2876</v>
      </c>
      <c r="B706" s="126"/>
      <c r="C706" s="118" t="s">
        <v>2890</v>
      </c>
      <c r="D706" s="120"/>
      <c r="E706" s="118" t="s">
        <v>44</v>
      </c>
      <c r="F706" s="120"/>
      <c r="G706" s="118" t="s">
        <v>2891</v>
      </c>
      <c r="H706" s="118" t="s">
        <v>2884</v>
      </c>
      <c r="I706" s="118" t="s">
        <v>2892</v>
      </c>
      <c r="J706" s="122" t="s">
        <v>74</v>
      </c>
      <c r="K706" s="123" t="s">
        <v>25</v>
      </c>
      <c r="L706" s="123" t="s">
        <v>25</v>
      </c>
      <c r="M706" s="118" t="s">
        <v>2886</v>
      </c>
      <c r="N706" s="120"/>
      <c r="O706" s="120"/>
      <c r="P706" s="120"/>
    </row>
    <row r="707" hidden="1">
      <c r="A707" s="118" t="s">
        <v>2876</v>
      </c>
      <c r="B707" s="126"/>
      <c r="C707" s="118" t="s">
        <v>2893</v>
      </c>
      <c r="D707" s="120"/>
      <c r="E707" s="118" t="s">
        <v>44</v>
      </c>
      <c r="F707" s="120"/>
      <c r="G707" s="118" t="s">
        <v>2894</v>
      </c>
      <c r="H707" s="118" t="s">
        <v>2895</v>
      </c>
      <c r="I707" s="118" t="s">
        <v>2896</v>
      </c>
      <c r="J707" s="122" t="s">
        <v>74</v>
      </c>
      <c r="K707" s="123" t="s">
        <v>25</v>
      </c>
      <c r="L707" s="123" t="s">
        <v>25</v>
      </c>
      <c r="M707" s="118" t="s">
        <v>2886</v>
      </c>
      <c r="N707" s="120"/>
      <c r="O707" s="120"/>
      <c r="P707" s="120"/>
    </row>
    <row r="708" hidden="1">
      <c r="A708" s="118" t="s">
        <v>2876</v>
      </c>
      <c r="B708" s="126"/>
      <c r="C708" s="118" t="s">
        <v>2897</v>
      </c>
      <c r="D708" s="120"/>
      <c r="E708" s="118" t="s">
        <v>44</v>
      </c>
      <c r="F708" s="120"/>
      <c r="G708" s="118" t="s">
        <v>2898</v>
      </c>
      <c r="H708" s="118" t="s">
        <v>2899</v>
      </c>
      <c r="I708" s="118" t="s">
        <v>2900</v>
      </c>
      <c r="J708" s="122" t="s">
        <v>74</v>
      </c>
      <c r="K708" s="123" t="s">
        <v>25</v>
      </c>
      <c r="L708" s="123" t="s">
        <v>25</v>
      </c>
      <c r="M708" s="118" t="s">
        <v>2886</v>
      </c>
      <c r="N708" s="120"/>
      <c r="O708" s="120"/>
      <c r="P708" s="120"/>
    </row>
    <row r="709" hidden="1">
      <c r="A709" s="118" t="s">
        <v>2876</v>
      </c>
      <c r="B709" s="126"/>
      <c r="C709" s="118" t="s">
        <v>2901</v>
      </c>
      <c r="D709" s="120"/>
      <c r="E709" s="118" t="s">
        <v>44</v>
      </c>
      <c r="F709" s="120"/>
      <c r="G709" s="118" t="s">
        <v>2902</v>
      </c>
      <c r="H709" s="118" t="s">
        <v>2903</v>
      </c>
      <c r="I709" s="118" t="s">
        <v>2904</v>
      </c>
      <c r="J709" s="122" t="s">
        <v>74</v>
      </c>
      <c r="K709" s="123" t="s">
        <v>25</v>
      </c>
      <c r="L709" s="123" t="s">
        <v>25</v>
      </c>
      <c r="M709" s="118" t="s">
        <v>2886</v>
      </c>
      <c r="N709" s="120"/>
      <c r="O709" s="120"/>
      <c r="P709" s="120"/>
    </row>
    <row r="710" hidden="1">
      <c r="A710" s="118" t="s">
        <v>2876</v>
      </c>
      <c r="B710" s="126"/>
      <c r="C710" s="118" t="s">
        <v>2905</v>
      </c>
      <c r="D710" s="120"/>
      <c r="E710" s="118" t="s">
        <v>44</v>
      </c>
      <c r="F710" s="120"/>
      <c r="G710" s="118" t="s">
        <v>2906</v>
      </c>
      <c r="H710" s="118" t="s">
        <v>2907</v>
      </c>
      <c r="I710" s="118" t="s">
        <v>2908</v>
      </c>
      <c r="J710" s="122" t="s">
        <v>74</v>
      </c>
      <c r="K710" s="123" t="s">
        <v>25</v>
      </c>
      <c r="L710" s="123" t="s">
        <v>25</v>
      </c>
      <c r="M710" s="118" t="s">
        <v>2886</v>
      </c>
      <c r="N710" s="120"/>
      <c r="O710" s="120"/>
      <c r="P710" s="120"/>
    </row>
    <row r="711" hidden="1">
      <c r="A711" s="118" t="s">
        <v>2876</v>
      </c>
      <c r="B711" s="126"/>
      <c r="C711" s="118" t="s">
        <v>2909</v>
      </c>
      <c r="D711" s="120"/>
      <c r="E711" s="118" t="s">
        <v>44</v>
      </c>
      <c r="F711" s="120"/>
      <c r="G711" s="118" t="s">
        <v>2910</v>
      </c>
      <c r="H711" s="118" t="s">
        <v>2911</v>
      </c>
      <c r="I711" s="118" t="s">
        <v>2912</v>
      </c>
      <c r="J711" s="122" t="s">
        <v>74</v>
      </c>
      <c r="K711" s="123" t="s">
        <v>25</v>
      </c>
      <c r="L711" s="123" t="s">
        <v>25</v>
      </c>
      <c r="M711" s="118" t="s">
        <v>2886</v>
      </c>
      <c r="N711" s="120"/>
      <c r="O711" s="120"/>
      <c r="P711" s="120"/>
    </row>
    <row r="712" hidden="1">
      <c r="A712" s="118" t="s">
        <v>2876</v>
      </c>
      <c r="B712" s="126"/>
      <c r="C712" s="118" t="s">
        <v>2913</v>
      </c>
      <c r="D712" s="120"/>
      <c r="E712" s="118" t="s">
        <v>44</v>
      </c>
      <c r="F712" s="120"/>
      <c r="G712" s="118" t="s">
        <v>2914</v>
      </c>
      <c r="H712" s="118" t="s">
        <v>2915</v>
      </c>
      <c r="I712" s="118" t="s">
        <v>2916</v>
      </c>
      <c r="J712" s="122" t="s">
        <v>74</v>
      </c>
      <c r="K712" s="123" t="s">
        <v>25</v>
      </c>
      <c r="L712" s="123" t="s">
        <v>25</v>
      </c>
      <c r="M712" s="118" t="s">
        <v>2886</v>
      </c>
      <c r="N712" s="120"/>
      <c r="O712" s="120"/>
      <c r="P712" s="120"/>
    </row>
    <row r="713" hidden="1">
      <c r="A713" s="118" t="s">
        <v>2876</v>
      </c>
      <c r="B713" s="126"/>
      <c r="C713" s="118" t="s">
        <v>2917</v>
      </c>
      <c r="D713" s="120"/>
      <c r="E713" s="118" t="s">
        <v>44</v>
      </c>
      <c r="F713" s="120"/>
      <c r="G713" s="118" t="s">
        <v>2918</v>
      </c>
      <c r="H713" s="118" t="s">
        <v>2919</v>
      </c>
      <c r="I713" s="118" t="s">
        <v>2920</v>
      </c>
      <c r="J713" s="122" t="s">
        <v>74</v>
      </c>
      <c r="K713" s="123" t="s">
        <v>25</v>
      </c>
      <c r="L713" s="123" t="s">
        <v>25</v>
      </c>
      <c r="M713" s="118" t="s">
        <v>2886</v>
      </c>
      <c r="N713" s="120"/>
      <c r="O713" s="120"/>
      <c r="P713" s="120"/>
    </row>
    <row r="714" hidden="1">
      <c r="A714" s="118" t="s">
        <v>2876</v>
      </c>
      <c r="B714" s="126"/>
      <c r="C714" s="118" t="s">
        <v>2921</v>
      </c>
      <c r="D714" s="120"/>
      <c r="E714" s="118" t="s">
        <v>44</v>
      </c>
      <c r="F714" s="120"/>
      <c r="G714" s="118" t="s">
        <v>2922</v>
      </c>
      <c r="H714" s="118" t="s">
        <v>2923</v>
      </c>
      <c r="I714" s="118" t="s">
        <v>2924</v>
      </c>
      <c r="J714" s="122" t="s">
        <v>74</v>
      </c>
      <c r="K714" s="123" t="s">
        <v>25</v>
      </c>
      <c r="L714" s="123" t="s">
        <v>25</v>
      </c>
      <c r="M714" s="118" t="s">
        <v>2886</v>
      </c>
      <c r="N714" s="120"/>
      <c r="O714" s="120"/>
      <c r="P714" s="120"/>
    </row>
    <row r="715" hidden="1">
      <c r="A715" s="118" t="s">
        <v>2876</v>
      </c>
      <c r="B715" s="10"/>
      <c r="C715" s="118" t="s">
        <v>2925</v>
      </c>
      <c r="D715" s="120"/>
      <c r="E715" s="118" t="s">
        <v>44</v>
      </c>
      <c r="F715" s="120"/>
      <c r="G715" s="118" t="s">
        <v>2926</v>
      </c>
      <c r="H715" s="118" t="s">
        <v>2927</v>
      </c>
      <c r="I715" s="120"/>
      <c r="J715" s="122" t="s">
        <v>74</v>
      </c>
      <c r="K715" s="123" t="s">
        <v>25</v>
      </c>
      <c r="L715" s="123" t="s">
        <v>25</v>
      </c>
      <c r="M715" s="118" t="s">
        <v>2886</v>
      </c>
      <c r="N715" s="120"/>
      <c r="O715" s="120"/>
      <c r="P715" s="120"/>
    </row>
    <row r="716" hidden="1">
      <c r="A716" s="118" t="s">
        <v>2928</v>
      </c>
      <c r="B716" s="120"/>
      <c r="C716" s="118" t="s">
        <v>2929</v>
      </c>
      <c r="D716" s="125"/>
      <c r="E716" s="88" t="s">
        <v>41</v>
      </c>
      <c r="F716" s="120"/>
      <c r="G716" s="118" t="s">
        <v>2930</v>
      </c>
      <c r="H716" s="118" t="s">
        <v>2931</v>
      </c>
      <c r="I716" s="118" t="s">
        <v>2932</v>
      </c>
      <c r="J716" s="122" t="s">
        <v>74</v>
      </c>
      <c r="K716" s="123" t="s">
        <v>25</v>
      </c>
      <c r="L716" s="123" t="s">
        <v>25</v>
      </c>
      <c r="M716" s="118" t="s">
        <v>2933</v>
      </c>
      <c r="N716" s="120"/>
      <c r="O716" s="120"/>
      <c r="P716" s="120"/>
    </row>
    <row r="717" hidden="1">
      <c r="A717" s="118" t="s">
        <v>2928</v>
      </c>
      <c r="B717" s="120"/>
      <c r="C717" s="118" t="s">
        <v>2934</v>
      </c>
      <c r="D717" s="120"/>
      <c r="E717" s="88" t="s">
        <v>41</v>
      </c>
      <c r="F717" s="120"/>
      <c r="G717" s="118" t="s">
        <v>2935</v>
      </c>
      <c r="H717" s="118" t="s">
        <v>2931</v>
      </c>
      <c r="I717" s="118" t="s">
        <v>2936</v>
      </c>
      <c r="J717" s="122" t="s">
        <v>74</v>
      </c>
      <c r="K717" s="123" t="s">
        <v>25</v>
      </c>
      <c r="L717" s="123" t="s">
        <v>25</v>
      </c>
      <c r="M717" s="118" t="s">
        <v>2933</v>
      </c>
      <c r="N717" s="120"/>
      <c r="O717" s="120"/>
      <c r="P717" s="120"/>
    </row>
    <row r="718" hidden="1">
      <c r="A718" s="118" t="s">
        <v>2928</v>
      </c>
      <c r="B718" s="120"/>
      <c r="C718" s="118" t="s">
        <v>2937</v>
      </c>
      <c r="D718" s="120"/>
      <c r="E718" s="88" t="s">
        <v>41</v>
      </c>
      <c r="F718" s="120"/>
      <c r="G718" s="118" t="s">
        <v>2938</v>
      </c>
      <c r="H718" s="118" t="s">
        <v>2931</v>
      </c>
      <c r="I718" s="152" t="s">
        <v>2939</v>
      </c>
      <c r="J718" s="122" t="s">
        <v>74</v>
      </c>
      <c r="K718" s="123" t="s">
        <v>25</v>
      </c>
      <c r="L718" s="123" t="s">
        <v>25</v>
      </c>
      <c r="M718" s="118" t="s">
        <v>2933</v>
      </c>
      <c r="N718" s="120"/>
      <c r="O718" s="120"/>
      <c r="P718" s="120"/>
    </row>
    <row r="719" hidden="1">
      <c r="A719" s="118" t="s">
        <v>2928</v>
      </c>
      <c r="B719" s="120"/>
      <c r="C719" s="118" t="s">
        <v>2940</v>
      </c>
      <c r="D719" s="120"/>
      <c r="E719" s="88" t="s">
        <v>41</v>
      </c>
      <c r="F719" s="120"/>
      <c r="G719" s="118" t="s">
        <v>2941</v>
      </c>
      <c r="H719" s="118" t="s">
        <v>2931</v>
      </c>
      <c r="I719" s="118" t="s">
        <v>2942</v>
      </c>
      <c r="J719" s="122" t="s">
        <v>74</v>
      </c>
      <c r="K719" s="123" t="s">
        <v>25</v>
      </c>
      <c r="L719" s="123" t="s">
        <v>25</v>
      </c>
      <c r="M719" s="118" t="s">
        <v>2933</v>
      </c>
      <c r="N719" s="120"/>
      <c r="O719" s="120"/>
      <c r="P719" s="120"/>
    </row>
    <row r="720" hidden="1">
      <c r="A720" s="118" t="s">
        <v>2928</v>
      </c>
      <c r="B720" s="120"/>
      <c r="C720" s="118" t="s">
        <v>2943</v>
      </c>
      <c r="D720" s="120"/>
      <c r="E720" s="88" t="s">
        <v>41</v>
      </c>
      <c r="F720" s="120"/>
      <c r="G720" s="118" t="s">
        <v>2944</v>
      </c>
      <c r="H720" s="118" t="s">
        <v>2931</v>
      </c>
      <c r="I720" s="118" t="s">
        <v>2945</v>
      </c>
      <c r="J720" s="122" t="s">
        <v>74</v>
      </c>
      <c r="K720" s="123" t="s">
        <v>25</v>
      </c>
      <c r="L720" s="123" t="s">
        <v>25</v>
      </c>
      <c r="M720" s="118" t="s">
        <v>2933</v>
      </c>
      <c r="N720" s="120"/>
      <c r="O720" s="120"/>
      <c r="P720" s="120"/>
    </row>
    <row r="721" hidden="1">
      <c r="A721" s="118" t="s">
        <v>2928</v>
      </c>
      <c r="B721" s="120"/>
      <c r="C721" s="118" t="s">
        <v>2946</v>
      </c>
      <c r="D721" s="120"/>
      <c r="E721" s="88" t="s">
        <v>41</v>
      </c>
      <c r="F721" s="131"/>
      <c r="G721" s="130" t="s">
        <v>2947</v>
      </c>
      <c r="H721" s="118" t="s">
        <v>2931</v>
      </c>
      <c r="I721" s="118" t="s">
        <v>2948</v>
      </c>
      <c r="J721" s="122" t="s">
        <v>74</v>
      </c>
      <c r="K721" s="123" t="s">
        <v>25</v>
      </c>
      <c r="L721" s="123" t="s">
        <v>25</v>
      </c>
      <c r="M721" s="118" t="s">
        <v>2933</v>
      </c>
      <c r="N721" s="120"/>
      <c r="O721" s="120"/>
      <c r="P721" s="120"/>
    </row>
    <row r="722" hidden="1">
      <c r="A722" s="118" t="s">
        <v>2928</v>
      </c>
      <c r="B722" s="120"/>
      <c r="C722" s="118" t="s">
        <v>2949</v>
      </c>
      <c r="D722" s="120"/>
      <c r="E722" s="88" t="s">
        <v>41</v>
      </c>
      <c r="F722" s="120"/>
      <c r="G722" s="118" t="s">
        <v>2950</v>
      </c>
      <c r="H722" s="118" t="s">
        <v>2931</v>
      </c>
      <c r="I722" s="118" t="s">
        <v>2951</v>
      </c>
      <c r="J722" s="122" t="s">
        <v>74</v>
      </c>
      <c r="K722" s="123" t="s">
        <v>25</v>
      </c>
      <c r="L722" s="123" t="s">
        <v>25</v>
      </c>
      <c r="M722" s="118" t="s">
        <v>2933</v>
      </c>
      <c r="N722" s="120"/>
      <c r="O722" s="120"/>
      <c r="P722" s="120"/>
    </row>
    <row r="723" hidden="1">
      <c r="A723" s="118" t="s">
        <v>2928</v>
      </c>
      <c r="B723" s="120"/>
      <c r="C723" s="118" t="s">
        <v>2952</v>
      </c>
      <c r="D723" s="120"/>
      <c r="E723" s="88" t="s">
        <v>41</v>
      </c>
      <c r="F723" s="120"/>
      <c r="G723" s="118" t="s">
        <v>2953</v>
      </c>
      <c r="H723" s="118" t="s">
        <v>2931</v>
      </c>
      <c r="I723" s="118" t="s">
        <v>2954</v>
      </c>
      <c r="J723" s="122" t="s">
        <v>74</v>
      </c>
      <c r="K723" s="123" t="s">
        <v>25</v>
      </c>
      <c r="L723" s="123" t="s">
        <v>25</v>
      </c>
      <c r="M723" s="118" t="s">
        <v>2933</v>
      </c>
      <c r="N723" s="120"/>
      <c r="O723" s="120"/>
      <c r="P723" s="120"/>
    </row>
    <row r="724" hidden="1">
      <c r="A724" s="118" t="s">
        <v>2928</v>
      </c>
      <c r="B724" s="120"/>
      <c r="C724" s="118" t="s">
        <v>2955</v>
      </c>
      <c r="D724" s="120"/>
      <c r="E724" s="88" t="s">
        <v>41</v>
      </c>
      <c r="F724" s="120"/>
      <c r="G724" s="118" t="s">
        <v>2956</v>
      </c>
      <c r="H724" s="118" t="s">
        <v>2931</v>
      </c>
      <c r="I724" s="118" t="s">
        <v>2957</v>
      </c>
      <c r="J724" s="122" t="s">
        <v>74</v>
      </c>
      <c r="K724" s="123" t="s">
        <v>25</v>
      </c>
      <c r="L724" s="123" t="s">
        <v>25</v>
      </c>
      <c r="M724" s="118" t="s">
        <v>2933</v>
      </c>
      <c r="N724" s="120"/>
      <c r="O724" s="120"/>
      <c r="P724" s="120"/>
    </row>
    <row r="725" hidden="1">
      <c r="A725" s="118" t="s">
        <v>2928</v>
      </c>
      <c r="B725" s="120"/>
      <c r="C725" s="118" t="s">
        <v>2958</v>
      </c>
      <c r="D725" s="120"/>
      <c r="E725" s="88" t="s">
        <v>41</v>
      </c>
      <c r="F725" s="120"/>
      <c r="G725" s="118" t="s">
        <v>2959</v>
      </c>
      <c r="H725" s="118" t="s">
        <v>2931</v>
      </c>
      <c r="I725" s="118" t="s">
        <v>2960</v>
      </c>
      <c r="J725" s="122" t="s">
        <v>74</v>
      </c>
      <c r="K725" s="123" t="s">
        <v>25</v>
      </c>
      <c r="L725" s="123" t="s">
        <v>25</v>
      </c>
      <c r="M725" s="118" t="s">
        <v>2933</v>
      </c>
      <c r="N725" s="120"/>
      <c r="O725" s="120"/>
      <c r="P725" s="120"/>
    </row>
    <row r="726" hidden="1">
      <c r="A726" s="118" t="s">
        <v>2928</v>
      </c>
      <c r="B726" s="120"/>
      <c r="C726" s="118" t="s">
        <v>2961</v>
      </c>
      <c r="D726" s="120"/>
      <c r="E726" s="88" t="s">
        <v>41</v>
      </c>
      <c r="F726" s="120"/>
      <c r="G726" s="118" t="s">
        <v>2962</v>
      </c>
      <c r="H726" s="118" t="s">
        <v>2931</v>
      </c>
      <c r="I726" s="130" t="s">
        <v>2963</v>
      </c>
      <c r="J726" s="122" t="s">
        <v>74</v>
      </c>
      <c r="K726" s="123" t="s">
        <v>25</v>
      </c>
      <c r="L726" s="123" t="s">
        <v>25</v>
      </c>
      <c r="M726" s="118" t="s">
        <v>2933</v>
      </c>
      <c r="N726" s="120"/>
      <c r="O726" s="120"/>
      <c r="P726" s="120"/>
    </row>
    <row r="727" hidden="1">
      <c r="A727" s="118" t="s">
        <v>2928</v>
      </c>
      <c r="B727" s="120"/>
      <c r="C727" s="118" t="s">
        <v>2964</v>
      </c>
      <c r="D727" s="120"/>
      <c r="E727" s="88" t="s">
        <v>41</v>
      </c>
      <c r="F727" s="120"/>
      <c r="G727" s="118" t="s">
        <v>2965</v>
      </c>
      <c r="H727" s="118" t="s">
        <v>2931</v>
      </c>
      <c r="I727" s="118" t="s">
        <v>2966</v>
      </c>
      <c r="J727" s="122" t="s">
        <v>74</v>
      </c>
      <c r="K727" s="123" t="s">
        <v>25</v>
      </c>
      <c r="L727" s="123" t="s">
        <v>25</v>
      </c>
      <c r="M727" s="118" t="s">
        <v>2933</v>
      </c>
      <c r="N727" s="120"/>
      <c r="O727" s="120"/>
      <c r="P727" s="120"/>
    </row>
    <row r="728" hidden="1">
      <c r="A728" s="118" t="s">
        <v>2967</v>
      </c>
      <c r="B728" s="119" t="s">
        <v>2968</v>
      </c>
      <c r="C728" s="118" t="s">
        <v>2969</v>
      </c>
      <c r="D728" s="120"/>
      <c r="E728" s="88" t="s">
        <v>41</v>
      </c>
      <c r="F728" s="120"/>
      <c r="G728" s="118" t="s">
        <v>2970</v>
      </c>
      <c r="H728" s="118" t="s">
        <v>2971</v>
      </c>
      <c r="I728" s="118" t="s">
        <v>2972</v>
      </c>
      <c r="J728" s="122" t="s">
        <v>74</v>
      </c>
      <c r="K728" s="123" t="s">
        <v>25</v>
      </c>
      <c r="L728" s="123" t="s">
        <v>25</v>
      </c>
      <c r="M728" s="118" t="s">
        <v>2933</v>
      </c>
      <c r="N728" s="120"/>
      <c r="O728" s="120"/>
      <c r="P728" s="120"/>
    </row>
    <row r="729" hidden="1">
      <c r="A729" s="118" t="s">
        <v>2967</v>
      </c>
      <c r="B729" s="126"/>
      <c r="C729" s="118" t="s">
        <v>2973</v>
      </c>
      <c r="D729" s="120"/>
      <c r="E729" s="88" t="s">
        <v>41</v>
      </c>
      <c r="F729" s="120"/>
      <c r="G729" s="118" t="s">
        <v>2974</v>
      </c>
      <c r="H729" s="118" t="s">
        <v>2975</v>
      </c>
      <c r="I729" s="118" t="s">
        <v>2932</v>
      </c>
      <c r="J729" s="122" t="s">
        <v>74</v>
      </c>
      <c r="K729" s="123" t="s">
        <v>25</v>
      </c>
      <c r="L729" s="123" t="s">
        <v>25</v>
      </c>
      <c r="M729" s="118" t="s">
        <v>2933</v>
      </c>
      <c r="N729" s="120"/>
      <c r="O729" s="120"/>
      <c r="P729" s="120"/>
    </row>
    <row r="730" hidden="1">
      <c r="A730" s="118" t="s">
        <v>2967</v>
      </c>
      <c r="B730" s="126"/>
      <c r="C730" s="118" t="s">
        <v>2976</v>
      </c>
      <c r="D730" s="120"/>
      <c r="E730" s="88" t="s">
        <v>41</v>
      </c>
      <c r="F730" s="120"/>
      <c r="G730" s="118" t="s">
        <v>2977</v>
      </c>
      <c r="H730" s="118" t="s">
        <v>2978</v>
      </c>
      <c r="I730" s="118" t="s">
        <v>2979</v>
      </c>
      <c r="J730" s="122" t="s">
        <v>74</v>
      </c>
      <c r="K730" s="123" t="s">
        <v>25</v>
      </c>
      <c r="L730" s="123" t="s">
        <v>25</v>
      </c>
      <c r="M730" s="118" t="s">
        <v>2933</v>
      </c>
      <c r="N730" s="120"/>
      <c r="O730" s="120"/>
      <c r="P730" s="120"/>
    </row>
    <row r="731" hidden="1">
      <c r="A731" s="118" t="s">
        <v>2967</v>
      </c>
      <c r="B731" s="126"/>
      <c r="C731" s="118" t="s">
        <v>2980</v>
      </c>
      <c r="D731" s="120"/>
      <c r="E731" s="88" t="s">
        <v>41</v>
      </c>
      <c r="F731" s="131"/>
      <c r="G731" s="130" t="s">
        <v>2981</v>
      </c>
      <c r="H731" s="130" t="s">
        <v>2982</v>
      </c>
      <c r="I731" s="130" t="s">
        <v>2983</v>
      </c>
      <c r="J731" s="122" t="s">
        <v>74</v>
      </c>
      <c r="K731" s="123" t="s">
        <v>25</v>
      </c>
      <c r="L731" s="123" t="s">
        <v>25</v>
      </c>
      <c r="M731" s="118" t="s">
        <v>2933</v>
      </c>
      <c r="N731" s="120"/>
      <c r="O731" s="120"/>
      <c r="P731" s="120"/>
    </row>
    <row r="732" hidden="1">
      <c r="A732" s="118" t="s">
        <v>2967</v>
      </c>
      <c r="B732" s="126"/>
      <c r="C732" s="118" t="s">
        <v>2984</v>
      </c>
      <c r="D732" s="120"/>
      <c r="E732" s="88" t="s">
        <v>41</v>
      </c>
      <c r="F732" s="131"/>
      <c r="G732" s="130" t="s">
        <v>2985</v>
      </c>
      <c r="H732" s="130" t="s">
        <v>2986</v>
      </c>
      <c r="I732" s="130" t="s">
        <v>2987</v>
      </c>
      <c r="J732" s="122" t="s">
        <v>74</v>
      </c>
      <c r="K732" s="123" t="s">
        <v>25</v>
      </c>
      <c r="L732" s="123" t="s">
        <v>25</v>
      </c>
      <c r="M732" s="118" t="s">
        <v>2933</v>
      </c>
      <c r="N732" s="120"/>
      <c r="O732" s="120"/>
      <c r="P732" s="120"/>
    </row>
    <row r="733" hidden="1">
      <c r="A733" s="118" t="s">
        <v>2967</v>
      </c>
      <c r="B733" s="126"/>
      <c r="C733" s="118" t="s">
        <v>2988</v>
      </c>
      <c r="D733" s="120"/>
      <c r="E733" s="88" t="s">
        <v>41</v>
      </c>
      <c r="F733" s="120"/>
      <c r="G733" s="118" t="s">
        <v>2989</v>
      </c>
      <c r="H733" s="118" t="s">
        <v>2990</v>
      </c>
      <c r="I733" s="118" t="s">
        <v>2991</v>
      </c>
      <c r="J733" s="122" t="s">
        <v>74</v>
      </c>
      <c r="K733" s="123" t="s">
        <v>25</v>
      </c>
      <c r="L733" s="123" t="s">
        <v>25</v>
      </c>
      <c r="M733" s="118" t="s">
        <v>2933</v>
      </c>
      <c r="N733" s="120"/>
      <c r="O733" s="120"/>
      <c r="P733" s="120"/>
    </row>
    <row r="734" hidden="1">
      <c r="A734" s="118" t="s">
        <v>2967</v>
      </c>
      <c r="B734" s="126"/>
      <c r="C734" s="118" t="s">
        <v>2992</v>
      </c>
      <c r="D734" s="120"/>
      <c r="E734" s="88" t="s">
        <v>41</v>
      </c>
      <c r="F734" s="120"/>
      <c r="G734" s="118" t="s">
        <v>2993</v>
      </c>
      <c r="H734" s="118" t="s">
        <v>2994</v>
      </c>
      <c r="I734" s="118" t="s">
        <v>2960</v>
      </c>
      <c r="J734" s="122" t="s">
        <v>74</v>
      </c>
      <c r="K734" s="123" t="s">
        <v>25</v>
      </c>
      <c r="L734" s="123" t="s">
        <v>25</v>
      </c>
      <c r="M734" s="118" t="s">
        <v>2933</v>
      </c>
      <c r="N734" s="120"/>
      <c r="O734" s="120"/>
      <c r="P734" s="120"/>
    </row>
    <row r="735" hidden="1">
      <c r="A735" s="118" t="s">
        <v>2967</v>
      </c>
      <c r="B735" s="126"/>
      <c r="C735" s="118" t="s">
        <v>2995</v>
      </c>
      <c r="D735" s="120"/>
      <c r="E735" s="118" t="s">
        <v>2996</v>
      </c>
      <c r="F735" s="131"/>
      <c r="G735" s="130" t="s">
        <v>2997</v>
      </c>
      <c r="H735" s="130" t="s">
        <v>2998</v>
      </c>
      <c r="I735" s="130" t="s">
        <v>2999</v>
      </c>
      <c r="J735" s="122" t="s">
        <v>74</v>
      </c>
      <c r="K735" s="123" t="s">
        <v>25</v>
      </c>
      <c r="L735" s="123" t="s">
        <v>25</v>
      </c>
      <c r="M735" s="118" t="s">
        <v>2933</v>
      </c>
      <c r="N735" s="120"/>
      <c r="O735" s="120"/>
      <c r="P735" s="120"/>
    </row>
    <row r="736" hidden="1">
      <c r="A736" s="118" t="s">
        <v>2967</v>
      </c>
      <c r="B736" s="126"/>
      <c r="C736" s="118" t="s">
        <v>3000</v>
      </c>
      <c r="D736" s="120"/>
      <c r="E736" s="118" t="s">
        <v>2996</v>
      </c>
      <c r="F736" s="131"/>
      <c r="G736" s="130" t="s">
        <v>3001</v>
      </c>
      <c r="H736" s="130" t="s">
        <v>3002</v>
      </c>
      <c r="I736" s="130" t="s">
        <v>3003</v>
      </c>
      <c r="J736" s="122" t="s">
        <v>74</v>
      </c>
      <c r="K736" s="123" t="s">
        <v>25</v>
      </c>
      <c r="L736" s="123" t="s">
        <v>25</v>
      </c>
      <c r="M736" s="118" t="s">
        <v>2933</v>
      </c>
      <c r="N736" s="120"/>
      <c r="O736" s="120"/>
      <c r="P736" s="120"/>
    </row>
    <row r="737" hidden="1">
      <c r="A737" s="118" t="s">
        <v>2967</v>
      </c>
      <c r="B737" s="126"/>
      <c r="C737" s="118" t="s">
        <v>3004</v>
      </c>
      <c r="D737" s="120"/>
      <c r="E737" s="118" t="s">
        <v>2996</v>
      </c>
      <c r="F737" s="131"/>
      <c r="G737" s="130" t="s">
        <v>3005</v>
      </c>
      <c r="H737" s="130" t="s">
        <v>3006</v>
      </c>
      <c r="I737" s="130" t="s">
        <v>3007</v>
      </c>
      <c r="J737" s="122" t="s">
        <v>74</v>
      </c>
      <c r="K737" s="123" t="s">
        <v>25</v>
      </c>
      <c r="L737" s="123" t="s">
        <v>25</v>
      </c>
      <c r="M737" s="118" t="s">
        <v>2933</v>
      </c>
      <c r="N737" s="120"/>
      <c r="O737" s="120"/>
      <c r="P737" s="120"/>
    </row>
    <row r="738" hidden="1">
      <c r="A738" s="118" t="s">
        <v>2967</v>
      </c>
      <c r="B738" s="126"/>
      <c r="C738" s="118" t="s">
        <v>3008</v>
      </c>
      <c r="D738" s="120"/>
      <c r="E738" s="118" t="s">
        <v>2996</v>
      </c>
      <c r="F738" s="120"/>
      <c r="G738" s="118" t="s">
        <v>3009</v>
      </c>
      <c r="H738" s="118" t="s">
        <v>3010</v>
      </c>
      <c r="I738" s="118" t="s">
        <v>3011</v>
      </c>
      <c r="J738" s="122" t="s">
        <v>74</v>
      </c>
      <c r="K738" s="123" t="s">
        <v>25</v>
      </c>
      <c r="L738" s="123" t="s">
        <v>25</v>
      </c>
      <c r="M738" s="118" t="s">
        <v>2933</v>
      </c>
      <c r="N738" s="120"/>
      <c r="O738" s="120"/>
      <c r="P738" s="120"/>
    </row>
    <row r="739" hidden="1">
      <c r="A739" s="118" t="s">
        <v>2967</v>
      </c>
      <c r="B739" s="126"/>
      <c r="C739" s="118" t="s">
        <v>3012</v>
      </c>
      <c r="D739" s="120"/>
      <c r="E739" s="118" t="s">
        <v>2996</v>
      </c>
      <c r="F739" s="131"/>
      <c r="G739" s="130" t="s">
        <v>3013</v>
      </c>
      <c r="H739" s="130" t="s">
        <v>3014</v>
      </c>
      <c r="I739" s="118" t="s">
        <v>3015</v>
      </c>
      <c r="J739" s="122" t="s">
        <v>74</v>
      </c>
      <c r="K739" s="123" t="s">
        <v>25</v>
      </c>
      <c r="L739" s="123" t="s">
        <v>25</v>
      </c>
      <c r="M739" s="118" t="s">
        <v>2933</v>
      </c>
      <c r="N739" s="120"/>
      <c r="O739" s="120"/>
      <c r="P739" s="120"/>
    </row>
    <row r="740" hidden="1">
      <c r="A740" s="118" t="s">
        <v>2967</v>
      </c>
      <c r="B740" s="126"/>
      <c r="C740" s="118" t="s">
        <v>3016</v>
      </c>
      <c r="D740" s="120"/>
      <c r="E740" s="118" t="s">
        <v>2996</v>
      </c>
      <c r="F740" s="131"/>
      <c r="G740" s="130" t="s">
        <v>3017</v>
      </c>
      <c r="H740" s="130" t="s">
        <v>3018</v>
      </c>
      <c r="I740" s="118" t="s">
        <v>3019</v>
      </c>
      <c r="J740" s="122" t="s">
        <v>74</v>
      </c>
      <c r="K740" s="123" t="s">
        <v>25</v>
      </c>
      <c r="L740" s="123" t="s">
        <v>25</v>
      </c>
      <c r="M740" s="118" t="s">
        <v>2933</v>
      </c>
      <c r="N740" s="120"/>
      <c r="O740" s="120"/>
      <c r="P740" s="120"/>
    </row>
    <row r="741" hidden="1">
      <c r="A741" s="118" t="s">
        <v>2967</v>
      </c>
      <c r="B741" s="126"/>
      <c r="C741" s="118" t="s">
        <v>3020</v>
      </c>
      <c r="D741" s="120"/>
      <c r="E741" s="118" t="s">
        <v>2996</v>
      </c>
      <c r="F741" s="120"/>
      <c r="G741" s="118" t="s">
        <v>3021</v>
      </c>
      <c r="H741" s="118" t="s">
        <v>3022</v>
      </c>
      <c r="I741" s="118" t="s">
        <v>3023</v>
      </c>
      <c r="J741" s="122" t="s">
        <v>74</v>
      </c>
      <c r="K741" s="123" t="s">
        <v>25</v>
      </c>
      <c r="L741" s="123" t="s">
        <v>25</v>
      </c>
      <c r="M741" s="118" t="s">
        <v>2933</v>
      </c>
      <c r="N741" s="120"/>
      <c r="O741" s="120"/>
      <c r="P741" s="120"/>
    </row>
    <row r="742" hidden="1">
      <c r="A742" s="118" t="s">
        <v>2967</v>
      </c>
      <c r="B742" s="126"/>
      <c r="C742" s="118" t="s">
        <v>3024</v>
      </c>
      <c r="D742" s="120"/>
      <c r="E742" s="118" t="s">
        <v>2996</v>
      </c>
      <c r="F742" s="120"/>
      <c r="G742" s="118" t="s">
        <v>3025</v>
      </c>
      <c r="H742" s="118" t="s">
        <v>3026</v>
      </c>
      <c r="I742" s="118" t="s">
        <v>3027</v>
      </c>
      <c r="J742" s="122" t="s">
        <v>74</v>
      </c>
      <c r="K742" s="123" t="s">
        <v>25</v>
      </c>
      <c r="L742" s="123" t="s">
        <v>25</v>
      </c>
      <c r="M742" s="118" t="s">
        <v>2933</v>
      </c>
      <c r="N742" s="120"/>
      <c r="O742" s="120"/>
      <c r="P742" s="120"/>
    </row>
    <row r="743" hidden="1">
      <c r="A743" s="118" t="s">
        <v>2967</v>
      </c>
      <c r="B743" s="126"/>
      <c r="C743" s="118" t="s">
        <v>3028</v>
      </c>
      <c r="D743" s="120"/>
      <c r="E743" s="118" t="s">
        <v>2996</v>
      </c>
      <c r="F743" s="120"/>
      <c r="G743" s="118" t="s">
        <v>3029</v>
      </c>
      <c r="H743" s="118" t="s">
        <v>3030</v>
      </c>
      <c r="I743" s="118" t="s">
        <v>3031</v>
      </c>
      <c r="J743" s="122" t="s">
        <v>74</v>
      </c>
      <c r="K743" s="123" t="s">
        <v>25</v>
      </c>
      <c r="L743" s="123" t="s">
        <v>25</v>
      </c>
      <c r="M743" s="118" t="s">
        <v>2933</v>
      </c>
      <c r="N743" s="120"/>
      <c r="O743" s="120"/>
      <c r="P743" s="120"/>
    </row>
    <row r="744" hidden="1">
      <c r="A744" s="118" t="s">
        <v>2967</v>
      </c>
      <c r="B744" s="126"/>
      <c r="C744" s="118" t="s">
        <v>3032</v>
      </c>
      <c r="D744" s="120"/>
      <c r="E744" s="118" t="s">
        <v>2996</v>
      </c>
      <c r="F744" s="120"/>
      <c r="G744" s="118" t="s">
        <v>3033</v>
      </c>
      <c r="H744" s="118" t="s">
        <v>3034</v>
      </c>
      <c r="I744" s="118" t="s">
        <v>3035</v>
      </c>
      <c r="J744" s="122" t="s">
        <v>74</v>
      </c>
      <c r="K744" s="123" t="s">
        <v>25</v>
      </c>
      <c r="L744" s="123" t="s">
        <v>25</v>
      </c>
      <c r="M744" s="118" t="s">
        <v>2933</v>
      </c>
      <c r="N744" s="120"/>
      <c r="O744" s="120"/>
      <c r="P744" s="120"/>
    </row>
    <row r="745" hidden="1">
      <c r="A745" s="118" t="s">
        <v>2967</v>
      </c>
      <c r="B745" s="10"/>
      <c r="C745" s="118" t="s">
        <v>3036</v>
      </c>
      <c r="D745" s="120"/>
      <c r="E745" s="88" t="s">
        <v>41</v>
      </c>
      <c r="F745" s="120"/>
      <c r="G745" s="118" t="s">
        <v>3037</v>
      </c>
      <c r="H745" s="118" t="s">
        <v>3038</v>
      </c>
      <c r="I745" s="118" t="s">
        <v>3039</v>
      </c>
      <c r="J745" s="122" t="s">
        <v>74</v>
      </c>
      <c r="K745" s="123" t="s">
        <v>25</v>
      </c>
      <c r="L745" s="123" t="s">
        <v>25</v>
      </c>
      <c r="M745" s="118" t="s">
        <v>2933</v>
      </c>
      <c r="N745" s="120"/>
      <c r="O745" s="120"/>
      <c r="P745" s="120"/>
    </row>
    <row r="746" hidden="1">
      <c r="A746" s="118" t="s">
        <v>3040</v>
      </c>
      <c r="B746" s="127" t="s">
        <v>3041</v>
      </c>
      <c r="C746" s="118" t="s">
        <v>3042</v>
      </c>
      <c r="D746" s="120"/>
      <c r="E746" s="118" t="s">
        <v>45</v>
      </c>
      <c r="F746" s="120"/>
      <c r="G746" s="130" t="s">
        <v>3043</v>
      </c>
      <c r="H746" s="118" t="s">
        <v>3044</v>
      </c>
      <c r="I746" s="118" t="s">
        <v>3045</v>
      </c>
      <c r="J746" s="122" t="s">
        <v>74</v>
      </c>
      <c r="K746" s="123" t="s">
        <v>25</v>
      </c>
      <c r="L746" s="123" t="s">
        <v>25</v>
      </c>
      <c r="M746" s="118" t="s">
        <v>2933</v>
      </c>
      <c r="N746" s="120"/>
      <c r="O746" s="120"/>
      <c r="P746" s="120"/>
    </row>
    <row r="747" hidden="1">
      <c r="A747" s="118" t="s">
        <v>3040</v>
      </c>
      <c r="B747" s="126"/>
      <c r="C747" s="118" t="s">
        <v>3046</v>
      </c>
      <c r="D747" s="120"/>
      <c r="E747" s="118" t="s">
        <v>45</v>
      </c>
      <c r="F747" s="120"/>
      <c r="G747" s="130" t="s">
        <v>3047</v>
      </c>
      <c r="H747" s="118" t="s">
        <v>3048</v>
      </c>
      <c r="I747" s="118" t="s">
        <v>3045</v>
      </c>
      <c r="J747" s="122" t="s">
        <v>74</v>
      </c>
      <c r="K747" s="123" t="s">
        <v>25</v>
      </c>
      <c r="L747" s="123" t="s">
        <v>25</v>
      </c>
      <c r="M747" s="118" t="s">
        <v>2933</v>
      </c>
      <c r="N747" s="120"/>
      <c r="O747" s="120"/>
      <c r="P747" s="120"/>
    </row>
    <row r="748" hidden="1">
      <c r="A748" s="118" t="s">
        <v>3040</v>
      </c>
      <c r="B748" s="126"/>
      <c r="C748" s="118" t="s">
        <v>3049</v>
      </c>
      <c r="D748" s="120"/>
      <c r="E748" s="118" t="s">
        <v>45</v>
      </c>
      <c r="F748" s="120"/>
      <c r="G748" s="118" t="s">
        <v>3050</v>
      </c>
      <c r="H748" s="118" t="s">
        <v>3051</v>
      </c>
      <c r="I748" s="118" t="s">
        <v>3052</v>
      </c>
      <c r="J748" s="122" t="s">
        <v>74</v>
      </c>
      <c r="K748" s="123" t="s">
        <v>25</v>
      </c>
      <c r="L748" s="123" t="s">
        <v>25</v>
      </c>
      <c r="M748" s="118" t="s">
        <v>2933</v>
      </c>
      <c r="N748" s="120"/>
      <c r="O748" s="120"/>
      <c r="P748" s="120"/>
    </row>
    <row r="749" hidden="1">
      <c r="A749" s="118" t="s">
        <v>3040</v>
      </c>
      <c r="B749" s="126"/>
      <c r="C749" s="118" t="s">
        <v>3053</v>
      </c>
      <c r="D749" s="120"/>
      <c r="E749" s="118" t="s">
        <v>45</v>
      </c>
      <c r="F749" s="120"/>
      <c r="G749" s="118" t="s">
        <v>3054</v>
      </c>
      <c r="H749" s="118" t="s">
        <v>3055</v>
      </c>
      <c r="I749" s="118" t="s">
        <v>3056</v>
      </c>
      <c r="J749" s="122" t="s">
        <v>74</v>
      </c>
      <c r="K749" s="123" t="s">
        <v>25</v>
      </c>
      <c r="L749" s="123" t="s">
        <v>25</v>
      </c>
      <c r="M749" s="118" t="s">
        <v>2933</v>
      </c>
      <c r="N749" s="120"/>
      <c r="O749" s="120"/>
      <c r="P749" s="120"/>
    </row>
    <row r="750" hidden="1">
      <c r="A750" s="118" t="s">
        <v>3040</v>
      </c>
      <c r="B750" s="126"/>
      <c r="C750" s="118" t="s">
        <v>3057</v>
      </c>
      <c r="D750" s="120"/>
      <c r="E750" s="118" t="s">
        <v>45</v>
      </c>
      <c r="F750" s="120"/>
      <c r="G750" s="118" t="s">
        <v>3058</v>
      </c>
      <c r="H750" s="118" t="s">
        <v>3059</v>
      </c>
      <c r="I750" s="118" t="s">
        <v>3060</v>
      </c>
      <c r="J750" s="122" t="s">
        <v>74</v>
      </c>
      <c r="K750" s="123" t="s">
        <v>25</v>
      </c>
      <c r="L750" s="123" t="s">
        <v>25</v>
      </c>
      <c r="M750" s="118" t="s">
        <v>2933</v>
      </c>
      <c r="N750" s="120"/>
      <c r="O750" s="120"/>
      <c r="P750" s="120"/>
    </row>
    <row r="751" hidden="1">
      <c r="A751" s="118" t="s">
        <v>3040</v>
      </c>
      <c r="B751" s="126"/>
      <c r="C751" s="118" t="s">
        <v>3061</v>
      </c>
      <c r="D751" s="120"/>
      <c r="E751" s="118" t="s">
        <v>45</v>
      </c>
      <c r="F751" s="120"/>
      <c r="G751" s="118" t="s">
        <v>3062</v>
      </c>
      <c r="H751" s="118" t="s">
        <v>3063</v>
      </c>
      <c r="I751" s="118" t="s">
        <v>3064</v>
      </c>
      <c r="J751" s="122" t="s">
        <v>74</v>
      </c>
      <c r="K751" s="123" t="s">
        <v>25</v>
      </c>
      <c r="L751" s="123" t="s">
        <v>25</v>
      </c>
      <c r="M751" s="118" t="s">
        <v>2933</v>
      </c>
      <c r="N751" s="120"/>
      <c r="O751" s="120"/>
      <c r="P751" s="120"/>
    </row>
    <row r="752" hidden="1">
      <c r="A752" s="118" t="s">
        <v>3040</v>
      </c>
      <c r="B752" s="126"/>
      <c r="C752" s="118" t="s">
        <v>3065</v>
      </c>
      <c r="D752" s="120"/>
      <c r="E752" s="118" t="s">
        <v>45</v>
      </c>
      <c r="F752" s="120"/>
      <c r="G752" s="118" t="s">
        <v>3066</v>
      </c>
      <c r="H752" s="118" t="s">
        <v>3067</v>
      </c>
      <c r="I752" s="118" t="s">
        <v>3068</v>
      </c>
      <c r="J752" s="122" t="s">
        <v>74</v>
      </c>
      <c r="K752" s="123" t="s">
        <v>25</v>
      </c>
      <c r="L752" s="123" t="s">
        <v>25</v>
      </c>
      <c r="M752" s="118" t="s">
        <v>2933</v>
      </c>
      <c r="N752" s="120"/>
      <c r="O752" s="120"/>
      <c r="P752" s="120"/>
    </row>
    <row r="753" hidden="1">
      <c r="A753" s="118" t="s">
        <v>3040</v>
      </c>
      <c r="B753" s="126"/>
      <c r="C753" s="118" t="s">
        <v>3069</v>
      </c>
      <c r="D753" s="120"/>
      <c r="E753" s="118" t="s">
        <v>45</v>
      </c>
      <c r="F753" s="120"/>
      <c r="G753" s="118" t="s">
        <v>3070</v>
      </c>
      <c r="H753" s="118" t="s">
        <v>3071</v>
      </c>
      <c r="I753" s="118" t="s">
        <v>3072</v>
      </c>
      <c r="J753" s="122" t="s">
        <v>74</v>
      </c>
      <c r="K753" s="123" t="s">
        <v>25</v>
      </c>
      <c r="L753" s="123" t="s">
        <v>25</v>
      </c>
      <c r="M753" s="118" t="s">
        <v>2933</v>
      </c>
      <c r="N753" s="120"/>
      <c r="O753" s="120"/>
      <c r="P753" s="120"/>
    </row>
    <row r="754" hidden="1">
      <c r="A754" s="118" t="s">
        <v>3040</v>
      </c>
      <c r="B754" s="126"/>
      <c r="C754" s="118" t="s">
        <v>3073</v>
      </c>
      <c r="D754" s="120"/>
      <c r="E754" s="118" t="s">
        <v>45</v>
      </c>
      <c r="F754" s="120"/>
      <c r="G754" s="118" t="s">
        <v>3074</v>
      </c>
      <c r="H754" s="118" t="s">
        <v>3075</v>
      </c>
      <c r="I754" s="118" t="s">
        <v>3076</v>
      </c>
      <c r="J754" s="122" t="s">
        <v>74</v>
      </c>
      <c r="K754" s="123" t="s">
        <v>25</v>
      </c>
      <c r="L754" s="123" t="s">
        <v>25</v>
      </c>
      <c r="M754" s="118" t="s">
        <v>2933</v>
      </c>
      <c r="N754" s="120"/>
      <c r="O754" s="120"/>
      <c r="P754" s="120"/>
    </row>
    <row r="755" hidden="1">
      <c r="A755" s="118" t="s">
        <v>3040</v>
      </c>
      <c r="B755" s="126"/>
      <c r="C755" s="118" t="s">
        <v>3077</v>
      </c>
      <c r="D755" s="120"/>
      <c r="E755" s="118" t="s">
        <v>45</v>
      </c>
      <c r="F755" s="120"/>
      <c r="G755" s="118" t="s">
        <v>3078</v>
      </c>
      <c r="H755" s="118" t="s">
        <v>3079</v>
      </c>
      <c r="I755" s="118" t="s">
        <v>3080</v>
      </c>
      <c r="J755" s="122" t="s">
        <v>74</v>
      </c>
      <c r="K755" s="123" t="s">
        <v>25</v>
      </c>
      <c r="L755" s="123" t="s">
        <v>25</v>
      </c>
      <c r="M755" s="118" t="s">
        <v>2933</v>
      </c>
      <c r="N755" s="120"/>
      <c r="O755" s="120"/>
      <c r="P755" s="120"/>
    </row>
    <row r="756" hidden="1">
      <c r="A756" s="118" t="s">
        <v>3040</v>
      </c>
      <c r="B756" s="126"/>
      <c r="C756" s="118" t="s">
        <v>3081</v>
      </c>
      <c r="D756" s="120"/>
      <c r="E756" s="118" t="s">
        <v>45</v>
      </c>
      <c r="F756" s="120"/>
      <c r="G756" s="118" t="s">
        <v>3082</v>
      </c>
      <c r="H756" s="118" t="s">
        <v>3083</v>
      </c>
      <c r="I756" s="118" t="s">
        <v>3084</v>
      </c>
      <c r="J756" s="122" t="s">
        <v>74</v>
      </c>
      <c r="K756" s="123" t="s">
        <v>25</v>
      </c>
      <c r="L756" s="123" t="s">
        <v>25</v>
      </c>
      <c r="M756" s="118" t="s">
        <v>2933</v>
      </c>
      <c r="N756" s="120"/>
      <c r="O756" s="120"/>
      <c r="P756" s="120"/>
    </row>
    <row r="757" hidden="1">
      <c r="A757" s="118" t="s">
        <v>3040</v>
      </c>
      <c r="B757" s="126"/>
      <c r="C757" s="118" t="s">
        <v>3085</v>
      </c>
      <c r="D757" s="120"/>
      <c r="E757" s="118" t="s">
        <v>45</v>
      </c>
      <c r="F757" s="120"/>
      <c r="G757" s="118" t="s">
        <v>3086</v>
      </c>
      <c r="H757" s="118" t="s">
        <v>3087</v>
      </c>
      <c r="I757" s="118" t="s">
        <v>3088</v>
      </c>
      <c r="J757" s="122" t="s">
        <v>74</v>
      </c>
      <c r="K757" s="123" t="s">
        <v>25</v>
      </c>
      <c r="L757" s="123" t="s">
        <v>25</v>
      </c>
      <c r="M757" s="118" t="s">
        <v>2933</v>
      </c>
      <c r="N757" s="120"/>
      <c r="O757" s="120"/>
      <c r="P757" s="120"/>
    </row>
    <row r="758" hidden="1">
      <c r="A758" s="118" t="s">
        <v>3040</v>
      </c>
      <c r="B758" s="126"/>
      <c r="C758" s="118" t="s">
        <v>3089</v>
      </c>
      <c r="D758" s="120"/>
      <c r="E758" s="118" t="s">
        <v>45</v>
      </c>
      <c r="F758" s="120"/>
      <c r="G758" s="118" t="s">
        <v>3090</v>
      </c>
      <c r="H758" s="118" t="s">
        <v>3091</v>
      </c>
      <c r="I758" s="118" t="s">
        <v>3092</v>
      </c>
      <c r="J758" s="122" t="s">
        <v>74</v>
      </c>
      <c r="K758" s="123" t="s">
        <v>25</v>
      </c>
      <c r="L758" s="123" t="s">
        <v>25</v>
      </c>
      <c r="M758" s="118" t="s">
        <v>2933</v>
      </c>
      <c r="N758" s="120"/>
      <c r="O758" s="120"/>
      <c r="P758" s="120"/>
    </row>
    <row r="759" hidden="1">
      <c r="A759" s="118" t="s">
        <v>3040</v>
      </c>
      <c r="B759" s="10"/>
      <c r="C759" s="118" t="s">
        <v>3093</v>
      </c>
      <c r="D759" s="120"/>
      <c r="E759" s="118" t="s">
        <v>45</v>
      </c>
      <c r="F759" s="120"/>
      <c r="G759" s="118" t="s">
        <v>3094</v>
      </c>
      <c r="H759" s="118" t="s">
        <v>3095</v>
      </c>
      <c r="I759" s="118" t="s">
        <v>3096</v>
      </c>
      <c r="J759" s="122" t="s">
        <v>74</v>
      </c>
      <c r="K759" s="123" t="s">
        <v>25</v>
      </c>
      <c r="L759" s="123" t="s">
        <v>25</v>
      </c>
      <c r="M759" s="118" t="s">
        <v>2933</v>
      </c>
      <c r="N759" s="120"/>
      <c r="O759" s="120"/>
      <c r="P759" s="120"/>
    </row>
    <row r="760" hidden="1">
      <c r="A760" s="118" t="s">
        <v>3097</v>
      </c>
      <c r="B760" s="119" t="s">
        <v>3098</v>
      </c>
      <c r="C760" s="118" t="s">
        <v>3099</v>
      </c>
      <c r="D760" s="120"/>
      <c r="E760" s="118" t="s">
        <v>45</v>
      </c>
      <c r="F760" s="120"/>
      <c r="G760" s="118" t="s">
        <v>3100</v>
      </c>
      <c r="H760" s="118" t="s">
        <v>3101</v>
      </c>
      <c r="I760" s="118" t="s">
        <v>3102</v>
      </c>
      <c r="J760" s="122" t="s">
        <v>74</v>
      </c>
      <c r="K760" s="123" t="s">
        <v>25</v>
      </c>
      <c r="L760" s="123" t="s">
        <v>25</v>
      </c>
      <c r="M760" s="118" t="s">
        <v>2933</v>
      </c>
      <c r="N760" s="120"/>
      <c r="O760" s="120"/>
      <c r="P760" s="120"/>
    </row>
    <row r="761" hidden="1">
      <c r="A761" s="118" t="s">
        <v>3097</v>
      </c>
      <c r="B761" s="126"/>
      <c r="C761" s="118" t="s">
        <v>3103</v>
      </c>
      <c r="D761" s="120"/>
      <c r="E761" s="118" t="s">
        <v>45</v>
      </c>
      <c r="F761" s="120"/>
      <c r="G761" s="118" t="s">
        <v>3104</v>
      </c>
      <c r="H761" s="118" t="s">
        <v>3105</v>
      </c>
      <c r="I761" s="118" t="s">
        <v>3106</v>
      </c>
      <c r="J761" s="122" t="s">
        <v>74</v>
      </c>
      <c r="K761" s="123" t="s">
        <v>25</v>
      </c>
      <c r="L761" s="123" t="s">
        <v>25</v>
      </c>
      <c r="M761" s="118" t="s">
        <v>2933</v>
      </c>
      <c r="N761" s="120"/>
      <c r="O761" s="120"/>
      <c r="P761" s="120"/>
    </row>
    <row r="762" hidden="1">
      <c r="A762" s="118" t="s">
        <v>3097</v>
      </c>
      <c r="B762" s="126"/>
      <c r="C762" s="118" t="s">
        <v>3107</v>
      </c>
      <c r="D762" s="120"/>
      <c r="E762" s="118" t="s">
        <v>45</v>
      </c>
      <c r="F762" s="120"/>
      <c r="G762" s="118" t="s">
        <v>3108</v>
      </c>
      <c r="H762" s="118" t="s">
        <v>3109</v>
      </c>
      <c r="I762" s="118" t="s">
        <v>3110</v>
      </c>
      <c r="J762" s="122" t="s">
        <v>74</v>
      </c>
      <c r="K762" s="123" t="s">
        <v>25</v>
      </c>
      <c r="L762" s="123" t="s">
        <v>25</v>
      </c>
      <c r="M762" s="118" t="s">
        <v>2933</v>
      </c>
      <c r="N762" s="120"/>
      <c r="O762" s="120"/>
      <c r="P762" s="120"/>
    </row>
    <row r="763" hidden="1">
      <c r="A763" s="118" t="s">
        <v>3097</v>
      </c>
      <c r="B763" s="126"/>
      <c r="C763" s="118" t="s">
        <v>3111</v>
      </c>
      <c r="D763" s="120"/>
      <c r="E763" s="118" t="s">
        <v>45</v>
      </c>
      <c r="F763" s="120"/>
      <c r="G763" s="130" t="s">
        <v>3112</v>
      </c>
      <c r="H763" s="118" t="s">
        <v>3113</v>
      </c>
      <c r="I763" s="118" t="s">
        <v>3114</v>
      </c>
      <c r="J763" s="122" t="s">
        <v>74</v>
      </c>
      <c r="K763" s="123" t="s">
        <v>25</v>
      </c>
      <c r="L763" s="123" t="s">
        <v>25</v>
      </c>
      <c r="M763" s="118" t="s">
        <v>2933</v>
      </c>
      <c r="N763" s="120"/>
      <c r="O763" s="120"/>
      <c r="P763" s="120"/>
    </row>
    <row r="764" hidden="1">
      <c r="A764" s="118" t="s">
        <v>3097</v>
      </c>
      <c r="B764" s="126"/>
      <c r="C764" s="118" t="s">
        <v>3115</v>
      </c>
      <c r="D764" s="120"/>
      <c r="E764" s="118" t="s">
        <v>45</v>
      </c>
      <c r="F764" s="120"/>
      <c r="G764" s="130" t="s">
        <v>3116</v>
      </c>
      <c r="H764" s="118" t="s">
        <v>3117</v>
      </c>
      <c r="I764" s="118" t="s">
        <v>3118</v>
      </c>
      <c r="J764" s="122" t="s">
        <v>74</v>
      </c>
      <c r="K764" s="123" t="s">
        <v>25</v>
      </c>
      <c r="L764" s="123" t="s">
        <v>25</v>
      </c>
      <c r="M764" s="118" t="s">
        <v>2933</v>
      </c>
      <c r="N764" s="120"/>
      <c r="O764" s="120"/>
      <c r="P764" s="120"/>
    </row>
    <row r="765" hidden="1">
      <c r="A765" s="118" t="s">
        <v>3097</v>
      </c>
      <c r="B765" s="126"/>
      <c r="C765" s="118" t="s">
        <v>3119</v>
      </c>
      <c r="D765" s="120"/>
      <c r="E765" s="118" t="s">
        <v>45</v>
      </c>
      <c r="F765" s="120"/>
      <c r="G765" s="130" t="s">
        <v>3120</v>
      </c>
      <c r="H765" s="118" t="s">
        <v>3121</v>
      </c>
      <c r="I765" s="118" t="s">
        <v>3122</v>
      </c>
      <c r="J765" s="122" t="s">
        <v>74</v>
      </c>
      <c r="K765" s="123" t="s">
        <v>25</v>
      </c>
      <c r="L765" s="123" t="s">
        <v>25</v>
      </c>
      <c r="M765" s="118" t="s">
        <v>2933</v>
      </c>
      <c r="N765" s="120"/>
      <c r="O765" s="120"/>
      <c r="P765" s="120"/>
    </row>
    <row r="766" hidden="1">
      <c r="A766" s="118" t="s">
        <v>3097</v>
      </c>
      <c r="B766" s="126"/>
      <c r="C766" s="118" t="s">
        <v>3123</v>
      </c>
      <c r="D766" s="120"/>
      <c r="E766" s="118" t="s">
        <v>45</v>
      </c>
      <c r="F766" s="120"/>
      <c r="G766" s="118" t="s">
        <v>3124</v>
      </c>
      <c r="H766" s="118" t="s">
        <v>3125</v>
      </c>
      <c r="I766" s="118" t="s">
        <v>3126</v>
      </c>
      <c r="J766" s="122" t="s">
        <v>74</v>
      </c>
      <c r="K766" s="123" t="s">
        <v>25</v>
      </c>
      <c r="L766" s="123" t="s">
        <v>25</v>
      </c>
      <c r="M766" s="118" t="s">
        <v>2933</v>
      </c>
      <c r="N766" s="120"/>
      <c r="O766" s="120"/>
      <c r="P766" s="120"/>
    </row>
    <row r="767" hidden="1">
      <c r="A767" s="118" t="s">
        <v>3097</v>
      </c>
      <c r="B767" s="126"/>
      <c r="C767" s="118" t="s">
        <v>3127</v>
      </c>
      <c r="D767" s="120"/>
      <c r="E767" s="118" t="s">
        <v>45</v>
      </c>
      <c r="F767" s="120"/>
      <c r="G767" s="130" t="s">
        <v>3128</v>
      </c>
      <c r="H767" s="118" t="s">
        <v>3129</v>
      </c>
      <c r="I767" s="118" t="s">
        <v>3130</v>
      </c>
      <c r="J767" s="122" t="s">
        <v>74</v>
      </c>
      <c r="K767" s="123" t="s">
        <v>25</v>
      </c>
      <c r="L767" s="123" t="s">
        <v>25</v>
      </c>
      <c r="M767" s="118" t="s">
        <v>2933</v>
      </c>
      <c r="N767" s="120"/>
      <c r="O767" s="120"/>
      <c r="P767" s="120"/>
    </row>
    <row r="768" hidden="1">
      <c r="A768" s="118" t="s">
        <v>3097</v>
      </c>
      <c r="B768" s="126"/>
      <c r="C768" s="118" t="s">
        <v>3131</v>
      </c>
      <c r="D768" s="120"/>
      <c r="E768" s="118" t="s">
        <v>45</v>
      </c>
      <c r="F768" s="120"/>
      <c r="G768" s="130" t="s">
        <v>3132</v>
      </c>
      <c r="H768" s="118" t="s">
        <v>3133</v>
      </c>
      <c r="I768" s="118" t="s">
        <v>3134</v>
      </c>
      <c r="J768" s="122" t="s">
        <v>74</v>
      </c>
      <c r="K768" s="123" t="s">
        <v>25</v>
      </c>
      <c r="L768" s="123" t="s">
        <v>25</v>
      </c>
      <c r="M768" s="118" t="s">
        <v>2933</v>
      </c>
      <c r="N768" s="120"/>
      <c r="O768" s="120"/>
      <c r="P768" s="120"/>
    </row>
    <row r="769" hidden="1">
      <c r="A769" s="118" t="s">
        <v>3097</v>
      </c>
      <c r="B769" s="126"/>
      <c r="C769" s="118" t="s">
        <v>3135</v>
      </c>
      <c r="D769" s="120"/>
      <c r="E769" s="118" t="s">
        <v>45</v>
      </c>
      <c r="F769" s="120"/>
      <c r="G769" s="130" t="s">
        <v>3136</v>
      </c>
      <c r="H769" s="118" t="s">
        <v>3137</v>
      </c>
      <c r="I769" s="118" t="s">
        <v>3138</v>
      </c>
      <c r="J769" s="122" t="s">
        <v>74</v>
      </c>
      <c r="K769" s="123" t="s">
        <v>25</v>
      </c>
      <c r="L769" s="123" t="s">
        <v>25</v>
      </c>
      <c r="M769" s="118" t="s">
        <v>2933</v>
      </c>
      <c r="N769" s="120"/>
      <c r="O769" s="120"/>
      <c r="P769" s="120"/>
    </row>
    <row r="770" hidden="1">
      <c r="A770" s="118" t="s">
        <v>3097</v>
      </c>
      <c r="B770" s="126"/>
      <c r="C770" s="118" t="s">
        <v>3139</v>
      </c>
      <c r="D770" s="120"/>
      <c r="E770" s="118" t="s">
        <v>45</v>
      </c>
      <c r="F770" s="120"/>
      <c r="G770" s="118" t="s">
        <v>3140</v>
      </c>
      <c r="H770" s="118" t="s">
        <v>3141</v>
      </c>
      <c r="I770" s="118" t="s">
        <v>3142</v>
      </c>
      <c r="J770" s="122" t="s">
        <v>74</v>
      </c>
      <c r="K770" s="123" t="s">
        <v>25</v>
      </c>
      <c r="L770" s="123" t="s">
        <v>25</v>
      </c>
      <c r="M770" s="118" t="s">
        <v>2933</v>
      </c>
      <c r="N770" s="120"/>
      <c r="O770" s="120"/>
      <c r="P770" s="120"/>
    </row>
    <row r="771" hidden="1">
      <c r="A771" s="118" t="s">
        <v>3097</v>
      </c>
      <c r="B771" s="126"/>
      <c r="C771" s="118" t="s">
        <v>3143</v>
      </c>
      <c r="D771" s="120"/>
      <c r="E771" s="118" t="s">
        <v>45</v>
      </c>
      <c r="F771" s="120"/>
      <c r="G771" s="130" t="s">
        <v>3144</v>
      </c>
      <c r="H771" s="130" t="s">
        <v>3145</v>
      </c>
      <c r="I771" s="118" t="s">
        <v>3146</v>
      </c>
      <c r="J771" s="122" t="s">
        <v>74</v>
      </c>
      <c r="K771" s="123" t="s">
        <v>25</v>
      </c>
      <c r="L771" s="123" t="s">
        <v>25</v>
      </c>
      <c r="M771" s="118" t="s">
        <v>2933</v>
      </c>
      <c r="N771" s="120"/>
      <c r="O771" s="120"/>
      <c r="P771" s="120"/>
    </row>
    <row r="772" hidden="1">
      <c r="A772" s="118" t="s">
        <v>3097</v>
      </c>
      <c r="B772" s="10"/>
      <c r="C772" s="118" t="s">
        <v>3147</v>
      </c>
      <c r="D772" s="120"/>
      <c r="E772" s="118" t="s">
        <v>45</v>
      </c>
      <c r="F772" s="120"/>
      <c r="G772" s="118" t="s">
        <v>3148</v>
      </c>
      <c r="H772" s="118" t="s">
        <v>3149</v>
      </c>
      <c r="I772" s="118" t="s">
        <v>3150</v>
      </c>
      <c r="J772" s="122" t="s">
        <v>74</v>
      </c>
      <c r="K772" s="123" t="s">
        <v>25</v>
      </c>
      <c r="L772" s="123" t="s">
        <v>25</v>
      </c>
      <c r="M772" s="118" t="s">
        <v>2933</v>
      </c>
      <c r="N772" s="120"/>
      <c r="O772" s="120"/>
      <c r="P772" s="120"/>
    </row>
    <row r="773" hidden="1">
      <c r="A773" s="118" t="s">
        <v>3151</v>
      </c>
      <c r="B773" s="119" t="s">
        <v>3152</v>
      </c>
      <c r="C773" s="118" t="s">
        <v>3153</v>
      </c>
      <c r="D773" s="120"/>
      <c r="E773" s="88" t="s">
        <v>32</v>
      </c>
      <c r="F773" s="120"/>
      <c r="G773" s="118" t="s">
        <v>3154</v>
      </c>
      <c r="H773" s="118" t="s">
        <v>3155</v>
      </c>
      <c r="I773" s="118" t="s">
        <v>3156</v>
      </c>
      <c r="J773" s="122" t="s">
        <v>74</v>
      </c>
      <c r="K773" s="123" t="s">
        <v>25</v>
      </c>
      <c r="L773" s="123" t="s">
        <v>25</v>
      </c>
      <c r="M773" s="118" t="s">
        <v>2454</v>
      </c>
      <c r="N773" s="120"/>
      <c r="O773" s="120"/>
      <c r="P773" s="120"/>
    </row>
    <row r="774" hidden="1">
      <c r="A774" s="118" t="s">
        <v>3151</v>
      </c>
      <c r="B774" s="126"/>
      <c r="C774" s="118" t="s">
        <v>3157</v>
      </c>
      <c r="D774" s="120"/>
      <c r="E774" s="88" t="s">
        <v>32</v>
      </c>
      <c r="F774" s="131"/>
      <c r="G774" s="130" t="s">
        <v>3158</v>
      </c>
      <c r="H774" s="118" t="s">
        <v>3159</v>
      </c>
      <c r="I774" s="118" t="s">
        <v>3160</v>
      </c>
      <c r="J774" s="122" t="s">
        <v>74</v>
      </c>
      <c r="K774" s="123" t="s">
        <v>25</v>
      </c>
      <c r="L774" s="123" t="s">
        <v>25</v>
      </c>
      <c r="M774" s="118" t="s">
        <v>2454</v>
      </c>
      <c r="N774" s="120"/>
      <c r="O774" s="120"/>
      <c r="P774" s="120"/>
    </row>
    <row r="775" hidden="1">
      <c r="A775" s="118" t="s">
        <v>3151</v>
      </c>
      <c r="B775" s="126"/>
      <c r="C775" s="118" t="s">
        <v>3161</v>
      </c>
      <c r="D775" s="120"/>
      <c r="E775" s="88" t="s">
        <v>32</v>
      </c>
      <c r="F775" s="120"/>
      <c r="G775" s="118" t="s">
        <v>3162</v>
      </c>
      <c r="H775" s="118" t="s">
        <v>3163</v>
      </c>
      <c r="I775" s="118" t="s">
        <v>3164</v>
      </c>
      <c r="J775" s="122" t="s">
        <v>74</v>
      </c>
      <c r="K775" s="123" t="s">
        <v>25</v>
      </c>
      <c r="L775" s="123" t="s">
        <v>25</v>
      </c>
      <c r="M775" s="118" t="s">
        <v>2454</v>
      </c>
      <c r="N775" s="120"/>
      <c r="O775" s="120"/>
      <c r="P775" s="120"/>
    </row>
    <row r="776" hidden="1">
      <c r="A776" s="118" t="s">
        <v>3151</v>
      </c>
      <c r="B776" s="126"/>
      <c r="C776" s="118" t="s">
        <v>3165</v>
      </c>
      <c r="D776" s="120"/>
      <c r="E776" s="88" t="s">
        <v>32</v>
      </c>
      <c r="F776" s="120"/>
      <c r="G776" s="118" t="s">
        <v>3166</v>
      </c>
      <c r="H776" s="118" t="s">
        <v>3167</v>
      </c>
      <c r="I776" s="118" t="s">
        <v>3168</v>
      </c>
      <c r="J776" s="122" t="s">
        <v>74</v>
      </c>
      <c r="K776" s="123" t="s">
        <v>25</v>
      </c>
      <c r="L776" s="123" t="s">
        <v>25</v>
      </c>
      <c r="M776" s="118" t="s">
        <v>2454</v>
      </c>
      <c r="N776" s="120"/>
      <c r="O776" s="120"/>
      <c r="P776" s="120"/>
    </row>
    <row r="777" hidden="1">
      <c r="A777" s="118" t="s">
        <v>3151</v>
      </c>
      <c r="B777" s="126"/>
      <c r="C777" s="118" t="s">
        <v>3169</v>
      </c>
      <c r="D777" s="120"/>
      <c r="E777" s="88" t="s">
        <v>32</v>
      </c>
      <c r="F777" s="131"/>
      <c r="G777" s="130" t="s">
        <v>3170</v>
      </c>
      <c r="H777" s="118" t="s">
        <v>3171</v>
      </c>
      <c r="I777" s="118" t="s">
        <v>3172</v>
      </c>
      <c r="J777" s="122" t="s">
        <v>74</v>
      </c>
      <c r="K777" s="123" t="s">
        <v>25</v>
      </c>
      <c r="L777" s="123" t="s">
        <v>25</v>
      </c>
      <c r="M777" s="118" t="s">
        <v>2454</v>
      </c>
      <c r="N777" s="120"/>
      <c r="O777" s="120"/>
      <c r="P777" s="120"/>
    </row>
    <row r="778" hidden="1">
      <c r="A778" s="118" t="s">
        <v>3151</v>
      </c>
      <c r="B778" s="126"/>
      <c r="C778" s="118" t="s">
        <v>3173</v>
      </c>
      <c r="D778" s="120"/>
      <c r="E778" s="88" t="s">
        <v>32</v>
      </c>
      <c r="F778" s="131"/>
      <c r="G778" s="130" t="s">
        <v>3174</v>
      </c>
      <c r="H778" s="118" t="s">
        <v>3167</v>
      </c>
      <c r="I778" s="118" t="s">
        <v>3175</v>
      </c>
      <c r="J778" s="122" t="s">
        <v>74</v>
      </c>
      <c r="K778" s="123" t="s">
        <v>25</v>
      </c>
      <c r="L778" s="123" t="s">
        <v>25</v>
      </c>
      <c r="M778" s="118" t="s">
        <v>2454</v>
      </c>
      <c r="N778" s="120"/>
      <c r="O778" s="120"/>
      <c r="P778" s="120"/>
    </row>
    <row r="779" hidden="1">
      <c r="A779" s="118" t="s">
        <v>3151</v>
      </c>
      <c r="B779" s="126"/>
      <c r="C779" s="118" t="s">
        <v>3176</v>
      </c>
      <c r="D779" s="120"/>
      <c r="E779" s="88" t="s">
        <v>32</v>
      </c>
      <c r="F779" s="120"/>
      <c r="G779" s="118" t="s">
        <v>3177</v>
      </c>
      <c r="H779" s="118" t="s">
        <v>3178</v>
      </c>
      <c r="I779" s="118" t="s">
        <v>3179</v>
      </c>
      <c r="J779" s="122" t="s">
        <v>74</v>
      </c>
      <c r="K779" s="123" t="s">
        <v>25</v>
      </c>
      <c r="L779" s="123" t="s">
        <v>25</v>
      </c>
      <c r="M779" s="118" t="s">
        <v>2454</v>
      </c>
      <c r="N779" s="120"/>
      <c r="O779" s="120"/>
      <c r="P779" s="120"/>
    </row>
    <row r="780" hidden="1">
      <c r="A780" s="118" t="s">
        <v>3151</v>
      </c>
      <c r="B780" s="126"/>
      <c r="C780" s="118" t="s">
        <v>3180</v>
      </c>
      <c r="D780" s="120"/>
      <c r="E780" s="88" t="s">
        <v>32</v>
      </c>
      <c r="F780" s="120"/>
      <c r="G780" s="118" t="s">
        <v>3181</v>
      </c>
      <c r="H780" s="118" t="s">
        <v>3182</v>
      </c>
      <c r="I780" s="118" t="s">
        <v>3183</v>
      </c>
      <c r="J780" s="122" t="s">
        <v>74</v>
      </c>
      <c r="K780" s="123" t="s">
        <v>25</v>
      </c>
      <c r="L780" s="123" t="s">
        <v>25</v>
      </c>
      <c r="M780" s="118" t="s">
        <v>2454</v>
      </c>
      <c r="N780" s="120"/>
      <c r="O780" s="120"/>
      <c r="P780" s="120"/>
    </row>
    <row r="781" hidden="1">
      <c r="A781" s="118" t="s">
        <v>3151</v>
      </c>
      <c r="B781" s="126"/>
      <c r="C781" s="118" t="s">
        <v>3184</v>
      </c>
      <c r="D781" s="120"/>
      <c r="E781" s="88" t="s">
        <v>32</v>
      </c>
      <c r="F781" s="120"/>
      <c r="G781" s="118" t="s">
        <v>3185</v>
      </c>
      <c r="H781" s="118" t="s">
        <v>3186</v>
      </c>
      <c r="I781" s="118" t="s">
        <v>3187</v>
      </c>
      <c r="J781" s="122" t="s">
        <v>74</v>
      </c>
      <c r="K781" s="123" t="s">
        <v>25</v>
      </c>
      <c r="L781" s="123" t="s">
        <v>25</v>
      </c>
      <c r="M781" s="118" t="s">
        <v>2454</v>
      </c>
      <c r="N781" s="120"/>
      <c r="O781" s="120"/>
      <c r="P781" s="120"/>
    </row>
    <row r="782" hidden="1">
      <c r="A782" s="118" t="s">
        <v>3151</v>
      </c>
      <c r="B782" s="126"/>
      <c r="C782" s="118" t="s">
        <v>3188</v>
      </c>
      <c r="D782" s="120"/>
      <c r="E782" s="88" t="s">
        <v>32</v>
      </c>
      <c r="F782" s="131"/>
      <c r="G782" s="130" t="s">
        <v>3189</v>
      </c>
      <c r="H782" s="118" t="s">
        <v>3190</v>
      </c>
      <c r="I782" s="118" t="s">
        <v>3191</v>
      </c>
      <c r="J782" s="122" t="s">
        <v>74</v>
      </c>
      <c r="K782" s="123" t="s">
        <v>25</v>
      </c>
      <c r="L782" s="123" t="s">
        <v>25</v>
      </c>
      <c r="M782" s="118" t="s">
        <v>2454</v>
      </c>
      <c r="N782" s="120"/>
      <c r="O782" s="120"/>
      <c r="P782" s="120"/>
    </row>
    <row r="783" hidden="1">
      <c r="A783" s="118" t="s">
        <v>3151</v>
      </c>
      <c r="B783" s="126"/>
      <c r="C783" s="118" t="s">
        <v>3192</v>
      </c>
      <c r="D783" s="120"/>
      <c r="E783" s="88" t="s">
        <v>32</v>
      </c>
      <c r="F783" s="131"/>
      <c r="G783" s="130" t="s">
        <v>3193</v>
      </c>
      <c r="H783" s="118" t="s">
        <v>3194</v>
      </c>
      <c r="I783" s="118" t="s">
        <v>3195</v>
      </c>
      <c r="J783" s="122" t="s">
        <v>74</v>
      </c>
      <c r="K783" s="123" t="s">
        <v>25</v>
      </c>
      <c r="L783" s="123" t="s">
        <v>25</v>
      </c>
      <c r="M783" s="118" t="s">
        <v>2454</v>
      </c>
      <c r="N783" s="120"/>
      <c r="O783" s="120"/>
      <c r="P783" s="120"/>
    </row>
    <row r="784" hidden="1">
      <c r="A784" s="118" t="s">
        <v>3151</v>
      </c>
      <c r="B784" s="126"/>
      <c r="C784" s="118" t="s">
        <v>3196</v>
      </c>
      <c r="D784" s="120"/>
      <c r="E784" s="88" t="s">
        <v>32</v>
      </c>
      <c r="F784" s="120"/>
      <c r="G784" s="118" t="s">
        <v>3197</v>
      </c>
      <c r="H784" s="118" t="s">
        <v>3198</v>
      </c>
      <c r="I784" s="118" t="s">
        <v>3164</v>
      </c>
      <c r="J784" s="122" t="s">
        <v>74</v>
      </c>
      <c r="K784" s="123" t="s">
        <v>25</v>
      </c>
      <c r="L784" s="123" t="s">
        <v>25</v>
      </c>
      <c r="M784" s="118" t="s">
        <v>2454</v>
      </c>
      <c r="N784" s="120"/>
      <c r="O784" s="120"/>
      <c r="P784" s="120"/>
    </row>
    <row r="785" hidden="1">
      <c r="A785" s="118" t="s">
        <v>3151</v>
      </c>
      <c r="B785" s="10"/>
      <c r="C785" s="118" t="s">
        <v>3199</v>
      </c>
      <c r="D785" s="120"/>
      <c r="E785" s="88" t="s">
        <v>32</v>
      </c>
      <c r="F785" s="131"/>
      <c r="G785" s="130" t="s">
        <v>3200</v>
      </c>
      <c r="H785" s="118" t="s">
        <v>3201</v>
      </c>
      <c r="I785" s="118" t="s">
        <v>3202</v>
      </c>
      <c r="J785" s="122" t="s">
        <v>74</v>
      </c>
      <c r="K785" s="123" t="s">
        <v>25</v>
      </c>
      <c r="L785" s="123" t="s">
        <v>25</v>
      </c>
      <c r="M785" s="118" t="s">
        <v>2454</v>
      </c>
      <c r="N785" s="120"/>
      <c r="O785" s="120"/>
      <c r="P785" s="120"/>
    </row>
    <row r="786" hidden="1">
      <c r="A786" s="118" t="s">
        <v>3203</v>
      </c>
      <c r="B786" s="127" t="s">
        <v>3204</v>
      </c>
      <c r="C786" s="118" t="s">
        <v>3205</v>
      </c>
      <c r="D786" s="120"/>
      <c r="E786" s="118" t="s">
        <v>42</v>
      </c>
      <c r="F786" s="120"/>
      <c r="G786" s="118" t="s">
        <v>3206</v>
      </c>
      <c r="H786" s="118" t="s">
        <v>3207</v>
      </c>
      <c r="I786" s="118" t="s">
        <v>3208</v>
      </c>
      <c r="J786" s="122" t="s">
        <v>74</v>
      </c>
      <c r="K786" s="123" t="s">
        <v>25</v>
      </c>
      <c r="L786" s="123" t="s">
        <v>25</v>
      </c>
      <c r="M786" s="120"/>
      <c r="N786" s="120"/>
      <c r="O786" s="120"/>
      <c r="P786" s="120"/>
    </row>
    <row r="787" hidden="1">
      <c r="A787" s="118" t="s">
        <v>3203</v>
      </c>
      <c r="B787" s="126"/>
      <c r="C787" s="118" t="s">
        <v>3209</v>
      </c>
      <c r="D787" s="120"/>
      <c r="E787" s="118" t="s">
        <v>42</v>
      </c>
      <c r="F787" s="120"/>
      <c r="G787" s="118" t="s">
        <v>3210</v>
      </c>
      <c r="H787" s="118" t="s">
        <v>3211</v>
      </c>
      <c r="I787" s="135" t="s">
        <v>3212</v>
      </c>
      <c r="J787" s="122" t="s">
        <v>74</v>
      </c>
      <c r="K787" s="123" t="s">
        <v>25</v>
      </c>
      <c r="L787" s="123" t="s">
        <v>25</v>
      </c>
      <c r="M787" s="120"/>
      <c r="N787" s="120"/>
      <c r="O787" s="120"/>
      <c r="P787" s="120"/>
    </row>
    <row r="788" hidden="1">
      <c r="A788" s="118" t="s">
        <v>3203</v>
      </c>
      <c r="B788" s="126"/>
      <c r="C788" s="118" t="s">
        <v>3213</v>
      </c>
      <c r="D788" s="120"/>
      <c r="E788" s="118" t="s">
        <v>42</v>
      </c>
      <c r="F788" s="120"/>
      <c r="G788" s="130" t="s">
        <v>3214</v>
      </c>
      <c r="H788" s="118" t="s">
        <v>3215</v>
      </c>
      <c r="I788" s="118" t="s">
        <v>3216</v>
      </c>
      <c r="J788" s="122" t="s">
        <v>74</v>
      </c>
      <c r="K788" s="123" t="s">
        <v>25</v>
      </c>
      <c r="L788" s="123" t="s">
        <v>25</v>
      </c>
      <c r="M788" s="120"/>
      <c r="N788" s="120"/>
      <c r="O788" s="120"/>
      <c r="P788" s="120"/>
    </row>
    <row r="789" hidden="1">
      <c r="A789" s="118" t="s">
        <v>3203</v>
      </c>
      <c r="B789" s="126"/>
      <c r="C789" s="118" t="s">
        <v>3217</v>
      </c>
      <c r="D789" s="120"/>
      <c r="E789" s="118" t="s">
        <v>42</v>
      </c>
      <c r="F789" s="120"/>
      <c r="G789" s="130" t="s">
        <v>3218</v>
      </c>
      <c r="H789" s="118" t="s">
        <v>3219</v>
      </c>
      <c r="I789" s="118" t="s">
        <v>3220</v>
      </c>
      <c r="J789" s="122" t="s">
        <v>74</v>
      </c>
      <c r="K789" s="123" t="s">
        <v>25</v>
      </c>
      <c r="L789" s="123" t="s">
        <v>25</v>
      </c>
      <c r="M789" s="120"/>
      <c r="N789" s="120"/>
      <c r="O789" s="120"/>
      <c r="P789" s="120"/>
    </row>
    <row r="790" hidden="1">
      <c r="A790" s="118" t="s">
        <v>3203</v>
      </c>
      <c r="B790" s="126"/>
      <c r="C790" s="118" t="s">
        <v>3221</v>
      </c>
      <c r="D790" s="120"/>
      <c r="E790" s="118" t="s">
        <v>42</v>
      </c>
      <c r="F790" s="120"/>
      <c r="G790" s="118" t="s">
        <v>3222</v>
      </c>
      <c r="H790" s="118" t="s">
        <v>3223</v>
      </c>
      <c r="I790" s="118" t="s">
        <v>3216</v>
      </c>
      <c r="J790" s="122" t="s">
        <v>74</v>
      </c>
      <c r="K790" s="123" t="s">
        <v>25</v>
      </c>
      <c r="L790" s="123" t="s">
        <v>25</v>
      </c>
      <c r="M790" s="120"/>
      <c r="N790" s="120"/>
      <c r="O790" s="120"/>
      <c r="P790" s="120"/>
    </row>
    <row r="791" hidden="1">
      <c r="A791" s="118" t="s">
        <v>3203</v>
      </c>
      <c r="B791" s="126"/>
      <c r="C791" s="118" t="s">
        <v>3224</v>
      </c>
      <c r="D791" s="120"/>
      <c r="E791" s="118" t="s">
        <v>42</v>
      </c>
      <c r="F791" s="120"/>
      <c r="G791" s="118" t="s">
        <v>3225</v>
      </c>
      <c r="H791" s="130" t="s">
        <v>3226</v>
      </c>
      <c r="I791" s="118" t="s">
        <v>3227</v>
      </c>
      <c r="J791" s="122" t="s">
        <v>74</v>
      </c>
      <c r="K791" s="123" t="s">
        <v>25</v>
      </c>
      <c r="L791" s="123" t="s">
        <v>25</v>
      </c>
      <c r="M791" s="120"/>
      <c r="N791" s="120"/>
      <c r="O791" s="120"/>
      <c r="P791" s="120"/>
    </row>
    <row r="792" hidden="1">
      <c r="A792" s="118" t="s">
        <v>3203</v>
      </c>
      <c r="B792" s="126"/>
      <c r="C792" s="118" t="s">
        <v>3228</v>
      </c>
      <c r="D792" s="120"/>
      <c r="E792" s="118" t="s">
        <v>42</v>
      </c>
      <c r="F792" s="120"/>
      <c r="G792" s="118" t="s">
        <v>3229</v>
      </c>
      <c r="H792" s="118" t="s">
        <v>3230</v>
      </c>
      <c r="I792" s="118" t="s">
        <v>3231</v>
      </c>
      <c r="J792" s="122" t="s">
        <v>74</v>
      </c>
      <c r="K792" s="123" t="s">
        <v>25</v>
      </c>
      <c r="L792" s="123" t="s">
        <v>25</v>
      </c>
      <c r="M792" s="120"/>
      <c r="N792" s="120"/>
      <c r="O792" s="120"/>
      <c r="P792" s="120"/>
    </row>
    <row r="793" hidden="1">
      <c r="A793" s="120"/>
      <c r="B793" s="126"/>
      <c r="C793" s="118" t="s">
        <v>3232</v>
      </c>
      <c r="D793" s="120"/>
      <c r="E793" s="118" t="s">
        <v>42</v>
      </c>
      <c r="F793" s="120"/>
      <c r="G793" s="130" t="s">
        <v>3233</v>
      </c>
      <c r="H793" s="118" t="s">
        <v>3234</v>
      </c>
      <c r="I793" s="118" t="s">
        <v>3235</v>
      </c>
      <c r="J793" s="122" t="s">
        <v>74</v>
      </c>
      <c r="K793" s="123" t="s">
        <v>25</v>
      </c>
      <c r="L793" s="123" t="s">
        <v>25</v>
      </c>
      <c r="M793" s="120"/>
      <c r="N793" s="120"/>
      <c r="O793" s="120"/>
      <c r="P793" s="120"/>
    </row>
    <row r="794" hidden="1">
      <c r="A794" s="118" t="s">
        <v>3203</v>
      </c>
      <c r="B794" s="126"/>
      <c r="C794" s="118" t="s">
        <v>3236</v>
      </c>
      <c r="D794" s="120"/>
      <c r="E794" s="118" t="s">
        <v>42</v>
      </c>
      <c r="F794" s="120"/>
      <c r="G794" s="130" t="s">
        <v>3237</v>
      </c>
      <c r="H794" s="118" t="s">
        <v>3238</v>
      </c>
      <c r="I794" s="135" t="s">
        <v>3239</v>
      </c>
      <c r="J794" s="122" t="s">
        <v>74</v>
      </c>
      <c r="K794" s="123" t="s">
        <v>25</v>
      </c>
      <c r="L794" s="123" t="s">
        <v>25</v>
      </c>
      <c r="M794" s="120"/>
      <c r="N794" s="120"/>
      <c r="O794" s="120"/>
      <c r="P794" s="120"/>
    </row>
    <row r="795" hidden="1">
      <c r="A795" s="118" t="s">
        <v>3203</v>
      </c>
      <c r="B795" s="126"/>
      <c r="C795" s="118" t="s">
        <v>3240</v>
      </c>
      <c r="D795" s="120"/>
      <c r="E795" s="118" t="s">
        <v>42</v>
      </c>
      <c r="F795" s="120"/>
      <c r="G795" s="130" t="s">
        <v>3241</v>
      </c>
      <c r="H795" s="118" t="s">
        <v>3242</v>
      </c>
      <c r="I795" s="118" t="s">
        <v>3243</v>
      </c>
      <c r="J795" s="122" t="s">
        <v>74</v>
      </c>
      <c r="K795" s="123" t="s">
        <v>25</v>
      </c>
      <c r="L795" s="123" t="s">
        <v>25</v>
      </c>
      <c r="M795" s="120"/>
      <c r="N795" s="120"/>
      <c r="O795" s="120"/>
      <c r="P795" s="120"/>
    </row>
    <row r="796" hidden="1">
      <c r="A796" s="118" t="s">
        <v>3203</v>
      </c>
      <c r="B796" s="126"/>
      <c r="C796" s="118" t="s">
        <v>3244</v>
      </c>
      <c r="D796" s="120"/>
      <c r="E796" s="118" t="s">
        <v>42</v>
      </c>
      <c r="F796" s="120"/>
      <c r="G796" s="130" t="s">
        <v>3245</v>
      </c>
      <c r="H796" s="118" t="s">
        <v>3246</v>
      </c>
      <c r="I796" s="118" t="s">
        <v>3247</v>
      </c>
      <c r="J796" s="122" t="s">
        <v>74</v>
      </c>
      <c r="K796" s="123" t="s">
        <v>25</v>
      </c>
      <c r="L796" s="123" t="s">
        <v>25</v>
      </c>
      <c r="M796" s="120"/>
      <c r="N796" s="120"/>
      <c r="O796" s="120"/>
      <c r="P796" s="120"/>
    </row>
    <row r="797" hidden="1">
      <c r="A797" s="118" t="s">
        <v>3203</v>
      </c>
      <c r="B797" s="126"/>
      <c r="C797" s="118" t="s">
        <v>3248</v>
      </c>
      <c r="D797" s="120"/>
      <c r="E797" s="118" t="s">
        <v>42</v>
      </c>
      <c r="F797" s="120"/>
      <c r="G797" s="130" t="s">
        <v>3249</v>
      </c>
      <c r="H797" s="118" t="s">
        <v>3250</v>
      </c>
      <c r="I797" s="118" t="s">
        <v>3251</v>
      </c>
      <c r="J797" s="122" t="s">
        <v>74</v>
      </c>
      <c r="K797" s="123" t="s">
        <v>25</v>
      </c>
      <c r="L797" s="123" t="s">
        <v>25</v>
      </c>
      <c r="M797" s="120"/>
      <c r="N797" s="120"/>
      <c r="O797" s="120"/>
      <c r="P797" s="120"/>
    </row>
    <row r="798" hidden="1">
      <c r="A798" s="118" t="s">
        <v>3203</v>
      </c>
      <c r="B798" s="126"/>
      <c r="C798" s="118" t="s">
        <v>3252</v>
      </c>
      <c r="D798" s="120"/>
      <c r="E798" s="118" t="s">
        <v>42</v>
      </c>
      <c r="F798" s="120"/>
      <c r="G798" s="118" t="s">
        <v>3253</v>
      </c>
      <c r="H798" s="118" t="s">
        <v>3254</v>
      </c>
      <c r="I798" s="118" t="s">
        <v>3255</v>
      </c>
      <c r="J798" s="122" t="s">
        <v>74</v>
      </c>
      <c r="K798" s="123" t="s">
        <v>25</v>
      </c>
      <c r="L798" s="123" t="s">
        <v>25</v>
      </c>
      <c r="M798" s="120"/>
      <c r="N798" s="120"/>
      <c r="O798" s="120"/>
      <c r="P798" s="120"/>
    </row>
    <row r="799" hidden="1">
      <c r="A799" s="118" t="s">
        <v>3203</v>
      </c>
      <c r="B799" s="126"/>
      <c r="C799" s="118" t="s">
        <v>3256</v>
      </c>
      <c r="D799" s="120"/>
      <c r="E799" s="118" t="s">
        <v>42</v>
      </c>
      <c r="F799" s="120"/>
      <c r="G799" s="130" t="s">
        <v>3257</v>
      </c>
      <c r="H799" s="118" t="s">
        <v>3258</v>
      </c>
      <c r="I799" s="130" t="s">
        <v>3259</v>
      </c>
      <c r="J799" s="122" t="s">
        <v>74</v>
      </c>
      <c r="K799" s="123" t="s">
        <v>25</v>
      </c>
      <c r="L799" s="123" t="s">
        <v>25</v>
      </c>
      <c r="M799" s="120"/>
      <c r="N799" s="120"/>
      <c r="O799" s="120"/>
      <c r="P799" s="120"/>
    </row>
    <row r="800" hidden="1">
      <c r="A800" s="118" t="s">
        <v>3203</v>
      </c>
      <c r="B800" s="126"/>
      <c r="C800" s="118" t="s">
        <v>3260</v>
      </c>
      <c r="D800" s="120"/>
      <c r="E800" s="118" t="s">
        <v>42</v>
      </c>
      <c r="F800" s="120"/>
      <c r="G800" s="130" t="s">
        <v>3261</v>
      </c>
      <c r="H800" s="118" t="s">
        <v>3262</v>
      </c>
      <c r="I800" s="118" t="s">
        <v>3263</v>
      </c>
      <c r="J800" s="122" t="s">
        <v>74</v>
      </c>
      <c r="K800" s="123" t="s">
        <v>25</v>
      </c>
      <c r="L800" s="123" t="s">
        <v>25</v>
      </c>
      <c r="M800" s="120"/>
      <c r="N800" s="120"/>
      <c r="O800" s="120"/>
      <c r="P800" s="120"/>
    </row>
    <row r="801" hidden="1">
      <c r="A801" s="118" t="s">
        <v>3203</v>
      </c>
      <c r="B801" s="126"/>
      <c r="C801" s="118" t="s">
        <v>3264</v>
      </c>
      <c r="D801" s="120"/>
      <c r="E801" s="118" t="s">
        <v>42</v>
      </c>
      <c r="F801" s="120"/>
      <c r="G801" s="130" t="s">
        <v>3265</v>
      </c>
      <c r="H801" s="118" t="s">
        <v>3266</v>
      </c>
      <c r="I801" s="118" t="s">
        <v>3267</v>
      </c>
      <c r="J801" s="122" t="s">
        <v>74</v>
      </c>
      <c r="K801" s="123" t="s">
        <v>25</v>
      </c>
      <c r="L801" s="123" t="s">
        <v>25</v>
      </c>
      <c r="M801" s="120"/>
      <c r="N801" s="120"/>
      <c r="O801" s="120"/>
      <c r="P801" s="120"/>
    </row>
    <row r="802" hidden="1">
      <c r="A802" s="118" t="s">
        <v>3203</v>
      </c>
      <c r="B802" s="126"/>
      <c r="C802" s="118" t="s">
        <v>3268</v>
      </c>
      <c r="D802" s="120"/>
      <c r="E802" s="118" t="s">
        <v>42</v>
      </c>
      <c r="F802" s="120"/>
      <c r="G802" s="130" t="s">
        <v>3269</v>
      </c>
      <c r="H802" s="118" t="s">
        <v>3270</v>
      </c>
      <c r="I802" s="118" t="s">
        <v>3267</v>
      </c>
      <c r="J802" s="122" t="s">
        <v>74</v>
      </c>
      <c r="K802" s="123" t="s">
        <v>25</v>
      </c>
      <c r="L802" s="123" t="s">
        <v>25</v>
      </c>
      <c r="M802" s="120"/>
      <c r="N802" s="120"/>
      <c r="O802" s="120"/>
      <c r="P802" s="120"/>
    </row>
    <row r="803" hidden="1">
      <c r="A803" s="118" t="s">
        <v>3203</v>
      </c>
      <c r="B803" s="126"/>
      <c r="C803" s="118" t="s">
        <v>3271</v>
      </c>
      <c r="D803" s="120"/>
      <c r="E803" s="118" t="s">
        <v>42</v>
      </c>
      <c r="F803" s="120"/>
      <c r="G803" s="130" t="s">
        <v>3272</v>
      </c>
      <c r="H803" s="118" t="s">
        <v>3273</v>
      </c>
      <c r="I803" s="118" t="s">
        <v>3274</v>
      </c>
      <c r="J803" s="122" t="s">
        <v>74</v>
      </c>
      <c r="K803" s="123" t="s">
        <v>25</v>
      </c>
      <c r="L803" s="123" t="s">
        <v>25</v>
      </c>
      <c r="M803" s="120"/>
      <c r="N803" s="120"/>
      <c r="O803" s="120"/>
      <c r="P803" s="120"/>
    </row>
    <row r="804" hidden="1">
      <c r="A804" s="118" t="s">
        <v>3203</v>
      </c>
      <c r="B804" s="126"/>
      <c r="C804" s="118" t="s">
        <v>3275</v>
      </c>
      <c r="D804" s="120"/>
      <c r="E804" s="118" t="s">
        <v>42</v>
      </c>
      <c r="F804" s="120"/>
      <c r="G804" s="130" t="s">
        <v>3276</v>
      </c>
      <c r="H804" s="118" t="s">
        <v>3277</v>
      </c>
      <c r="I804" s="118" t="s">
        <v>3278</v>
      </c>
      <c r="J804" s="122" t="s">
        <v>74</v>
      </c>
      <c r="K804" s="123" t="s">
        <v>25</v>
      </c>
      <c r="L804" s="123" t="s">
        <v>25</v>
      </c>
      <c r="M804" s="120"/>
      <c r="N804" s="120"/>
      <c r="O804" s="120"/>
      <c r="P804" s="120"/>
    </row>
    <row r="805" hidden="1">
      <c r="A805" s="118" t="s">
        <v>3203</v>
      </c>
      <c r="B805" s="126"/>
      <c r="C805" s="118" t="s">
        <v>3279</v>
      </c>
      <c r="D805" s="120"/>
      <c r="E805" s="118" t="s">
        <v>42</v>
      </c>
      <c r="F805" s="120"/>
      <c r="G805" s="130" t="s">
        <v>3280</v>
      </c>
      <c r="H805" s="118" t="s">
        <v>3281</v>
      </c>
      <c r="I805" s="118" t="s">
        <v>3282</v>
      </c>
      <c r="J805" s="122" t="s">
        <v>74</v>
      </c>
      <c r="K805" s="123" t="s">
        <v>25</v>
      </c>
      <c r="L805" s="123" t="s">
        <v>25</v>
      </c>
      <c r="M805" s="118" t="s">
        <v>2454</v>
      </c>
      <c r="N805" s="120"/>
      <c r="O805" s="120"/>
      <c r="P805" s="120"/>
    </row>
    <row r="806" hidden="1">
      <c r="A806" s="118" t="s">
        <v>3203</v>
      </c>
      <c r="B806" s="126"/>
      <c r="C806" s="118" t="s">
        <v>3283</v>
      </c>
      <c r="D806" s="120"/>
      <c r="E806" s="118" t="s">
        <v>42</v>
      </c>
      <c r="F806" s="120"/>
      <c r="G806" s="130" t="s">
        <v>3284</v>
      </c>
      <c r="H806" s="118" t="s">
        <v>3285</v>
      </c>
      <c r="I806" s="118" t="s">
        <v>3282</v>
      </c>
      <c r="J806" s="122" t="s">
        <v>74</v>
      </c>
      <c r="K806" s="123" t="s">
        <v>25</v>
      </c>
      <c r="L806" s="123" t="s">
        <v>25</v>
      </c>
      <c r="M806" s="118" t="s">
        <v>2454</v>
      </c>
      <c r="N806" s="120"/>
      <c r="O806" s="120"/>
      <c r="P806" s="120"/>
    </row>
    <row r="807" hidden="1">
      <c r="A807" s="118" t="s">
        <v>3203</v>
      </c>
      <c r="B807" s="126"/>
      <c r="C807" s="118" t="s">
        <v>3286</v>
      </c>
      <c r="D807" s="120"/>
      <c r="E807" s="118" t="s">
        <v>42</v>
      </c>
      <c r="F807" s="120"/>
      <c r="G807" s="118" t="s">
        <v>3287</v>
      </c>
      <c r="H807" s="118" t="s">
        <v>3288</v>
      </c>
      <c r="I807" s="118" t="s">
        <v>3289</v>
      </c>
      <c r="J807" s="122" t="s">
        <v>74</v>
      </c>
      <c r="K807" s="123" t="s">
        <v>75</v>
      </c>
      <c r="L807" s="118" t="s">
        <v>76</v>
      </c>
      <c r="M807" s="120"/>
      <c r="N807" s="120"/>
      <c r="O807" s="120"/>
      <c r="P807" s="120"/>
    </row>
    <row r="808" hidden="1">
      <c r="A808" s="118" t="s">
        <v>3203</v>
      </c>
      <c r="B808" s="126"/>
      <c r="C808" s="118" t="s">
        <v>3290</v>
      </c>
      <c r="D808" s="120"/>
      <c r="E808" s="118" t="s">
        <v>42</v>
      </c>
      <c r="F808" s="120"/>
      <c r="G808" s="118" t="s">
        <v>3291</v>
      </c>
      <c r="H808" s="118" t="s">
        <v>3292</v>
      </c>
      <c r="I808" s="118" t="s">
        <v>3293</v>
      </c>
      <c r="J808" s="122" t="s">
        <v>74</v>
      </c>
      <c r="K808" s="123" t="s">
        <v>25</v>
      </c>
      <c r="L808" s="123" t="s">
        <v>25</v>
      </c>
      <c r="M808" s="118" t="s">
        <v>3294</v>
      </c>
      <c r="N808" s="120"/>
      <c r="O808" s="120"/>
      <c r="P808" s="120"/>
    </row>
    <row r="809" hidden="1">
      <c r="A809" s="118" t="s">
        <v>3203</v>
      </c>
      <c r="B809" s="126"/>
      <c r="C809" s="118" t="s">
        <v>3295</v>
      </c>
      <c r="D809" s="120"/>
      <c r="E809" s="118" t="s">
        <v>42</v>
      </c>
      <c r="F809" s="120"/>
      <c r="G809" s="118" t="s">
        <v>3296</v>
      </c>
      <c r="H809" s="118" t="s">
        <v>3297</v>
      </c>
      <c r="I809" s="118" t="s">
        <v>3298</v>
      </c>
      <c r="J809" s="122" t="s">
        <v>74</v>
      </c>
      <c r="K809" s="123" t="s">
        <v>25</v>
      </c>
      <c r="L809" s="123" t="s">
        <v>25</v>
      </c>
      <c r="M809" s="118" t="s">
        <v>3294</v>
      </c>
      <c r="N809" s="120"/>
      <c r="O809" s="120"/>
      <c r="P809" s="120"/>
    </row>
    <row r="810" hidden="1">
      <c r="A810" s="118" t="s">
        <v>3203</v>
      </c>
      <c r="B810" s="126"/>
      <c r="C810" s="118" t="s">
        <v>3299</v>
      </c>
      <c r="D810" s="120"/>
      <c r="E810" s="118" t="s">
        <v>42</v>
      </c>
      <c r="F810" s="120"/>
      <c r="G810" s="118" t="s">
        <v>3300</v>
      </c>
      <c r="H810" s="118" t="s">
        <v>3301</v>
      </c>
      <c r="I810" s="118" t="s">
        <v>3302</v>
      </c>
      <c r="J810" s="122" t="s">
        <v>74</v>
      </c>
      <c r="K810" s="123" t="s">
        <v>75</v>
      </c>
      <c r="L810" s="118" t="s">
        <v>76</v>
      </c>
      <c r="M810" s="120"/>
      <c r="N810" s="120"/>
      <c r="O810" s="120"/>
      <c r="P810" s="120"/>
    </row>
    <row r="811" hidden="1">
      <c r="A811" s="118" t="s">
        <v>3203</v>
      </c>
      <c r="B811" s="126"/>
      <c r="C811" s="118" t="s">
        <v>3303</v>
      </c>
      <c r="D811" s="120"/>
      <c r="E811" s="118" t="s">
        <v>42</v>
      </c>
      <c r="F811" s="120"/>
      <c r="G811" s="118" t="s">
        <v>3304</v>
      </c>
      <c r="H811" s="118" t="s">
        <v>3305</v>
      </c>
      <c r="I811" s="118" t="s">
        <v>3306</v>
      </c>
      <c r="J811" s="122" t="s">
        <v>74</v>
      </c>
      <c r="K811" s="123" t="s">
        <v>75</v>
      </c>
      <c r="L811" s="118" t="s">
        <v>76</v>
      </c>
      <c r="M811" s="120"/>
      <c r="N811" s="120"/>
      <c r="O811" s="120"/>
      <c r="P811" s="120"/>
    </row>
    <row r="812" hidden="1">
      <c r="A812" s="118" t="s">
        <v>3203</v>
      </c>
      <c r="B812" s="126"/>
      <c r="C812" s="118" t="s">
        <v>3307</v>
      </c>
      <c r="D812" s="120"/>
      <c r="E812" s="118" t="s">
        <v>42</v>
      </c>
      <c r="F812" s="120"/>
      <c r="G812" s="118" t="s">
        <v>3308</v>
      </c>
      <c r="H812" s="118" t="s">
        <v>3309</v>
      </c>
      <c r="I812" s="118" t="s">
        <v>3310</v>
      </c>
      <c r="J812" s="122" t="s">
        <v>74</v>
      </c>
      <c r="K812" s="123" t="s">
        <v>75</v>
      </c>
      <c r="L812" s="118" t="s">
        <v>76</v>
      </c>
      <c r="M812" s="120"/>
      <c r="N812" s="120"/>
      <c r="O812" s="120"/>
      <c r="P812" s="120"/>
    </row>
    <row r="813" hidden="1">
      <c r="A813" s="118" t="s">
        <v>3203</v>
      </c>
      <c r="B813" s="126"/>
      <c r="C813" s="118" t="s">
        <v>3311</v>
      </c>
      <c r="D813" s="120"/>
      <c r="E813" s="118" t="s">
        <v>42</v>
      </c>
      <c r="F813" s="120"/>
      <c r="G813" s="118" t="s">
        <v>3312</v>
      </c>
      <c r="H813" s="118" t="s">
        <v>3313</v>
      </c>
      <c r="I813" s="118" t="s">
        <v>3314</v>
      </c>
      <c r="J813" s="122" t="s">
        <v>74</v>
      </c>
      <c r="K813" s="123" t="s">
        <v>75</v>
      </c>
      <c r="L813" s="118" t="s">
        <v>76</v>
      </c>
      <c r="M813" s="120"/>
      <c r="N813" s="120"/>
      <c r="O813" s="120"/>
      <c r="P813" s="120"/>
    </row>
    <row r="814" hidden="1">
      <c r="A814" s="118" t="s">
        <v>3203</v>
      </c>
      <c r="B814" s="126"/>
      <c r="C814" s="118" t="s">
        <v>3315</v>
      </c>
      <c r="D814" s="120"/>
      <c r="E814" s="118" t="s">
        <v>42</v>
      </c>
      <c r="F814" s="120"/>
      <c r="G814" s="118" t="s">
        <v>3316</v>
      </c>
      <c r="H814" s="118" t="s">
        <v>3317</v>
      </c>
      <c r="I814" s="152" t="s">
        <v>3318</v>
      </c>
      <c r="J814" s="122" t="s">
        <v>74</v>
      </c>
      <c r="K814" s="123" t="s">
        <v>25</v>
      </c>
      <c r="L814" s="123" t="s">
        <v>25</v>
      </c>
      <c r="M814" s="120"/>
      <c r="N814" s="120"/>
      <c r="O814" s="120"/>
      <c r="P814" s="120"/>
    </row>
    <row r="815" hidden="1">
      <c r="A815" s="118" t="s">
        <v>3203</v>
      </c>
      <c r="B815" s="126"/>
      <c r="C815" s="118" t="s">
        <v>3319</v>
      </c>
      <c r="D815" s="120"/>
      <c r="E815" s="118" t="s">
        <v>42</v>
      </c>
      <c r="F815" s="120"/>
      <c r="G815" s="118" t="s">
        <v>3320</v>
      </c>
      <c r="H815" s="118" t="s">
        <v>3321</v>
      </c>
      <c r="I815" s="118" t="s">
        <v>3322</v>
      </c>
      <c r="J815" s="122" t="s">
        <v>74</v>
      </c>
      <c r="K815" s="123" t="s">
        <v>25</v>
      </c>
      <c r="L815" s="123" t="s">
        <v>25</v>
      </c>
      <c r="M815" s="120"/>
      <c r="N815" s="120"/>
      <c r="O815" s="120"/>
      <c r="P815" s="120"/>
    </row>
    <row r="816" hidden="1">
      <c r="A816" s="118" t="s">
        <v>3203</v>
      </c>
      <c r="B816" s="126"/>
      <c r="C816" s="118" t="s">
        <v>3323</v>
      </c>
      <c r="D816" s="120"/>
      <c r="E816" s="118" t="s">
        <v>42</v>
      </c>
      <c r="F816" s="120"/>
      <c r="G816" s="118" t="s">
        <v>3324</v>
      </c>
      <c r="H816" s="118" t="s">
        <v>3325</v>
      </c>
      <c r="I816" s="118" t="s">
        <v>3326</v>
      </c>
      <c r="J816" s="122" t="s">
        <v>74</v>
      </c>
      <c r="K816" s="123" t="s">
        <v>25</v>
      </c>
      <c r="L816" s="123" t="s">
        <v>25</v>
      </c>
      <c r="M816" s="120"/>
      <c r="N816" s="120"/>
      <c r="O816" s="120"/>
      <c r="P816" s="120"/>
    </row>
    <row r="817">
      <c r="A817" s="118" t="s">
        <v>3203</v>
      </c>
      <c r="B817" s="10"/>
      <c r="C817" s="118" t="s">
        <v>3327</v>
      </c>
      <c r="D817" s="153"/>
      <c r="E817" s="118" t="s">
        <v>42</v>
      </c>
      <c r="F817" s="153"/>
      <c r="G817" s="118" t="s">
        <v>3328</v>
      </c>
      <c r="H817" s="118" t="s">
        <v>3329</v>
      </c>
      <c r="I817" s="118" t="s">
        <v>3330</v>
      </c>
      <c r="J817" s="128" t="s">
        <v>714</v>
      </c>
      <c r="K817" s="123" t="s">
        <v>25</v>
      </c>
      <c r="L817" s="123" t="s">
        <v>25</v>
      </c>
      <c r="M817" s="118" t="s">
        <v>2709</v>
      </c>
      <c r="N817" s="129" t="s">
        <v>3331</v>
      </c>
      <c r="O817" s="120"/>
      <c r="P817" s="120"/>
    </row>
    <row r="818">
      <c r="A818" s="118" t="s">
        <v>3332</v>
      </c>
      <c r="B818" s="120"/>
      <c r="C818" s="118" t="s">
        <v>3332</v>
      </c>
      <c r="D818" s="120"/>
      <c r="E818" s="118" t="s">
        <v>42</v>
      </c>
      <c r="F818" s="120"/>
      <c r="G818" s="118" t="s">
        <v>3333</v>
      </c>
      <c r="H818" s="118" t="s">
        <v>3334</v>
      </c>
      <c r="I818" s="118" t="s">
        <v>3335</v>
      </c>
      <c r="J818" s="128" t="s">
        <v>714</v>
      </c>
      <c r="K818" s="123" t="s">
        <v>25</v>
      </c>
      <c r="L818" s="123" t="s">
        <v>25</v>
      </c>
      <c r="M818" s="120"/>
      <c r="N818" s="129" t="s">
        <v>3336</v>
      </c>
      <c r="O818" s="120"/>
      <c r="P818" s="120"/>
    </row>
    <row r="819">
      <c r="A819" s="118" t="s">
        <v>3337</v>
      </c>
      <c r="B819" s="120"/>
      <c r="C819" s="118" t="s">
        <v>3337</v>
      </c>
      <c r="D819" s="120"/>
      <c r="E819" s="118" t="s">
        <v>42</v>
      </c>
      <c r="F819" s="120"/>
      <c r="G819" s="118" t="s">
        <v>3338</v>
      </c>
      <c r="H819" s="118" t="s">
        <v>3339</v>
      </c>
      <c r="I819" s="118" t="s">
        <v>3340</v>
      </c>
      <c r="J819" s="128" t="s">
        <v>714</v>
      </c>
      <c r="K819" s="123" t="s">
        <v>25</v>
      </c>
      <c r="L819" s="123" t="s">
        <v>25</v>
      </c>
      <c r="M819" s="120"/>
      <c r="N819" s="129" t="s">
        <v>3341</v>
      </c>
      <c r="O819" s="120"/>
      <c r="P819" s="120"/>
    </row>
    <row r="820">
      <c r="A820" s="118" t="s">
        <v>3342</v>
      </c>
      <c r="B820" s="120"/>
      <c r="C820" s="118" t="s">
        <v>3342</v>
      </c>
      <c r="D820" s="120"/>
      <c r="E820" s="118" t="s">
        <v>42</v>
      </c>
      <c r="F820" s="120"/>
      <c r="G820" s="118" t="s">
        <v>3343</v>
      </c>
      <c r="H820" s="118" t="s">
        <v>3344</v>
      </c>
      <c r="I820" s="118" t="s">
        <v>3345</v>
      </c>
      <c r="J820" s="128" t="s">
        <v>714</v>
      </c>
      <c r="K820" s="123" t="s">
        <v>25</v>
      </c>
      <c r="L820" s="123" t="s">
        <v>25</v>
      </c>
      <c r="M820" s="120"/>
      <c r="N820" s="129" t="s">
        <v>3346</v>
      </c>
      <c r="O820" s="120"/>
      <c r="P820" s="120"/>
    </row>
    <row r="821">
      <c r="A821" s="118" t="s">
        <v>3347</v>
      </c>
      <c r="B821" s="120"/>
      <c r="C821" s="118" t="s">
        <v>3347</v>
      </c>
      <c r="D821" s="120"/>
      <c r="E821" s="118" t="s">
        <v>42</v>
      </c>
      <c r="F821" s="120"/>
      <c r="G821" s="118" t="s">
        <v>3348</v>
      </c>
      <c r="H821" s="118" t="s">
        <v>3349</v>
      </c>
      <c r="I821" s="118" t="s">
        <v>3350</v>
      </c>
      <c r="J821" s="128" t="s">
        <v>714</v>
      </c>
      <c r="K821" s="123" t="s">
        <v>25</v>
      </c>
      <c r="L821" s="123" t="s">
        <v>25</v>
      </c>
      <c r="M821" s="120"/>
      <c r="N821" s="129" t="s">
        <v>3351</v>
      </c>
      <c r="O821" s="120"/>
      <c r="P821" s="120"/>
    </row>
    <row r="822">
      <c r="A822" s="118" t="s">
        <v>3352</v>
      </c>
      <c r="B822" s="120"/>
      <c r="C822" s="118" t="s">
        <v>3352</v>
      </c>
      <c r="D822" s="120"/>
      <c r="E822" s="118" t="s">
        <v>42</v>
      </c>
      <c r="F822" s="120"/>
      <c r="G822" s="118" t="s">
        <v>3353</v>
      </c>
      <c r="H822" s="118" t="s">
        <v>3354</v>
      </c>
      <c r="I822" s="118" t="s">
        <v>3355</v>
      </c>
      <c r="J822" s="128" t="s">
        <v>714</v>
      </c>
      <c r="K822" s="123" t="s">
        <v>25</v>
      </c>
      <c r="L822" s="123" t="s">
        <v>25</v>
      </c>
      <c r="M822" s="120"/>
      <c r="N822" s="129" t="s">
        <v>3356</v>
      </c>
      <c r="O822" s="120"/>
      <c r="P822" s="120"/>
    </row>
    <row r="823">
      <c r="A823" s="118" t="s">
        <v>3357</v>
      </c>
      <c r="B823" s="120"/>
      <c r="C823" s="118" t="s">
        <v>3357</v>
      </c>
      <c r="D823" s="120"/>
      <c r="E823" s="118" t="s">
        <v>42</v>
      </c>
      <c r="F823" s="120"/>
      <c r="G823" s="118" t="s">
        <v>3358</v>
      </c>
      <c r="H823" s="118" t="s">
        <v>3359</v>
      </c>
      <c r="I823" s="118" t="s">
        <v>3360</v>
      </c>
      <c r="J823" s="128" t="s">
        <v>714</v>
      </c>
      <c r="K823" s="123" t="s">
        <v>25</v>
      </c>
      <c r="L823" s="123" t="s">
        <v>25</v>
      </c>
      <c r="M823" s="120"/>
      <c r="N823" s="129" t="s">
        <v>3361</v>
      </c>
      <c r="O823" s="120"/>
      <c r="P823" s="120"/>
    </row>
    <row r="824" hidden="1">
      <c r="A824" s="118" t="s">
        <v>2691</v>
      </c>
      <c r="B824" s="120"/>
      <c r="C824" s="118" t="s">
        <v>2691</v>
      </c>
      <c r="D824" s="120"/>
      <c r="E824" s="88" t="s">
        <v>41</v>
      </c>
      <c r="F824" s="120"/>
      <c r="G824" s="118" t="s">
        <v>3362</v>
      </c>
      <c r="H824" s="118" t="s">
        <v>2693</v>
      </c>
      <c r="I824" s="145" t="s">
        <v>2694</v>
      </c>
      <c r="J824" s="122" t="s">
        <v>74</v>
      </c>
      <c r="K824" s="123" t="s">
        <v>25</v>
      </c>
      <c r="L824" s="123" t="s">
        <v>25</v>
      </c>
      <c r="M824" s="120"/>
      <c r="N824" s="154" t="s">
        <v>3363</v>
      </c>
      <c r="O824" s="120"/>
      <c r="P824" s="120"/>
    </row>
    <row r="825" hidden="1">
      <c r="A825" s="118" t="s">
        <v>3364</v>
      </c>
      <c r="B825" s="120"/>
      <c r="C825" s="118" t="s">
        <v>3364</v>
      </c>
      <c r="D825" s="120"/>
      <c r="E825" s="88" t="s">
        <v>41</v>
      </c>
      <c r="F825" s="120"/>
      <c r="G825" s="145" t="s">
        <v>3365</v>
      </c>
      <c r="H825" s="118" t="s">
        <v>2693</v>
      </c>
      <c r="I825" s="145" t="s">
        <v>2694</v>
      </c>
      <c r="J825" s="122" t="s">
        <v>74</v>
      </c>
      <c r="K825" s="123" t="s">
        <v>25</v>
      </c>
      <c r="L825" s="123" t="s">
        <v>25</v>
      </c>
      <c r="M825" s="120"/>
      <c r="N825" s="129" t="s">
        <v>3366</v>
      </c>
      <c r="O825" s="120"/>
      <c r="P825" s="120"/>
    </row>
    <row r="826">
      <c r="A826" s="118" t="s">
        <v>2680</v>
      </c>
      <c r="B826" s="120"/>
      <c r="C826" s="118" t="s">
        <v>2680</v>
      </c>
      <c r="D826" s="120"/>
      <c r="E826" s="118" t="s">
        <v>42</v>
      </c>
      <c r="F826" s="120"/>
      <c r="G826" s="118" t="s">
        <v>3367</v>
      </c>
      <c r="H826" s="118" t="s">
        <v>2682</v>
      </c>
      <c r="I826" s="148" t="s">
        <v>3368</v>
      </c>
      <c r="J826" s="128" t="s">
        <v>714</v>
      </c>
      <c r="K826" s="123" t="s">
        <v>75</v>
      </c>
      <c r="L826" s="123" t="s">
        <v>76</v>
      </c>
      <c r="M826" s="120"/>
      <c r="N826" s="129" t="s">
        <v>3369</v>
      </c>
      <c r="O826" s="120"/>
      <c r="P826" s="120"/>
    </row>
    <row r="827" hidden="1">
      <c r="A827" s="118" t="s">
        <v>3370</v>
      </c>
      <c r="B827" s="120"/>
      <c r="C827" s="118" t="s">
        <v>3370</v>
      </c>
      <c r="D827" s="120"/>
      <c r="E827" s="118" t="s">
        <v>42</v>
      </c>
      <c r="F827" s="120"/>
      <c r="G827" s="118" t="s">
        <v>3371</v>
      </c>
      <c r="H827" s="118" t="s">
        <v>3372</v>
      </c>
      <c r="I827" s="118" t="s">
        <v>3373</v>
      </c>
      <c r="J827" s="122" t="s">
        <v>74</v>
      </c>
      <c r="K827" s="123" t="s">
        <v>25</v>
      </c>
      <c r="L827" s="123" t="s">
        <v>25</v>
      </c>
      <c r="M827" s="118" t="s">
        <v>3374</v>
      </c>
      <c r="N827" s="129" t="s">
        <v>3375</v>
      </c>
      <c r="O827" s="120"/>
      <c r="P827" s="120"/>
    </row>
    <row r="828">
      <c r="A828" s="118" t="s">
        <v>3376</v>
      </c>
      <c r="B828" s="120"/>
      <c r="C828" s="118" t="s">
        <v>3376</v>
      </c>
      <c r="D828" s="120"/>
      <c r="E828" s="118" t="s">
        <v>42</v>
      </c>
      <c r="F828" s="120"/>
      <c r="G828" s="118" t="s">
        <v>3377</v>
      </c>
      <c r="H828" s="118" t="s">
        <v>3378</v>
      </c>
      <c r="I828" s="118" t="s">
        <v>3379</v>
      </c>
      <c r="J828" s="128" t="s">
        <v>714</v>
      </c>
      <c r="K828" s="123" t="s">
        <v>25</v>
      </c>
      <c r="L828" s="123" t="s">
        <v>25</v>
      </c>
      <c r="M828" s="118" t="s">
        <v>772</v>
      </c>
      <c r="N828" s="129" t="s">
        <v>3380</v>
      </c>
      <c r="O828" s="120"/>
      <c r="P828" s="120"/>
    </row>
    <row r="829" hidden="1">
      <c r="A829" s="118" t="s">
        <v>3381</v>
      </c>
      <c r="B829" s="120"/>
      <c r="C829" s="118" t="s">
        <v>3381</v>
      </c>
      <c r="D829" s="120"/>
      <c r="E829" s="88" t="s">
        <v>41</v>
      </c>
      <c r="F829" s="120"/>
      <c r="G829" s="118" t="s">
        <v>3382</v>
      </c>
      <c r="H829" s="155" t="s">
        <v>3383</v>
      </c>
      <c r="I829" s="118" t="s">
        <v>3384</v>
      </c>
      <c r="J829" s="122" t="s">
        <v>74</v>
      </c>
      <c r="K829" s="123" t="s">
        <v>25</v>
      </c>
      <c r="L829" s="123" t="s">
        <v>25</v>
      </c>
      <c r="M829" s="118" t="s">
        <v>2886</v>
      </c>
      <c r="N829" s="129" t="s">
        <v>3385</v>
      </c>
      <c r="O829" s="120"/>
      <c r="P829" s="120"/>
    </row>
    <row r="830">
      <c r="A830" s="118" t="s">
        <v>3386</v>
      </c>
      <c r="B830" s="120"/>
      <c r="C830" s="118" t="s">
        <v>3386</v>
      </c>
      <c r="D830" s="120"/>
      <c r="E830" s="106" t="s">
        <v>34</v>
      </c>
      <c r="F830" s="120"/>
      <c r="G830" s="118" t="s">
        <v>3387</v>
      </c>
      <c r="H830" s="148" t="s">
        <v>3388</v>
      </c>
      <c r="I830" s="118" t="s">
        <v>3389</v>
      </c>
      <c r="J830" s="128" t="s">
        <v>714</v>
      </c>
      <c r="K830" s="123" t="s">
        <v>25</v>
      </c>
      <c r="L830" s="123" t="s">
        <v>25</v>
      </c>
      <c r="M830" s="118" t="s">
        <v>2454</v>
      </c>
      <c r="N830" s="129" t="s">
        <v>3390</v>
      </c>
      <c r="O830" s="120"/>
      <c r="P830" s="120"/>
    </row>
    <row r="831">
      <c r="A831" s="96" t="s">
        <v>769</v>
      </c>
      <c r="B831" s="113"/>
      <c r="C831" s="88" t="s">
        <v>769</v>
      </c>
      <c r="D831" s="98"/>
      <c r="E831" s="88" t="s">
        <v>397</v>
      </c>
      <c r="F831" s="98"/>
      <c r="G831" s="88" t="s">
        <v>3391</v>
      </c>
      <c r="H831" s="88" t="s">
        <v>3392</v>
      </c>
      <c r="I831" s="88" t="s">
        <v>3393</v>
      </c>
      <c r="J831" s="110" t="s">
        <v>714</v>
      </c>
      <c r="K831" s="100" t="s">
        <v>25</v>
      </c>
      <c r="L831" s="100" t="s">
        <v>25</v>
      </c>
      <c r="M831" s="98" t="s">
        <v>2454</v>
      </c>
      <c r="N831" s="105" t="s">
        <v>3394</v>
      </c>
      <c r="O831" s="98"/>
      <c r="P831" s="98"/>
    </row>
    <row r="832" hidden="1">
      <c r="A832" s="96" t="s">
        <v>764</v>
      </c>
      <c r="B832" s="113"/>
      <c r="C832" s="88" t="s">
        <v>764</v>
      </c>
      <c r="D832" s="98"/>
      <c r="E832" s="88" t="s">
        <v>397</v>
      </c>
      <c r="F832" s="98"/>
      <c r="G832" s="88" t="s">
        <v>3395</v>
      </c>
      <c r="H832" s="88" t="s">
        <v>3396</v>
      </c>
      <c r="I832" s="88" t="s">
        <v>3393</v>
      </c>
      <c r="J832" s="99" t="s">
        <v>74</v>
      </c>
      <c r="K832" s="100" t="s">
        <v>25</v>
      </c>
      <c r="L832" s="100" t="s">
        <v>25</v>
      </c>
      <c r="M832" s="98" t="s">
        <v>2454</v>
      </c>
      <c r="N832" s="105" t="s">
        <v>3397</v>
      </c>
      <c r="O832" s="98"/>
      <c r="P832" s="98"/>
    </row>
    <row r="833">
      <c r="A833" s="139" t="s">
        <v>3398</v>
      </c>
      <c r="B833" s="120"/>
      <c r="C833" s="118" t="s">
        <v>3398</v>
      </c>
      <c r="D833" s="120"/>
      <c r="E833" s="88" t="s">
        <v>31</v>
      </c>
      <c r="F833" s="120"/>
      <c r="G833" s="118" t="s">
        <v>3399</v>
      </c>
      <c r="H833" s="118" t="s">
        <v>3400</v>
      </c>
      <c r="I833" s="118" t="s">
        <v>3401</v>
      </c>
      <c r="J833" s="128" t="s">
        <v>714</v>
      </c>
      <c r="K833" s="123" t="s">
        <v>25</v>
      </c>
      <c r="L833" s="123" t="s">
        <v>25</v>
      </c>
      <c r="M833" s="118" t="s">
        <v>2454</v>
      </c>
      <c r="N833" s="129" t="s">
        <v>3402</v>
      </c>
      <c r="O833" s="120"/>
      <c r="P833" s="120"/>
    </row>
    <row r="834">
      <c r="A834" s="118" t="s">
        <v>3403</v>
      </c>
      <c r="B834" s="120"/>
      <c r="C834" s="118" t="s">
        <v>3403</v>
      </c>
      <c r="D834" s="120"/>
      <c r="E834" s="88" t="s">
        <v>36</v>
      </c>
      <c r="F834" s="120"/>
      <c r="G834" s="145" t="s">
        <v>3404</v>
      </c>
      <c r="H834" s="118" t="s">
        <v>3405</v>
      </c>
      <c r="I834" s="148" t="s">
        <v>3406</v>
      </c>
      <c r="J834" s="128" t="s">
        <v>714</v>
      </c>
      <c r="K834" s="123" t="s">
        <v>25</v>
      </c>
      <c r="L834" s="123" t="s">
        <v>25</v>
      </c>
      <c r="M834" s="118" t="s">
        <v>3407</v>
      </c>
      <c r="N834" s="129" t="s">
        <v>3408</v>
      </c>
      <c r="O834" s="120"/>
      <c r="P834" s="120"/>
    </row>
    <row r="835" hidden="1">
      <c r="A835" s="118" t="s">
        <v>3409</v>
      </c>
      <c r="B835" s="120"/>
      <c r="C835" s="118" t="s">
        <v>3410</v>
      </c>
      <c r="D835" s="120"/>
      <c r="E835" s="118" t="s">
        <v>3411</v>
      </c>
      <c r="F835" s="120"/>
      <c r="G835" s="118" t="s">
        <v>3412</v>
      </c>
      <c r="H835" s="118" t="s">
        <v>3413</v>
      </c>
      <c r="I835" s="118" t="s">
        <v>3414</v>
      </c>
      <c r="J835" s="122" t="s">
        <v>74</v>
      </c>
      <c r="K835" s="123" t="s">
        <v>75</v>
      </c>
      <c r="L835" s="123" t="s">
        <v>76</v>
      </c>
      <c r="M835" s="120"/>
      <c r="N835" s="129" t="s">
        <v>3415</v>
      </c>
      <c r="O835" s="120"/>
      <c r="P835" s="120"/>
    </row>
    <row r="836" hidden="1">
      <c r="A836" s="118" t="s">
        <v>3416</v>
      </c>
      <c r="B836" s="120"/>
      <c r="C836" s="118" t="s">
        <v>3416</v>
      </c>
      <c r="D836" s="120"/>
      <c r="E836" s="106" t="s">
        <v>34</v>
      </c>
      <c r="F836" s="120"/>
      <c r="G836" s="145" t="s">
        <v>3417</v>
      </c>
      <c r="H836" s="133" t="s">
        <v>3418</v>
      </c>
      <c r="I836" s="124" t="s">
        <v>3419</v>
      </c>
      <c r="J836" s="122" t="s">
        <v>74</v>
      </c>
      <c r="K836" s="123" t="s">
        <v>25</v>
      </c>
      <c r="L836" s="123" t="s">
        <v>25</v>
      </c>
      <c r="M836" s="118" t="s">
        <v>386</v>
      </c>
      <c r="N836" s="129" t="s">
        <v>3420</v>
      </c>
      <c r="O836" s="120"/>
      <c r="P836" s="120"/>
    </row>
    <row r="837" hidden="1">
      <c r="A837" s="130" t="s">
        <v>3421</v>
      </c>
      <c r="B837" s="156" t="s">
        <v>3422</v>
      </c>
      <c r="C837" s="118" t="s">
        <v>3423</v>
      </c>
      <c r="D837" s="120"/>
      <c r="E837" s="88" t="s">
        <v>40</v>
      </c>
      <c r="F837" s="120"/>
      <c r="G837" s="118" t="s">
        <v>3424</v>
      </c>
      <c r="H837" s="118" t="s">
        <v>3425</v>
      </c>
      <c r="I837" s="118" t="s">
        <v>3426</v>
      </c>
      <c r="J837" s="122" t="s">
        <v>74</v>
      </c>
      <c r="K837" s="123" t="s">
        <v>75</v>
      </c>
      <c r="L837" s="123" t="s">
        <v>76</v>
      </c>
      <c r="M837" s="120"/>
      <c r="N837" s="120"/>
      <c r="O837" s="120"/>
      <c r="P837" s="120"/>
    </row>
    <row r="838" hidden="1">
      <c r="A838" s="130" t="s">
        <v>3421</v>
      </c>
      <c r="B838" s="126"/>
      <c r="C838" s="118" t="s">
        <v>3427</v>
      </c>
      <c r="D838" s="120"/>
      <c r="E838" s="88" t="s">
        <v>40</v>
      </c>
      <c r="F838" s="120"/>
      <c r="G838" s="118" t="s">
        <v>3428</v>
      </c>
      <c r="H838" s="118" t="s">
        <v>3429</v>
      </c>
      <c r="I838" s="118" t="s">
        <v>3430</v>
      </c>
      <c r="J838" s="122" t="s">
        <v>74</v>
      </c>
      <c r="K838" s="118" t="s">
        <v>25</v>
      </c>
      <c r="L838" s="118" t="s">
        <v>25</v>
      </c>
      <c r="M838" s="118" t="s">
        <v>3431</v>
      </c>
      <c r="N838" s="120"/>
      <c r="O838" s="120"/>
      <c r="P838" s="120"/>
    </row>
    <row r="839" hidden="1">
      <c r="A839" s="130" t="s">
        <v>3421</v>
      </c>
      <c r="B839" s="126"/>
      <c r="C839" s="118" t="s">
        <v>3432</v>
      </c>
      <c r="D839" s="120"/>
      <c r="E839" s="88" t="s">
        <v>40</v>
      </c>
      <c r="F839" s="120"/>
      <c r="G839" s="118" t="s">
        <v>3433</v>
      </c>
      <c r="H839" s="120"/>
      <c r="I839" s="120"/>
      <c r="J839" s="122" t="s">
        <v>74</v>
      </c>
      <c r="K839" s="118" t="s">
        <v>25</v>
      </c>
      <c r="L839" s="118" t="s">
        <v>25</v>
      </c>
      <c r="M839" s="118" t="s">
        <v>3431</v>
      </c>
      <c r="N839" s="120"/>
      <c r="O839" s="120"/>
      <c r="P839" s="120"/>
    </row>
    <row r="840" hidden="1">
      <c r="A840" s="157" t="s">
        <v>3421</v>
      </c>
      <c r="B840" s="126"/>
      <c r="C840" s="118" t="s">
        <v>3434</v>
      </c>
      <c r="D840" s="120"/>
      <c r="E840" s="88" t="s">
        <v>40</v>
      </c>
      <c r="F840" s="120"/>
      <c r="G840" s="118" t="s">
        <v>3435</v>
      </c>
      <c r="H840" s="118" t="s">
        <v>3436</v>
      </c>
      <c r="I840" s="118" t="s">
        <v>3437</v>
      </c>
      <c r="J840" s="122" t="s">
        <v>74</v>
      </c>
      <c r="K840" s="118" t="s">
        <v>25</v>
      </c>
      <c r="L840" s="118" t="s">
        <v>25</v>
      </c>
      <c r="M840" s="118" t="s">
        <v>3431</v>
      </c>
      <c r="N840" s="120"/>
      <c r="O840" s="120"/>
      <c r="P840" s="120"/>
    </row>
    <row r="841" hidden="1">
      <c r="A841" s="130" t="s">
        <v>3421</v>
      </c>
      <c r="B841" s="126"/>
      <c r="C841" s="118" t="s">
        <v>3438</v>
      </c>
      <c r="D841" s="120"/>
      <c r="E841" s="88" t="s">
        <v>40</v>
      </c>
      <c r="F841" s="120"/>
      <c r="G841" s="118" t="s">
        <v>3439</v>
      </c>
      <c r="H841" s="118" t="s">
        <v>3440</v>
      </c>
      <c r="I841" s="118" t="s">
        <v>3441</v>
      </c>
      <c r="J841" s="122" t="s">
        <v>74</v>
      </c>
      <c r="K841" s="118" t="s">
        <v>25</v>
      </c>
      <c r="L841" s="118" t="s">
        <v>25</v>
      </c>
      <c r="M841" s="118" t="s">
        <v>3431</v>
      </c>
      <c r="N841" s="120"/>
      <c r="O841" s="120"/>
      <c r="P841" s="120"/>
    </row>
    <row r="842" hidden="1">
      <c r="A842" s="130" t="s">
        <v>3421</v>
      </c>
      <c r="B842" s="126"/>
      <c r="C842" s="118" t="s">
        <v>3442</v>
      </c>
      <c r="D842" s="120"/>
      <c r="E842" s="88" t="s">
        <v>40</v>
      </c>
      <c r="F842" s="120"/>
      <c r="G842" s="118" t="s">
        <v>3443</v>
      </c>
      <c r="H842" s="118" t="s">
        <v>3444</v>
      </c>
      <c r="I842" s="118" t="s">
        <v>3445</v>
      </c>
      <c r="J842" s="122" t="s">
        <v>74</v>
      </c>
      <c r="K842" s="118" t="s">
        <v>25</v>
      </c>
      <c r="L842" s="118" t="s">
        <v>25</v>
      </c>
      <c r="M842" s="118" t="s">
        <v>3431</v>
      </c>
      <c r="N842" s="120"/>
      <c r="O842" s="120"/>
      <c r="P842" s="120"/>
    </row>
    <row r="843" hidden="1">
      <c r="A843" s="130" t="s">
        <v>3421</v>
      </c>
      <c r="B843" s="126"/>
      <c r="C843" s="118" t="s">
        <v>3446</v>
      </c>
      <c r="D843" s="120"/>
      <c r="E843" s="88" t="s">
        <v>40</v>
      </c>
      <c r="F843" s="120"/>
      <c r="G843" s="118" t="s">
        <v>3447</v>
      </c>
      <c r="H843" s="118" t="s">
        <v>3448</v>
      </c>
      <c r="I843" s="118" t="s">
        <v>3449</v>
      </c>
      <c r="J843" s="122" t="s">
        <v>74</v>
      </c>
      <c r="K843" s="118" t="s">
        <v>25</v>
      </c>
      <c r="L843" s="118" t="s">
        <v>25</v>
      </c>
      <c r="M843" s="118" t="s">
        <v>3431</v>
      </c>
      <c r="N843" s="120"/>
      <c r="O843" s="120"/>
      <c r="P843" s="120"/>
    </row>
    <row r="844" hidden="1">
      <c r="A844" s="130" t="s">
        <v>3421</v>
      </c>
      <c r="B844" s="126"/>
      <c r="C844" s="118" t="s">
        <v>3450</v>
      </c>
      <c r="D844" s="120"/>
      <c r="E844" s="88" t="s">
        <v>40</v>
      </c>
      <c r="F844" s="120"/>
      <c r="G844" s="118" t="s">
        <v>3451</v>
      </c>
      <c r="H844" s="118" t="s">
        <v>3452</v>
      </c>
      <c r="I844" s="118" t="s">
        <v>3453</v>
      </c>
      <c r="J844" s="122" t="s">
        <v>74</v>
      </c>
      <c r="K844" s="118" t="s">
        <v>25</v>
      </c>
      <c r="L844" s="118" t="s">
        <v>25</v>
      </c>
      <c r="M844" s="118" t="s">
        <v>3431</v>
      </c>
      <c r="N844" s="120"/>
      <c r="O844" s="120"/>
      <c r="P844" s="120"/>
    </row>
    <row r="845" hidden="1">
      <c r="A845" s="130" t="s">
        <v>3421</v>
      </c>
      <c r="B845" s="126"/>
      <c r="C845" s="118" t="s">
        <v>3454</v>
      </c>
      <c r="D845" s="120"/>
      <c r="E845" s="88" t="s">
        <v>40</v>
      </c>
      <c r="F845" s="120"/>
      <c r="G845" s="118" t="s">
        <v>3455</v>
      </c>
      <c r="H845" s="118" t="s">
        <v>3456</v>
      </c>
      <c r="I845" s="118" t="s">
        <v>3457</v>
      </c>
      <c r="J845" s="122" t="s">
        <v>74</v>
      </c>
      <c r="K845" s="118" t="s">
        <v>25</v>
      </c>
      <c r="L845" s="118" t="s">
        <v>25</v>
      </c>
      <c r="M845" s="118" t="s">
        <v>3431</v>
      </c>
      <c r="N845" s="120"/>
      <c r="O845" s="120"/>
      <c r="P845" s="120"/>
    </row>
    <row r="846" hidden="1">
      <c r="A846" s="130" t="s">
        <v>3421</v>
      </c>
      <c r="B846" s="126"/>
      <c r="C846" s="118" t="s">
        <v>3458</v>
      </c>
      <c r="D846" s="120"/>
      <c r="E846" s="88" t="s">
        <v>40</v>
      </c>
      <c r="F846" s="120"/>
      <c r="G846" s="118" t="s">
        <v>3455</v>
      </c>
      <c r="H846" s="118" t="s">
        <v>3459</v>
      </c>
      <c r="I846" s="118" t="s">
        <v>3460</v>
      </c>
      <c r="J846" s="122" t="s">
        <v>74</v>
      </c>
      <c r="K846" s="118" t="s">
        <v>25</v>
      </c>
      <c r="L846" s="118" t="s">
        <v>25</v>
      </c>
      <c r="M846" s="118" t="s">
        <v>3431</v>
      </c>
      <c r="N846" s="120"/>
      <c r="O846" s="120"/>
      <c r="P846" s="120"/>
    </row>
    <row r="847" hidden="1">
      <c r="A847" s="157" t="s">
        <v>3421</v>
      </c>
      <c r="B847" s="126"/>
      <c r="C847" s="118" t="s">
        <v>3461</v>
      </c>
      <c r="D847" s="120"/>
      <c r="E847" s="88" t="s">
        <v>40</v>
      </c>
      <c r="F847" s="120"/>
      <c r="G847" s="118" t="s">
        <v>3462</v>
      </c>
      <c r="H847" s="118" t="s">
        <v>3463</v>
      </c>
      <c r="I847" s="118" t="s">
        <v>3464</v>
      </c>
      <c r="J847" s="122" t="s">
        <v>74</v>
      </c>
      <c r="K847" s="118" t="s">
        <v>25</v>
      </c>
      <c r="L847" s="118" t="s">
        <v>25</v>
      </c>
      <c r="M847" s="118" t="s">
        <v>3431</v>
      </c>
      <c r="N847" s="120"/>
      <c r="O847" s="120"/>
      <c r="P847" s="120"/>
    </row>
    <row r="848" hidden="1">
      <c r="A848" s="130" t="s">
        <v>3421</v>
      </c>
      <c r="B848" s="126"/>
      <c r="C848" s="118" t="s">
        <v>3465</v>
      </c>
      <c r="D848" s="120"/>
      <c r="E848" s="88" t="s">
        <v>40</v>
      </c>
      <c r="F848" s="120"/>
      <c r="G848" s="118" t="s">
        <v>3466</v>
      </c>
      <c r="H848" s="118" t="s">
        <v>3467</v>
      </c>
      <c r="I848" s="118" t="s">
        <v>3468</v>
      </c>
      <c r="J848" s="122" t="s">
        <v>74</v>
      </c>
      <c r="K848" s="118" t="s">
        <v>25</v>
      </c>
      <c r="L848" s="118" t="s">
        <v>25</v>
      </c>
      <c r="M848" s="118" t="s">
        <v>3431</v>
      </c>
      <c r="N848" s="120"/>
      <c r="O848" s="120"/>
      <c r="P848" s="120"/>
    </row>
    <row r="849" hidden="1">
      <c r="A849" s="130" t="s">
        <v>3421</v>
      </c>
      <c r="B849" s="126"/>
      <c r="C849" s="118" t="s">
        <v>3469</v>
      </c>
      <c r="D849" s="120"/>
      <c r="E849" s="88" t="s">
        <v>40</v>
      </c>
      <c r="F849" s="120"/>
      <c r="G849" s="118" t="s">
        <v>3470</v>
      </c>
      <c r="H849" s="118" t="s">
        <v>3471</v>
      </c>
      <c r="I849" s="120"/>
      <c r="J849" s="122" t="s">
        <v>74</v>
      </c>
      <c r="K849" s="118" t="s">
        <v>25</v>
      </c>
      <c r="L849" s="118" t="s">
        <v>25</v>
      </c>
      <c r="M849" s="118" t="s">
        <v>3431</v>
      </c>
      <c r="N849" s="120"/>
      <c r="O849" s="120"/>
      <c r="P849" s="120"/>
    </row>
    <row r="850" hidden="1">
      <c r="A850" s="130" t="s">
        <v>3421</v>
      </c>
      <c r="B850" s="10"/>
      <c r="C850" s="118" t="s">
        <v>3472</v>
      </c>
      <c r="D850" s="120"/>
      <c r="E850" s="88" t="s">
        <v>40</v>
      </c>
      <c r="F850" s="120"/>
      <c r="G850" s="118" t="s">
        <v>3473</v>
      </c>
      <c r="H850" s="118" t="s">
        <v>3474</v>
      </c>
      <c r="I850" s="118" t="s">
        <v>3475</v>
      </c>
      <c r="J850" s="122" t="s">
        <v>74</v>
      </c>
      <c r="K850" s="118" t="s">
        <v>25</v>
      </c>
      <c r="L850" s="118" t="s">
        <v>25</v>
      </c>
      <c r="M850" s="118" t="s">
        <v>3431</v>
      </c>
      <c r="N850" s="120"/>
      <c r="O850" s="120"/>
      <c r="P850" s="120"/>
    </row>
    <row r="851" hidden="1">
      <c r="A851" s="118" t="s">
        <v>3476</v>
      </c>
      <c r="B851" s="158" t="s">
        <v>3477</v>
      </c>
      <c r="C851" s="118" t="s">
        <v>3478</v>
      </c>
      <c r="D851" s="120"/>
      <c r="E851" s="118" t="s">
        <v>3479</v>
      </c>
      <c r="F851" s="120"/>
      <c r="G851" s="118" t="s">
        <v>3480</v>
      </c>
      <c r="H851" s="118" t="s">
        <v>3481</v>
      </c>
      <c r="I851" s="118" t="s">
        <v>3482</v>
      </c>
      <c r="J851" s="122" t="s">
        <v>74</v>
      </c>
      <c r="K851" s="118" t="s">
        <v>25</v>
      </c>
      <c r="L851" s="118" t="s">
        <v>25</v>
      </c>
      <c r="M851" s="118" t="s">
        <v>3483</v>
      </c>
      <c r="N851" s="120"/>
      <c r="O851" s="120"/>
      <c r="P851" s="120"/>
    </row>
    <row r="852" hidden="1">
      <c r="A852" s="118" t="s">
        <v>3476</v>
      </c>
      <c r="B852" s="126"/>
      <c r="C852" s="118" t="s">
        <v>3484</v>
      </c>
      <c r="D852" s="120"/>
      <c r="E852" s="118" t="s">
        <v>3479</v>
      </c>
      <c r="F852" s="120"/>
      <c r="G852" s="118" t="s">
        <v>3485</v>
      </c>
      <c r="H852" s="118" t="s">
        <v>3486</v>
      </c>
      <c r="I852" s="118" t="s">
        <v>3487</v>
      </c>
      <c r="J852" s="122" t="s">
        <v>74</v>
      </c>
      <c r="K852" s="118" t="s">
        <v>25</v>
      </c>
      <c r="L852" s="118" t="s">
        <v>25</v>
      </c>
      <c r="M852" s="118" t="s">
        <v>3483</v>
      </c>
      <c r="N852" s="120"/>
      <c r="O852" s="120"/>
      <c r="P852" s="120"/>
    </row>
    <row r="853" hidden="1">
      <c r="A853" s="118" t="s">
        <v>3476</v>
      </c>
      <c r="B853" s="126"/>
      <c r="C853" s="118" t="s">
        <v>3488</v>
      </c>
      <c r="D853" s="120"/>
      <c r="E853" s="118" t="s">
        <v>3479</v>
      </c>
      <c r="F853" s="120"/>
      <c r="G853" s="118" t="s">
        <v>3489</v>
      </c>
      <c r="H853" s="118" t="s">
        <v>3490</v>
      </c>
      <c r="I853" s="118" t="s">
        <v>3491</v>
      </c>
      <c r="J853" s="122" t="s">
        <v>74</v>
      </c>
      <c r="K853" s="118" t="s">
        <v>25</v>
      </c>
      <c r="L853" s="118" t="s">
        <v>25</v>
      </c>
      <c r="M853" s="118" t="s">
        <v>3483</v>
      </c>
      <c r="N853" s="120"/>
      <c r="O853" s="120"/>
      <c r="P853" s="120"/>
    </row>
    <row r="854" hidden="1">
      <c r="A854" s="118" t="s">
        <v>3476</v>
      </c>
      <c r="B854" s="126"/>
      <c r="C854" s="118" t="s">
        <v>3492</v>
      </c>
      <c r="D854" s="120"/>
      <c r="E854" s="118" t="s">
        <v>3479</v>
      </c>
      <c r="F854" s="120"/>
      <c r="G854" s="118" t="s">
        <v>3493</v>
      </c>
      <c r="H854" s="118" t="s">
        <v>3494</v>
      </c>
      <c r="I854" s="118" t="s">
        <v>3495</v>
      </c>
      <c r="J854" s="122" t="s">
        <v>74</v>
      </c>
      <c r="K854" s="118" t="s">
        <v>25</v>
      </c>
      <c r="L854" s="118" t="s">
        <v>25</v>
      </c>
      <c r="M854" s="118" t="s">
        <v>3483</v>
      </c>
      <c r="N854" s="120"/>
      <c r="O854" s="120"/>
      <c r="P854" s="120"/>
    </row>
    <row r="855" hidden="1">
      <c r="A855" s="118" t="s">
        <v>3476</v>
      </c>
      <c r="B855" s="126"/>
      <c r="C855" s="118" t="s">
        <v>3496</v>
      </c>
      <c r="D855" s="120"/>
      <c r="E855" s="118" t="s">
        <v>3479</v>
      </c>
      <c r="F855" s="120"/>
      <c r="G855" s="118" t="s">
        <v>3497</v>
      </c>
      <c r="H855" s="118" t="s">
        <v>3498</v>
      </c>
      <c r="I855" s="118" t="s">
        <v>3499</v>
      </c>
      <c r="J855" s="122" t="s">
        <v>74</v>
      </c>
      <c r="K855" s="118" t="s">
        <v>25</v>
      </c>
      <c r="L855" s="118" t="s">
        <v>25</v>
      </c>
      <c r="M855" s="118" t="s">
        <v>3483</v>
      </c>
      <c r="N855" s="120"/>
      <c r="O855" s="120"/>
      <c r="P855" s="120"/>
    </row>
    <row r="856" hidden="1">
      <c r="A856" s="118" t="s">
        <v>3476</v>
      </c>
      <c r="B856" s="126"/>
      <c r="C856" s="118" t="s">
        <v>3500</v>
      </c>
      <c r="D856" s="120"/>
      <c r="E856" s="118" t="s">
        <v>3479</v>
      </c>
      <c r="F856" s="120"/>
      <c r="G856" s="118" t="s">
        <v>3501</v>
      </c>
      <c r="H856" s="118" t="s">
        <v>3502</v>
      </c>
      <c r="I856" s="118" t="s">
        <v>3503</v>
      </c>
      <c r="J856" s="122" t="s">
        <v>74</v>
      </c>
      <c r="K856" s="118" t="s">
        <v>25</v>
      </c>
      <c r="L856" s="118" t="s">
        <v>25</v>
      </c>
      <c r="M856" s="118" t="s">
        <v>3483</v>
      </c>
      <c r="N856" s="120"/>
      <c r="O856" s="120"/>
      <c r="P856" s="120"/>
    </row>
    <row r="857" hidden="1">
      <c r="A857" s="118" t="s">
        <v>3476</v>
      </c>
      <c r="B857" s="126"/>
      <c r="C857" s="118" t="s">
        <v>3504</v>
      </c>
      <c r="D857" s="120"/>
      <c r="E857" s="118" t="s">
        <v>3479</v>
      </c>
      <c r="F857" s="120"/>
      <c r="G857" s="118" t="s">
        <v>3505</v>
      </c>
      <c r="H857" s="118" t="s">
        <v>3506</v>
      </c>
      <c r="I857" s="118" t="s">
        <v>3507</v>
      </c>
      <c r="J857" s="122" t="s">
        <v>74</v>
      </c>
      <c r="K857" s="118" t="s">
        <v>25</v>
      </c>
      <c r="L857" s="118" t="s">
        <v>25</v>
      </c>
      <c r="M857" s="118" t="s">
        <v>3483</v>
      </c>
      <c r="N857" s="120"/>
      <c r="O857" s="120"/>
      <c r="P857" s="120"/>
    </row>
    <row r="858" hidden="1">
      <c r="A858" s="118" t="s">
        <v>3476</v>
      </c>
      <c r="B858" s="126"/>
      <c r="C858" s="118" t="s">
        <v>3508</v>
      </c>
      <c r="D858" s="120"/>
      <c r="E858" s="118" t="s">
        <v>3479</v>
      </c>
      <c r="F858" s="120"/>
      <c r="G858" s="118" t="s">
        <v>3509</v>
      </c>
      <c r="H858" s="118" t="s">
        <v>3510</v>
      </c>
      <c r="I858" s="118" t="s">
        <v>3511</v>
      </c>
      <c r="J858" s="122" t="s">
        <v>74</v>
      </c>
      <c r="K858" s="118" t="s">
        <v>25</v>
      </c>
      <c r="L858" s="118" t="s">
        <v>25</v>
      </c>
      <c r="M858" s="118" t="s">
        <v>3483</v>
      </c>
      <c r="N858" s="120"/>
      <c r="O858" s="120"/>
      <c r="P858" s="120"/>
    </row>
    <row r="859" hidden="1">
      <c r="A859" s="118" t="s">
        <v>3476</v>
      </c>
      <c r="B859" s="126"/>
      <c r="C859" s="118" t="s">
        <v>3512</v>
      </c>
      <c r="D859" s="120"/>
      <c r="E859" s="118" t="s">
        <v>3479</v>
      </c>
      <c r="F859" s="120"/>
      <c r="G859" s="118" t="s">
        <v>3513</v>
      </c>
      <c r="H859" s="118" t="s">
        <v>3514</v>
      </c>
      <c r="I859" s="118" t="s">
        <v>3515</v>
      </c>
      <c r="J859" s="122" t="s">
        <v>74</v>
      </c>
      <c r="K859" s="118" t="s">
        <v>25</v>
      </c>
      <c r="L859" s="118" t="s">
        <v>25</v>
      </c>
      <c r="M859" s="118" t="s">
        <v>3483</v>
      </c>
      <c r="N859" s="120"/>
      <c r="O859" s="120"/>
      <c r="P859" s="120"/>
    </row>
    <row r="860" hidden="1">
      <c r="A860" s="118" t="s">
        <v>3476</v>
      </c>
      <c r="B860" s="126"/>
      <c r="C860" s="118" t="s">
        <v>3516</v>
      </c>
      <c r="D860" s="120"/>
      <c r="E860" s="118" t="s">
        <v>3479</v>
      </c>
      <c r="F860" s="120"/>
      <c r="G860" s="118" t="s">
        <v>3517</v>
      </c>
      <c r="H860" s="130" t="s">
        <v>3518</v>
      </c>
      <c r="I860" s="130" t="s">
        <v>3519</v>
      </c>
      <c r="J860" s="122" t="s">
        <v>74</v>
      </c>
      <c r="K860" s="118" t="s">
        <v>25</v>
      </c>
      <c r="L860" s="118" t="s">
        <v>25</v>
      </c>
      <c r="M860" s="118" t="s">
        <v>3483</v>
      </c>
      <c r="N860" s="120"/>
      <c r="O860" s="120"/>
      <c r="P860" s="120"/>
    </row>
    <row r="861" hidden="1">
      <c r="A861" s="118" t="s">
        <v>3476</v>
      </c>
      <c r="B861" s="126"/>
      <c r="C861" s="118" t="s">
        <v>3520</v>
      </c>
      <c r="D861" s="120"/>
      <c r="E861" s="118" t="s">
        <v>3479</v>
      </c>
      <c r="F861" s="120"/>
      <c r="G861" s="118" t="s">
        <v>3521</v>
      </c>
      <c r="H861" s="130" t="s">
        <v>3522</v>
      </c>
      <c r="I861" s="130" t="s">
        <v>3523</v>
      </c>
      <c r="J861" s="122" t="s">
        <v>74</v>
      </c>
      <c r="K861" s="118" t="s">
        <v>25</v>
      </c>
      <c r="L861" s="118" t="s">
        <v>25</v>
      </c>
      <c r="M861" s="118" t="s">
        <v>3483</v>
      </c>
      <c r="N861" s="120"/>
      <c r="O861" s="120"/>
      <c r="P861" s="120"/>
    </row>
    <row r="862" hidden="1">
      <c r="A862" s="118" t="s">
        <v>3476</v>
      </c>
      <c r="B862" s="126"/>
      <c r="C862" s="118" t="s">
        <v>3524</v>
      </c>
      <c r="D862" s="120"/>
      <c r="E862" s="118" t="s">
        <v>3479</v>
      </c>
      <c r="F862" s="120"/>
      <c r="G862" s="118" t="s">
        <v>3525</v>
      </c>
      <c r="H862" s="130" t="s">
        <v>3526</v>
      </c>
      <c r="I862" s="130" t="s">
        <v>3527</v>
      </c>
      <c r="J862" s="122" t="s">
        <v>74</v>
      </c>
      <c r="K862" s="118" t="s">
        <v>25</v>
      </c>
      <c r="L862" s="118" t="s">
        <v>25</v>
      </c>
      <c r="M862" s="118" t="s">
        <v>3483</v>
      </c>
      <c r="N862" s="120"/>
      <c r="O862" s="120"/>
      <c r="P862" s="120"/>
    </row>
    <row r="863" hidden="1">
      <c r="A863" s="118" t="s">
        <v>3476</v>
      </c>
      <c r="B863" s="126"/>
      <c r="C863" s="118" t="s">
        <v>3528</v>
      </c>
      <c r="D863" s="120"/>
      <c r="E863" s="118" t="s">
        <v>3479</v>
      </c>
      <c r="F863" s="120"/>
      <c r="G863" s="118" t="s">
        <v>3529</v>
      </c>
      <c r="H863" s="130" t="s">
        <v>3530</v>
      </c>
      <c r="I863" s="130" t="s">
        <v>3531</v>
      </c>
      <c r="J863" s="122" t="s">
        <v>74</v>
      </c>
      <c r="K863" s="118" t="s">
        <v>25</v>
      </c>
      <c r="L863" s="118" t="s">
        <v>25</v>
      </c>
      <c r="M863" s="118" t="s">
        <v>3483</v>
      </c>
      <c r="N863" s="120"/>
      <c r="O863" s="120"/>
      <c r="P863" s="120"/>
    </row>
    <row r="864" hidden="1">
      <c r="A864" s="118" t="s">
        <v>3476</v>
      </c>
      <c r="B864" s="126"/>
      <c r="C864" s="118" t="s">
        <v>3532</v>
      </c>
      <c r="D864" s="120"/>
      <c r="E864" s="118" t="s">
        <v>3479</v>
      </c>
      <c r="F864" s="120"/>
      <c r="G864" s="118" t="s">
        <v>3533</v>
      </c>
      <c r="H864" s="130" t="s">
        <v>3534</v>
      </c>
      <c r="I864" s="130" t="s">
        <v>3531</v>
      </c>
      <c r="J864" s="122" t="s">
        <v>74</v>
      </c>
      <c r="K864" s="118" t="s">
        <v>25</v>
      </c>
      <c r="L864" s="118" t="s">
        <v>25</v>
      </c>
      <c r="M864" s="118" t="s">
        <v>3483</v>
      </c>
      <c r="N864" s="120"/>
      <c r="O864" s="120"/>
      <c r="P864" s="120"/>
    </row>
    <row r="865" hidden="1">
      <c r="A865" s="118" t="s">
        <v>3476</v>
      </c>
      <c r="B865" s="126"/>
      <c r="C865" s="118" t="s">
        <v>3535</v>
      </c>
      <c r="D865" s="120"/>
      <c r="E865" s="118" t="s">
        <v>3479</v>
      </c>
      <c r="F865" s="120"/>
      <c r="G865" s="118" t="s">
        <v>3536</v>
      </c>
      <c r="H865" s="130" t="s">
        <v>3537</v>
      </c>
      <c r="I865" s="130" t="s">
        <v>3538</v>
      </c>
      <c r="J865" s="122" t="s">
        <v>74</v>
      </c>
      <c r="K865" s="118" t="s">
        <v>25</v>
      </c>
      <c r="L865" s="118" t="s">
        <v>25</v>
      </c>
      <c r="M865" s="118" t="s">
        <v>3483</v>
      </c>
      <c r="N865" s="120"/>
      <c r="O865" s="120"/>
      <c r="P865" s="120"/>
    </row>
    <row r="866" hidden="1">
      <c r="A866" s="118" t="s">
        <v>3476</v>
      </c>
      <c r="B866" s="126"/>
      <c r="C866" s="118" t="s">
        <v>3539</v>
      </c>
      <c r="D866" s="120"/>
      <c r="E866" s="118" t="s">
        <v>3479</v>
      </c>
      <c r="F866" s="120"/>
      <c r="G866" s="118" t="s">
        <v>3540</v>
      </c>
      <c r="H866" s="130" t="s">
        <v>3541</v>
      </c>
      <c r="I866" s="130" t="s">
        <v>3542</v>
      </c>
      <c r="J866" s="122" t="s">
        <v>74</v>
      </c>
      <c r="K866" s="118" t="s">
        <v>25</v>
      </c>
      <c r="L866" s="118" t="s">
        <v>25</v>
      </c>
      <c r="M866" s="118" t="s">
        <v>3483</v>
      </c>
      <c r="N866" s="120"/>
      <c r="O866" s="120"/>
      <c r="P866" s="120"/>
    </row>
    <row r="867" hidden="1">
      <c r="A867" s="118" t="s">
        <v>3476</v>
      </c>
      <c r="B867" s="126"/>
      <c r="C867" s="118" t="s">
        <v>3543</v>
      </c>
      <c r="D867" s="120"/>
      <c r="E867" s="118" t="s">
        <v>3479</v>
      </c>
      <c r="F867" s="120"/>
      <c r="G867" s="118" t="s">
        <v>3544</v>
      </c>
      <c r="H867" s="130" t="s">
        <v>3545</v>
      </c>
      <c r="I867" s="130" t="s">
        <v>3546</v>
      </c>
      <c r="J867" s="122" t="s">
        <v>74</v>
      </c>
      <c r="K867" s="118" t="s">
        <v>25</v>
      </c>
      <c r="L867" s="118" t="s">
        <v>25</v>
      </c>
      <c r="M867" s="118" t="s">
        <v>3483</v>
      </c>
      <c r="N867" s="120"/>
      <c r="O867" s="120"/>
      <c r="P867" s="120"/>
    </row>
    <row r="868" hidden="1">
      <c r="A868" s="118" t="s">
        <v>3476</v>
      </c>
      <c r="B868" s="126"/>
      <c r="C868" s="118" t="s">
        <v>3547</v>
      </c>
      <c r="D868" s="120"/>
      <c r="E868" s="118" t="s">
        <v>3479</v>
      </c>
      <c r="F868" s="120"/>
      <c r="G868" s="118" t="s">
        <v>3548</v>
      </c>
      <c r="H868" s="130" t="s">
        <v>3545</v>
      </c>
      <c r="I868" s="130" t="s">
        <v>3549</v>
      </c>
      <c r="J868" s="122" t="s">
        <v>74</v>
      </c>
      <c r="K868" s="118" t="s">
        <v>25</v>
      </c>
      <c r="L868" s="118" t="s">
        <v>25</v>
      </c>
      <c r="M868" s="118" t="s">
        <v>3483</v>
      </c>
      <c r="N868" s="120"/>
      <c r="O868" s="120"/>
      <c r="P868" s="120"/>
    </row>
    <row r="869" hidden="1">
      <c r="A869" s="118" t="s">
        <v>3476</v>
      </c>
      <c r="B869" s="126"/>
      <c r="C869" s="118" t="s">
        <v>3550</v>
      </c>
      <c r="D869" s="120"/>
      <c r="E869" s="118" t="s">
        <v>3479</v>
      </c>
      <c r="F869" s="120"/>
      <c r="G869" s="118" t="s">
        <v>3551</v>
      </c>
      <c r="H869" s="130" t="s">
        <v>3552</v>
      </c>
      <c r="I869" s="130" t="s">
        <v>3553</v>
      </c>
      <c r="J869" s="122" t="s">
        <v>74</v>
      </c>
      <c r="K869" s="118" t="s">
        <v>25</v>
      </c>
      <c r="L869" s="118" t="s">
        <v>25</v>
      </c>
      <c r="M869" s="118" t="s">
        <v>3483</v>
      </c>
      <c r="N869" s="120"/>
      <c r="O869" s="120"/>
      <c r="P869" s="120"/>
    </row>
    <row r="870" hidden="1">
      <c r="A870" s="118" t="s">
        <v>3476</v>
      </c>
      <c r="B870" s="126"/>
      <c r="C870" s="118" t="s">
        <v>3554</v>
      </c>
      <c r="D870" s="120"/>
      <c r="E870" s="118" t="s">
        <v>3479</v>
      </c>
      <c r="F870" s="120"/>
      <c r="G870" s="118" t="s">
        <v>3555</v>
      </c>
      <c r="H870" s="130" t="s">
        <v>3556</v>
      </c>
      <c r="I870" s="130" t="s">
        <v>3557</v>
      </c>
      <c r="J870" s="122" t="s">
        <v>74</v>
      </c>
      <c r="K870" s="118" t="s">
        <v>25</v>
      </c>
      <c r="L870" s="118" t="s">
        <v>25</v>
      </c>
      <c r="M870" s="118" t="s">
        <v>3483</v>
      </c>
      <c r="N870" s="120"/>
      <c r="O870" s="120"/>
      <c r="P870" s="120"/>
    </row>
    <row r="871" hidden="1">
      <c r="A871" s="118" t="s">
        <v>3476</v>
      </c>
      <c r="B871" s="126"/>
      <c r="C871" s="118" t="s">
        <v>3558</v>
      </c>
      <c r="D871" s="120"/>
      <c r="E871" s="118" t="s">
        <v>3479</v>
      </c>
      <c r="F871" s="120"/>
      <c r="G871" s="118" t="s">
        <v>3559</v>
      </c>
      <c r="H871" s="130" t="s">
        <v>3560</v>
      </c>
      <c r="I871" s="130" t="s">
        <v>3553</v>
      </c>
      <c r="J871" s="122" t="s">
        <v>74</v>
      </c>
      <c r="K871" s="118" t="s">
        <v>25</v>
      </c>
      <c r="L871" s="118" t="s">
        <v>25</v>
      </c>
      <c r="M871" s="118" t="s">
        <v>3483</v>
      </c>
      <c r="N871" s="120"/>
      <c r="O871" s="120"/>
      <c r="P871" s="120"/>
    </row>
    <row r="872" hidden="1">
      <c r="A872" s="118" t="s">
        <v>3476</v>
      </c>
      <c r="B872" s="126"/>
      <c r="C872" s="118" t="s">
        <v>3561</v>
      </c>
      <c r="D872" s="120"/>
      <c r="E872" s="118" t="s">
        <v>3479</v>
      </c>
      <c r="F872" s="120"/>
      <c r="G872" s="118" t="s">
        <v>3562</v>
      </c>
      <c r="H872" s="130" t="s">
        <v>3563</v>
      </c>
      <c r="I872" s="130" t="s">
        <v>3564</v>
      </c>
      <c r="J872" s="122" t="s">
        <v>74</v>
      </c>
      <c r="K872" s="118" t="s">
        <v>25</v>
      </c>
      <c r="L872" s="118" t="s">
        <v>25</v>
      </c>
      <c r="M872" s="118" t="s">
        <v>3483</v>
      </c>
      <c r="N872" s="120"/>
      <c r="O872" s="120"/>
      <c r="P872" s="120"/>
    </row>
    <row r="873" hidden="1">
      <c r="A873" s="120"/>
      <c r="B873" s="126"/>
      <c r="C873" s="118" t="s">
        <v>3565</v>
      </c>
      <c r="D873" s="120"/>
      <c r="E873" s="118" t="s">
        <v>3479</v>
      </c>
      <c r="F873" s="120"/>
      <c r="G873" s="118" t="s">
        <v>3566</v>
      </c>
      <c r="H873" s="130" t="s">
        <v>3567</v>
      </c>
      <c r="I873" s="130" t="s">
        <v>3568</v>
      </c>
      <c r="J873" s="122" t="s">
        <v>74</v>
      </c>
      <c r="K873" s="118" t="s">
        <v>25</v>
      </c>
      <c r="L873" s="118" t="s">
        <v>25</v>
      </c>
      <c r="M873" s="118" t="s">
        <v>3483</v>
      </c>
      <c r="N873" s="120"/>
      <c r="O873" s="120"/>
      <c r="P873" s="120"/>
    </row>
    <row r="874" hidden="1">
      <c r="A874" s="118" t="s">
        <v>3476</v>
      </c>
      <c r="B874" s="126"/>
      <c r="C874" s="118" t="s">
        <v>3569</v>
      </c>
      <c r="D874" s="120"/>
      <c r="E874" s="118" t="s">
        <v>3479</v>
      </c>
      <c r="F874" s="120"/>
      <c r="G874" s="118" t="s">
        <v>3570</v>
      </c>
      <c r="H874" s="130" t="s">
        <v>3571</v>
      </c>
      <c r="I874" s="130" t="s">
        <v>3572</v>
      </c>
      <c r="J874" s="122" t="s">
        <v>74</v>
      </c>
      <c r="K874" s="118" t="s">
        <v>25</v>
      </c>
      <c r="L874" s="118" t="s">
        <v>25</v>
      </c>
      <c r="M874" s="118" t="s">
        <v>3483</v>
      </c>
      <c r="N874" s="120"/>
      <c r="O874" s="120"/>
      <c r="P874" s="120"/>
    </row>
    <row r="875" hidden="1">
      <c r="A875" s="118" t="s">
        <v>3476</v>
      </c>
      <c r="B875" s="126"/>
      <c r="C875" s="118" t="s">
        <v>3573</v>
      </c>
      <c r="D875" s="120"/>
      <c r="E875" s="118" t="s">
        <v>3479</v>
      </c>
      <c r="F875" s="120"/>
      <c r="G875" s="118" t="s">
        <v>3574</v>
      </c>
      <c r="H875" s="118" t="s">
        <v>3575</v>
      </c>
      <c r="I875" s="118" t="s">
        <v>3576</v>
      </c>
      <c r="J875" s="122" t="s">
        <v>74</v>
      </c>
      <c r="K875" s="118" t="s">
        <v>25</v>
      </c>
      <c r="L875" s="118" t="s">
        <v>25</v>
      </c>
      <c r="M875" s="118" t="s">
        <v>3483</v>
      </c>
      <c r="N875" s="120"/>
      <c r="O875" s="120"/>
      <c r="P875" s="120"/>
    </row>
    <row r="876" hidden="1">
      <c r="A876" s="118" t="s">
        <v>3476</v>
      </c>
      <c r="B876" s="126"/>
      <c r="C876" s="118" t="s">
        <v>3577</v>
      </c>
      <c r="D876" s="120"/>
      <c r="E876" s="118" t="s">
        <v>3479</v>
      </c>
      <c r="F876" s="120"/>
      <c r="G876" s="118" t="s">
        <v>3578</v>
      </c>
      <c r="H876" s="118" t="s">
        <v>3579</v>
      </c>
      <c r="I876" s="118" t="s">
        <v>3580</v>
      </c>
      <c r="J876" s="122" t="s">
        <v>74</v>
      </c>
      <c r="K876" s="118" t="s">
        <v>25</v>
      </c>
      <c r="L876" s="118" t="s">
        <v>25</v>
      </c>
      <c r="M876" s="118" t="s">
        <v>3483</v>
      </c>
      <c r="N876" s="120"/>
      <c r="O876" s="120"/>
      <c r="P876" s="120"/>
    </row>
    <row r="877" hidden="1">
      <c r="A877" s="118" t="s">
        <v>3476</v>
      </c>
      <c r="B877" s="126"/>
      <c r="C877" s="118" t="s">
        <v>3581</v>
      </c>
      <c r="D877" s="120"/>
      <c r="E877" s="118" t="s">
        <v>3479</v>
      </c>
      <c r="F877" s="120"/>
      <c r="G877" s="118" t="s">
        <v>3582</v>
      </c>
      <c r="H877" s="118" t="s">
        <v>3583</v>
      </c>
      <c r="I877" s="118" t="s">
        <v>3584</v>
      </c>
      <c r="J877" s="122" t="s">
        <v>74</v>
      </c>
      <c r="K877" s="118" t="s">
        <v>25</v>
      </c>
      <c r="L877" s="118" t="s">
        <v>25</v>
      </c>
      <c r="M877" s="118" t="s">
        <v>3483</v>
      </c>
      <c r="N877" s="120"/>
      <c r="O877" s="120"/>
      <c r="P877" s="120"/>
    </row>
    <row r="878" hidden="1">
      <c r="A878" s="118" t="s">
        <v>3476</v>
      </c>
      <c r="B878" s="126"/>
      <c r="C878" s="118" t="s">
        <v>3585</v>
      </c>
      <c r="D878" s="120"/>
      <c r="E878" s="118" t="s">
        <v>3479</v>
      </c>
      <c r="F878" s="120"/>
      <c r="G878" s="118" t="s">
        <v>3586</v>
      </c>
      <c r="H878" s="118" t="s">
        <v>3587</v>
      </c>
      <c r="I878" s="118" t="s">
        <v>3588</v>
      </c>
      <c r="J878" s="122" t="s">
        <v>74</v>
      </c>
      <c r="K878" s="118" t="s">
        <v>25</v>
      </c>
      <c r="L878" s="118" t="s">
        <v>25</v>
      </c>
      <c r="M878" s="118" t="s">
        <v>3483</v>
      </c>
      <c r="N878" s="120"/>
      <c r="O878" s="120"/>
      <c r="P878" s="120"/>
    </row>
    <row r="879" hidden="1">
      <c r="A879" s="118" t="s">
        <v>3476</v>
      </c>
      <c r="B879" s="126"/>
      <c r="C879" s="118" t="s">
        <v>3589</v>
      </c>
      <c r="D879" s="120"/>
      <c r="E879" s="118" t="s">
        <v>3479</v>
      </c>
      <c r="F879" s="120"/>
      <c r="G879" s="118" t="s">
        <v>3590</v>
      </c>
      <c r="H879" s="118" t="s">
        <v>3591</v>
      </c>
      <c r="I879" s="118" t="s">
        <v>3592</v>
      </c>
      <c r="J879" s="122" t="s">
        <v>74</v>
      </c>
      <c r="K879" s="118" t="s">
        <v>25</v>
      </c>
      <c r="L879" s="118" t="s">
        <v>25</v>
      </c>
      <c r="M879" s="118" t="s">
        <v>3483</v>
      </c>
      <c r="N879" s="120"/>
      <c r="O879" s="120"/>
      <c r="P879" s="120"/>
    </row>
    <row r="880" hidden="1">
      <c r="A880" s="118" t="s">
        <v>3476</v>
      </c>
      <c r="B880" s="126"/>
      <c r="C880" s="118" t="s">
        <v>3593</v>
      </c>
      <c r="D880" s="120"/>
      <c r="E880" s="118" t="s">
        <v>3479</v>
      </c>
      <c r="F880" s="120"/>
      <c r="G880" s="130" t="s">
        <v>3594</v>
      </c>
      <c r="H880" s="118" t="s">
        <v>3595</v>
      </c>
      <c r="I880" s="118" t="s">
        <v>3596</v>
      </c>
      <c r="J880" s="122" t="s">
        <v>74</v>
      </c>
      <c r="K880" s="118" t="s">
        <v>25</v>
      </c>
      <c r="L880" s="118" t="s">
        <v>25</v>
      </c>
      <c r="M880" s="118" t="s">
        <v>3483</v>
      </c>
      <c r="N880" s="120"/>
      <c r="O880" s="120"/>
      <c r="P880" s="120"/>
    </row>
    <row r="881" hidden="1">
      <c r="A881" s="118" t="s">
        <v>3476</v>
      </c>
      <c r="B881" s="126"/>
      <c r="C881" s="118" t="s">
        <v>3597</v>
      </c>
      <c r="D881" s="120"/>
      <c r="E881" s="118" t="s">
        <v>3479</v>
      </c>
      <c r="F881" s="120"/>
      <c r="G881" s="118" t="s">
        <v>3598</v>
      </c>
      <c r="H881" s="118" t="s">
        <v>3599</v>
      </c>
      <c r="I881" s="118" t="s">
        <v>3600</v>
      </c>
      <c r="J881" s="122" t="s">
        <v>74</v>
      </c>
      <c r="K881" s="118" t="s">
        <v>25</v>
      </c>
      <c r="L881" s="118" t="s">
        <v>25</v>
      </c>
      <c r="M881" s="118" t="s">
        <v>3483</v>
      </c>
      <c r="N881" s="120"/>
      <c r="O881" s="120"/>
      <c r="P881" s="120"/>
    </row>
    <row r="882" hidden="1">
      <c r="A882" s="118" t="s">
        <v>3476</v>
      </c>
      <c r="B882" s="126"/>
      <c r="C882" s="118" t="s">
        <v>3601</v>
      </c>
      <c r="D882" s="120"/>
      <c r="E882" s="118" t="s">
        <v>3479</v>
      </c>
      <c r="F882" s="120"/>
      <c r="G882" s="118" t="s">
        <v>3602</v>
      </c>
      <c r="H882" s="118" t="s">
        <v>3603</v>
      </c>
      <c r="I882" s="118" t="s">
        <v>3604</v>
      </c>
      <c r="J882" s="122" t="s">
        <v>74</v>
      </c>
      <c r="K882" s="118" t="s">
        <v>25</v>
      </c>
      <c r="L882" s="118" t="s">
        <v>25</v>
      </c>
      <c r="M882" s="118" t="s">
        <v>3483</v>
      </c>
      <c r="N882" s="120"/>
      <c r="O882" s="120"/>
      <c r="P882" s="120"/>
    </row>
    <row r="883" hidden="1">
      <c r="A883" s="118" t="s">
        <v>3476</v>
      </c>
      <c r="B883" s="126"/>
      <c r="C883" s="118" t="s">
        <v>3605</v>
      </c>
      <c r="D883" s="120"/>
      <c r="E883" s="118" t="s">
        <v>3479</v>
      </c>
      <c r="F883" s="120"/>
      <c r="G883" s="118" t="s">
        <v>3606</v>
      </c>
      <c r="H883" s="118" t="s">
        <v>3607</v>
      </c>
      <c r="I883" s="118" t="s">
        <v>3608</v>
      </c>
      <c r="J883" s="122" t="s">
        <v>74</v>
      </c>
      <c r="K883" s="118" t="s">
        <v>25</v>
      </c>
      <c r="L883" s="118" t="s">
        <v>25</v>
      </c>
      <c r="M883" s="118" t="s">
        <v>3483</v>
      </c>
      <c r="N883" s="120"/>
      <c r="O883" s="120"/>
      <c r="P883" s="120"/>
    </row>
    <row r="884" hidden="1">
      <c r="A884" s="118" t="s">
        <v>3476</v>
      </c>
      <c r="B884" s="126"/>
      <c r="C884" s="118" t="s">
        <v>3609</v>
      </c>
      <c r="D884" s="120"/>
      <c r="E884" s="118" t="s">
        <v>3479</v>
      </c>
      <c r="F884" s="120"/>
      <c r="G884" s="118" t="s">
        <v>3610</v>
      </c>
      <c r="H884" s="118" t="s">
        <v>3611</v>
      </c>
      <c r="I884" s="118" t="s">
        <v>3612</v>
      </c>
      <c r="J884" s="122" t="s">
        <v>74</v>
      </c>
      <c r="K884" s="118" t="s">
        <v>25</v>
      </c>
      <c r="L884" s="118" t="s">
        <v>25</v>
      </c>
      <c r="M884" s="118" t="s">
        <v>3483</v>
      </c>
      <c r="N884" s="120"/>
      <c r="O884" s="120"/>
      <c r="P884" s="120"/>
    </row>
    <row r="885" hidden="1">
      <c r="A885" s="118" t="s">
        <v>3476</v>
      </c>
      <c r="B885" s="126"/>
      <c r="C885" s="118" t="s">
        <v>3613</v>
      </c>
      <c r="D885" s="120"/>
      <c r="E885" s="118" t="s">
        <v>3479</v>
      </c>
      <c r="F885" s="120"/>
      <c r="G885" s="118" t="s">
        <v>3606</v>
      </c>
      <c r="H885" s="118" t="s">
        <v>3603</v>
      </c>
      <c r="I885" s="118" t="s">
        <v>3614</v>
      </c>
      <c r="J885" s="122" t="s">
        <v>74</v>
      </c>
      <c r="K885" s="118" t="s">
        <v>25</v>
      </c>
      <c r="L885" s="118" t="s">
        <v>25</v>
      </c>
      <c r="M885" s="118" t="s">
        <v>3483</v>
      </c>
      <c r="N885" s="120"/>
      <c r="O885" s="120"/>
      <c r="P885" s="120"/>
    </row>
    <row r="886" hidden="1">
      <c r="A886" s="118" t="s">
        <v>3476</v>
      </c>
      <c r="B886" s="126"/>
      <c r="C886" s="118" t="s">
        <v>3615</v>
      </c>
      <c r="D886" s="120"/>
      <c r="E886" s="118" t="s">
        <v>3479</v>
      </c>
      <c r="F886" s="120"/>
      <c r="G886" s="118" t="s">
        <v>3616</v>
      </c>
      <c r="H886" s="118" t="s">
        <v>3603</v>
      </c>
      <c r="I886" s="118" t="s">
        <v>3617</v>
      </c>
      <c r="J886" s="122" t="s">
        <v>74</v>
      </c>
      <c r="K886" s="118" t="s">
        <v>25</v>
      </c>
      <c r="L886" s="118" t="s">
        <v>25</v>
      </c>
      <c r="M886" s="118" t="s">
        <v>3483</v>
      </c>
      <c r="N886" s="120"/>
      <c r="O886" s="120"/>
      <c r="P886" s="120"/>
    </row>
    <row r="887" hidden="1">
      <c r="A887" s="118" t="s">
        <v>3476</v>
      </c>
      <c r="B887" s="126"/>
      <c r="C887" s="118" t="s">
        <v>3618</v>
      </c>
      <c r="D887" s="120"/>
      <c r="E887" s="118" t="s">
        <v>3479</v>
      </c>
      <c r="F887" s="120"/>
      <c r="G887" s="130" t="s">
        <v>3619</v>
      </c>
      <c r="H887" s="118" t="s">
        <v>3620</v>
      </c>
      <c r="I887" s="118" t="s">
        <v>3621</v>
      </c>
      <c r="J887" s="122" t="s">
        <v>74</v>
      </c>
      <c r="K887" s="118" t="s">
        <v>25</v>
      </c>
      <c r="L887" s="118" t="s">
        <v>25</v>
      </c>
      <c r="M887" s="118" t="s">
        <v>3483</v>
      </c>
      <c r="N887" s="120"/>
      <c r="O887" s="120"/>
      <c r="P887" s="120"/>
    </row>
    <row r="888" hidden="1">
      <c r="A888" s="118" t="s">
        <v>3476</v>
      </c>
      <c r="B888" s="126"/>
      <c r="C888" s="118" t="s">
        <v>3622</v>
      </c>
      <c r="D888" s="120"/>
      <c r="E888" s="118" t="s">
        <v>3479</v>
      </c>
      <c r="F888" s="120"/>
      <c r="G888" s="118" t="s">
        <v>3623</v>
      </c>
      <c r="H888" s="118" t="s">
        <v>3624</v>
      </c>
      <c r="I888" s="118" t="s">
        <v>3625</v>
      </c>
      <c r="J888" s="122" t="s">
        <v>74</v>
      </c>
      <c r="K888" s="118" t="s">
        <v>25</v>
      </c>
      <c r="L888" s="118" t="s">
        <v>25</v>
      </c>
      <c r="M888" s="118" t="s">
        <v>3483</v>
      </c>
      <c r="N888" s="120"/>
      <c r="O888" s="120"/>
      <c r="P888" s="120"/>
    </row>
    <row r="889" hidden="1">
      <c r="A889" s="118" t="s">
        <v>3476</v>
      </c>
      <c r="B889" s="126"/>
      <c r="C889" s="118" t="s">
        <v>3626</v>
      </c>
      <c r="D889" s="120"/>
      <c r="E889" s="118" t="s">
        <v>3479</v>
      </c>
      <c r="F889" s="120"/>
      <c r="G889" s="118" t="s">
        <v>3627</v>
      </c>
      <c r="H889" s="118" t="s">
        <v>3628</v>
      </c>
      <c r="I889" s="118" t="s">
        <v>3629</v>
      </c>
      <c r="J889" s="122" t="s">
        <v>74</v>
      </c>
      <c r="K889" s="118" t="s">
        <v>25</v>
      </c>
      <c r="L889" s="118" t="s">
        <v>25</v>
      </c>
      <c r="M889" s="118" t="s">
        <v>3483</v>
      </c>
      <c r="N889" s="120"/>
      <c r="O889" s="120"/>
      <c r="P889" s="120"/>
    </row>
    <row r="890" hidden="1">
      <c r="A890" s="118" t="s">
        <v>3476</v>
      </c>
      <c r="B890" s="126"/>
      <c r="C890" s="118" t="s">
        <v>3630</v>
      </c>
      <c r="D890" s="120"/>
      <c r="E890" s="118" t="s">
        <v>3479</v>
      </c>
      <c r="F890" s="120"/>
      <c r="G890" s="118" t="s">
        <v>3631</v>
      </c>
      <c r="H890" s="118" t="s">
        <v>3628</v>
      </c>
      <c r="I890" s="118" t="s">
        <v>3632</v>
      </c>
      <c r="J890" s="122" t="s">
        <v>74</v>
      </c>
      <c r="K890" s="118" t="s">
        <v>25</v>
      </c>
      <c r="L890" s="118" t="s">
        <v>25</v>
      </c>
      <c r="M890" s="118" t="s">
        <v>3483</v>
      </c>
      <c r="N890" s="120"/>
      <c r="O890" s="120"/>
      <c r="P890" s="120"/>
    </row>
    <row r="891" hidden="1">
      <c r="A891" s="118" t="s">
        <v>3476</v>
      </c>
      <c r="B891" s="126"/>
      <c r="C891" s="118" t="s">
        <v>3633</v>
      </c>
      <c r="D891" s="120"/>
      <c r="E891" s="118" t="s">
        <v>3479</v>
      </c>
      <c r="F891" s="120"/>
      <c r="G891" s="118" t="s">
        <v>3634</v>
      </c>
      <c r="H891" s="118" t="s">
        <v>3635</v>
      </c>
      <c r="I891" s="118" t="s">
        <v>3568</v>
      </c>
      <c r="J891" s="122" t="s">
        <v>74</v>
      </c>
      <c r="K891" s="118" t="s">
        <v>25</v>
      </c>
      <c r="L891" s="118" t="s">
        <v>25</v>
      </c>
      <c r="M891" s="118" t="s">
        <v>3483</v>
      </c>
      <c r="N891" s="120"/>
      <c r="O891" s="120"/>
      <c r="P891" s="120"/>
    </row>
    <row r="892" hidden="1">
      <c r="A892" s="118" t="s">
        <v>3476</v>
      </c>
      <c r="B892" s="126"/>
      <c r="C892" s="118" t="s">
        <v>3636</v>
      </c>
      <c r="D892" s="120"/>
      <c r="E892" s="118" t="s">
        <v>3479</v>
      </c>
      <c r="F892" s="120"/>
      <c r="G892" s="118" t="s">
        <v>3637</v>
      </c>
      <c r="H892" s="118" t="s">
        <v>3638</v>
      </c>
      <c r="I892" s="118" t="s">
        <v>3568</v>
      </c>
      <c r="J892" s="122" t="s">
        <v>74</v>
      </c>
      <c r="K892" s="118" t="s">
        <v>25</v>
      </c>
      <c r="L892" s="118" t="s">
        <v>25</v>
      </c>
      <c r="M892" s="118" t="s">
        <v>3483</v>
      </c>
      <c r="N892" s="120"/>
      <c r="O892" s="120"/>
      <c r="P892" s="120"/>
    </row>
    <row r="893" hidden="1">
      <c r="A893" s="118" t="s">
        <v>3476</v>
      </c>
      <c r="B893" s="126"/>
      <c r="C893" s="118" t="s">
        <v>3639</v>
      </c>
      <c r="D893" s="120"/>
      <c r="E893" s="118" t="s">
        <v>3479</v>
      </c>
      <c r="F893" s="120"/>
      <c r="G893" s="118" t="s">
        <v>3640</v>
      </c>
      <c r="H893" s="118" t="s">
        <v>3641</v>
      </c>
      <c r="I893" s="118" t="s">
        <v>3568</v>
      </c>
      <c r="J893" s="122" t="s">
        <v>74</v>
      </c>
      <c r="K893" s="118" t="s">
        <v>25</v>
      </c>
      <c r="L893" s="118" t="s">
        <v>25</v>
      </c>
      <c r="M893" s="118" t="s">
        <v>3483</v>
      </c>
      <c r="N893" s="120"/>
      <c r="O893" s="120"/>
      <c r="P893" s="120"/>
    </row>
    <row r="894" hidden="1">
      <c r="A894" s="118" t="s">
        <v>3476</v>
      </c>
      <c r="B894" s="126"/>
      <c r="C894" s="118" t="s">
        <v>3642</v>
      </c>
      <c r="D894" s="120"/>
      <c r="E894" s="118" t="s">
        <v>3479</v>
      </c>
      <c r="F894" s="120"/>
      <c r="G894" s="118" t="s">
        <v>3643</v>
      </c>
      <c r="H894" s="118" t="s">
        <v>3644</v>
      </c>
      <c r="I894" s="118" t="s">
        <v>3568</v>
      </c>
      <c r="J894" s="122" t="s">
        <v>74</v>
      </c>
      <c r="K894" s="118" t="s">
        <v>25</v>
      </c>
      <c r="L894" s="118" t="s">
        <v>25</v>
      </c>
      <c r="M894" s="118" t="s">
        <v>3483</v>
      </c>
      <c r="N894" s="120"/>
      <c r="O894" s="120"/>
      <c r="P894" s="120"/>
    </row>
    <row r="895" hidden="1">
      <c r="A895" s="118" t="s">
        <v>3476</v>
      </c>
      <c r="B895" s="126"/>
      <c r="C895" s="118" t="s">
        <v>3645</v>
      </c>
      <c r="D895" s="120"/>
      <c r="E895" s="118" t="s">
        <v>3479</v>
      </c>
      <c r="F895" s="120"/>
      <c r="G895" s="118" t="s">
        <v>3646</v>
      </c>
      <c r="H895" s="118" t="s">
        <v>3647</v>
      </c>
      <c r="I895" s="118" t="s">
        <v>3648</v>
      </c>
      <c r="J895" s="122" t="s">
        <v>74</v>
      </c>
      <c r="K895" s="118" t="s">
        <v>25</v>
      </c>
      <c r="L895" s="118" t="s">
        <v>25</v>
      </c>
      <c r="M895" s="118" t="s">
        <v>3649</v>
      </c>
      <c r="N895" s="120"/>
      <c r="O895" s="120"/>
      <c r="P895" s="120"/>
    </row>
    <row r="896" hidden="1">
      <c r="A896" s="118" t="s">
        <v>3476</v>
      </c>
      <c r="B896" s="126"/>
      <c r="C896" s="118" t="s">
        <v>3650</v>
      </c>
      <c r="D896" s="120"/>
      <c r="E896" s="118" t="s">
        <v>3479</v>
      </c>
      <c r="F896" s="120"/>
      <c r="G896" s="118" t="s">
        <v>3651</v>
      </c>
      <c r="H896" s="118" t="s">
        <v>3652</v>
      </c>
      <c r="I896" s="118" t="s">
        <v>3653</v>
      </c>
      <c r="J896" s="122" t="s">
        <v>74</v>
      </c>
      <c r="K896" s="118" t="s">
        <v>25</v>
      </c>
      <c r="L896" s="118" t="s">
        <v>25</v>
      </c>
      <c r="M896" s="118" t="s">
        <v>3649</v>
      </c>
      <c r="N896" s="120"/>
      <c r="O896" s="120"/>
      <c r="P896" s="120"/>
    </row>
    <row r="897" hidden="1">
      <c r="A897" s="118" t="s">
        <v>3476</v>
      </c>
      <c r="B897" s="126"/>
      <c r="C897" s="118" t="s">
        <v>3654</v>
      </c>
      <c r="D897" s="120"/>
      <c r="E897" s="118" t="s">
        <v>3479</v>
      </c>
      <c r="F897" s="120"/>
      <c r="G897" s="118" t="s">
        <v>3655</v>
      </c>
      <c r="H897" s="118" t="s">
        <v>3656</v>
      </c>
      <c r="I897" s="118" t="s">
        <v>3657</v>
      </c>
      <c r="J897" s="122" t="s">
        <v>74</v>
      </c>
      <c r="K897" s="118" t="s">
        <v>25</v>
      </c>
      <c r="L897" s="118" t="s">
        <v>25</v>
      </c>
      <c r="M897" s="118" t="s">
        <v>3649</v>
      </c>
      <c r="N897" s="120"/>
      <c r="O897" s="120"/>
      <c r="P897" s="120"/>
    </row>
    <row r="898" hidden="1">
      <c r="A898" s="118" t="s">
        <v>3476</v>
      </c>
      <c r="B898" s="126"/>
      <c r="C898" s="118" t="s">
        <v>3658</v>
      </c>
      <c r="D898" s="120"/>
      <c r="E898" s="118" t="s">
        <v>3479</v>
      </c>
      <c r="F898" s="120"/>
      <c r="G898" s="118" t="s">
        <v>3659</v>
      </c>
      <c r="H898" s="118" t="s">
        <v>3660</v>
      </c>
      <c r="I898" s="118" t="s">
        <v>3661</v>
      </c>
      <c r="J898" s="122" t="s">
        <v>74</v>
      </c>
      <c r="K898" s="118" t="s">
        <v>25</v>
      </c>
      <c r="L898" s="118" t="s">
        <v>25</v>
      </c>
      <c r="M898" s="118" t="s">
        <v>3649</v>
      </c>
      <c r="N898" s="120"/>
      <c r="O898" s="120"/>
      <c r="P898" s="120"/>
    </row>
    <row r="899" hidden="1">
      <c r="A899" s="118" t="s">
        <v>3476</v>
      </c>
      <c r="B899" s="126"/>
      <c r="C899" s="118" t="s">
        <v>3662</v>
      </c>
      <c r="D899" s="120"/>
      <c r="E899" s="118" t="s">
        <v>3479</v>
      </c>
      <c r="F899" s="120"/>
      <c r="G899" s="118" t="s">
        <v>3663</v>
      </c>
      <c r="H899" s="118" t="s">
        <v>3664</v>
      </c>
      <c r="I899" s="118" t="s">
        <v>3665</v>
      </c>
      <c r="J899" s="122" t="s">
        <v>74</v>
      </c>
      <c r="K899" s="118" t="s">
        <v>25</v>
      </c>
      <c r="L899" s="118" t="s">
        <v>25</v>
      </c>
      <c r="M899" s="118" t="s">
        <v>3649</v>
      </c>
      <c r="N899" s="120"/>
      <c r="O899" s="120"/>
      <c r="P899" s="120"/>
    </row>
    <row r="900" hidden="1">
      <c r="A900" s="118" t="s">
        <v>3476</v>
      </c>
      <c r="B900" s="126"/>
      <c r="C900" s="118" t="s">
        <v>3666</v>
      </c>
      <c r="D900" s="120"/>
      <c r="E900" s="118" t="s">
        <v>3479</v>
      </c>
      <c r="F900" s="120"/>
      <c r="G900" s="118" t="s">
        <v>3667</v>
      </c>
      <c r="H900" s="118" t="s">
        <v>3668</v>
      </c>
      <c r="I900" s="118" t="s">
        <v>3669</v>
      </c>
      <c r="J900" s="122" t="s">
        <v>74</v>
      </c>
      <c r="K900" s="118" t="s">
        <v>25</v>
      </c>
      <c r="L900" s="118" t="s">
        <v>25</v>
      </c>
      <c r="M900" s="118" t="s">
        <v>3649</v>
      </c>
      <c r="N900" s="120"/>
      <c r="O900" s="120"/>
      <c r="P900" s="120"/>
    </row>
    <row r="901" hidden="1">
      <c r="A901" s="118" t="s">
        <v>3476</v>
      </c>
      <c r="B901" s="126"/>
      <c r="C901" s="118" t="s">
        <v>3670</v>
      </c>
      <c r="D901" s="120"/>
      <c r="E901" s="118" t="s">
        <v>3479</v>
      </c>
      <c r="F901" s="120"/>
      <c r="G901" s="118" t="s">
        <v>3671</v>
      </c>
      <c r="H901" s="118" t="s">
        <v>3672</v>
      </c>
      <c r="I901" s="118" t="s">
        <v>3673</v>
      </c>
      <c r="J901" s="122" t="s">
        <v>74</v>
      </c>
      <c r="K901" s="118" t="s">
        <v>25</v>
      </c>
      <c r="L901" s="118" t="s">
        <v>25</v>
      </c>
      <c r="M901" s="118" t="s">
        <v>3649</v>
      </c>
      <c r="N901" s="120"/>
      <c r="O901" s="120"/>
      <c r="P901" s="120"/>
    </row>
    <row r="902" hidden="1">
      <c r="A902" s="118" t="s">
        <v>3476</v>
      </c>
      <c r="B902" s="126"/>
      <c r="C902" s="118" t="s">
        <v>3674</v>
      </c>
      <c r="D902" s="120"/>
      <c r="E902" s="118" t="s">
        <v>3479</v>
      </c>
      <c r="F902" s="120"/>
      <c r="G902" s="118" t="s">
        <v>3675</v>
      </c>
      <c r="H902" s="118" t="s">
        <v>3672</v>
      </c>
      <c r="I902" s="118" t="s">
        <v>3676</v>
      </c>
      <c r="J902" s="122" t="s">
        <v>74</v>
      </c>
      <c r="K902" s="118" t="s">
        <v>25</v>
      </c>
      <c r="L902" s="118" t="s">
        <v>25</v>
      </c>
      <c r="M902" s="118" t="s">
        <v>3649</v>
      </c>
      <c r="N902" s="120"/>
      <c r="O902" s="120"/>
      <c r="P902" s="120"/>
    </row>
    <row r="903" hidden="1">
      <c r="A903" s="118" t="s">
        <v>3476</v>
      </c>
      <c r="B903" s="126"/>
      <c r="C903" s="118" t="s">
        <v>3677</v>
      </c>
      <c r="D903" s="120"/>
      <c r="E903" s="118" t="s">
        <v>3479</v>
      </c>
      <c r="F903" s="120"/>
      <c r="G903" s="118" t="s">
        <v>3678</v>
      </c>
      <c r="H903" s="118" t="s">
        <v>3679</v>
      </c>
      <c r="I903" s="118" t="s">
        <v>3680</v>
      </c>
      <c r="J903" s="122" t="s">
        <v>74</v>
      </c>
      <c r="K903" s="118" t="s">
        <v>25</v>
      </c>
      <c r="L903" s="118" t="s">
        <v>25</v>
      </c>
      <c r="M903" s="118" t="s">
        <v>3649</v>
      </c>
      <c r="N903" s="120"/>
      <c r="O903" s="120"/>
      <c r="P903" s="120"/>
    </row>
    <row r="904" hidden="1">
      <c r="A904" s="118" t="s">
        <v>3476</v>
      </c>
      <c r="B904" s="126"/>
      <c r="C904" s="118" t="s">
        <v>3681</v>
      </c>
      <c r="D904" s="120"/>
      <c r="E904" s="118" t="s">
        <v>3479</v>
      </c>
      <c r="F904" s="120"/>
      <c r="G904" s="118" t="s">
        <v>3682</v>
      </c>
      <c r="H904" s="118" t="s">
        <v>3683</v>
      </c>
      <c r="I904" s="118" t="s">
        <v>3684</v>
      </c>
      <c r="J904" s="122" t="s">
        <v>74</v>
      </c>
      <c r="K904" s="118" t="s">
        <v>25</v>
      </c>
      <c r="L904" s="118" t="s">
        <v>25</v>
      </c>
      <c r="M904" s="118" t="s">
        <v>3649</v>
      </c>
      <c r="N904" s="120"/>
      <c r="O904" s="120"/>
      <c r="P904" s="120"/>
    </row>
    <row r="905" hidden="1">
      <c r="A905" s="118" t="s">
        <v>3476</v>
      </c>
      <c r="B905" s="126"/>
      <c r="C905" s="118" t="s">
        <v>3685</v>
      </c>
      <c r="D905" s="120"/>
      <c r="E905" s="118" t="s">
        <v>3479</v>
      </c>
      <c r="F905" s="120"/>
      <c r="G905" s="118" t="s">
        <v>3686</v>
      </c>
      <c r="H905" s="118" t="s">
        <v>3687</v>
      </c>
      <c r="I905" s="118" t="s">
        <v>3688</v>
      </c>
      <c r="J905" s="122" t="s">
        <v>74</v>
      </c>
      <c r="K905" s="118" t="s">
        <v>25</v>
      </c>
      <c r="L905" s="118" t="s">
        <v>25</v>
      </c>
      <c r="M905" s="118" t="s">
        <v>3649</v>
      </c>
      <c r="N905" s="120"/>
      <c r="O905" s="120"/>
      <c r="P905" s="120"/>
    </row>
    <row r="906" hidden="1">
      <c r="A906" s="118" t="s">
        <v>3476</v>
      </c>
      <c r="B906" s="126"/>
      <c r="C906" s="118" t="s">
        <v>3689</v>
      </c>
      <c r="D906" s="120"/>
      <c r="E906" s="118" t="s">
        <v>3479</v>
      </c>
      <c r="F906" s="120"/>
      <c r="G906" s="118" t="s">
        <v>3690</v>
      </c>
      <c r="H906" s="118" t="s">
        <v>3691</v>
      </c>
      <c r="I906" s="118" t="s">
        <v>3692</v>
      </c>
      <c r="J906" s="122" t="s">
        <v>74</v>
      </c>
      <c r="K906" s="118" t="s">
        <v>25</v>
      </c>
      <c r="L906" s="118" t="s">
        <v>25</v>
      </c>
      <c r="M906" s="118" t="s">
        <v>3649</v>
      </c>
      <c r="N906" s="120"/>
      <c r="O906" s="120"/>
      <c r="P906" s="120"/>
    </row>
    <row r="907" hidden="1">
      <c r="A907" s="118" t="s">
        <v>3476</v>
      </c>
      <c r="B907" s="126"/>
      <c r="C907" s="118" t="s">
        <v>3693</v>
      </c>
      <c r="D907" s="120"/>
      <c r="E907" s="118" t="s">
        <v>3479</v>
      </c>
      <c r="F907" s="120"/>
      <c r="G907" s="118" t="s">
        <v>3694</v>
      </c>
      <c r="H907" s="118" t="s">
        <v>3695</v>
      </c>
      <c r="I907" s="118" t="s">
        <v>3696</v>
      </c>
      <c r="J907" s="122" t="s">
        <v>74</v>
      </c>
      <c r="K907" s="118" t="s">
        <v>25</v>
      </c>
      <c r="L907" s="118" t="s">
        <v>25</v>
      </c>
      <c r="M907" s="118" t="s">
        <v>3649</v>
      </c>
      <c r="N907" s="120"/>
      <c r="O907" s="120"/>
      <c r="P907" s="120"/>
    </row>
    <row r="908" hidden="1">
      <c r="A908" s="118" t="s">
        <v>3476</v>
      </c>
      <c r="B908" s="126"/>
      <c r="C908" s="118" t="s">
        <v>3697</v>
      </c>
      <c r="D908" s="120"/>
      <c r="E908" s="118" t="s">
        <v>3479</v>
      </c>
      <c r="F908" s="120"/>
      <c r="G908" s="118" t="s">
        <v>3634</v>
      </c>
      <c r="H908" s="118" t="s">
        <v>3698</v>
      </c>
      <c r="I908" s="118" t="s">
        <v>3699</v>
      </c>
      <c r="J908" s="122" t="s">
        <v>74</v>
      </c>
      <c r="K908" s="118" t="s">
        <v>25</v>
      </c>
      <c r="L908" s="118" t="s">
        <v>25</v>
      </c>
      <c r="M908" s="118" t="s">
        <v>3649</v>
      </c>
      <c r="N908" s="120"/>
      <c r="O908" s="120"/>
      <c r="P908" s="120"/>
    </row>
    <row r="909" hidden="1">
      <c r="A909" s="118" t="s">
        <v>3476</v>
      </c>
      <c r="B909" s="126"/>
      <c r="C909" s="118" t="s">
        <v>3700</v>
      </c>
      <c r="D909" s="120"/>
      <c r="E909" s="118" t="s">
        <v>3479</v>
      </c>
      <c r="F909" s="120"/>
      <c r="G909" s="118" t="s">
        <v>3701</v>
      </c>
      <c r="H909" s="118" t="s">
        <v>3698</v>
      </c>
      <c r="I909" s="118" t="s">
        <v>3702</v>
      </c>
      <c r="J909" s="122" t="s">
        <v>74</v>
      </c>
      <c r="K909" s="118" t="s">
        <v>25</v>
      </c>
      <c r="L909" s="118" t="s">
        <v>25</v>
      </c>
      <c r="M909" s="118" t="s">
        <v>3649</v>
      </c>
      <c r="N909" s="120"/>
      <c r="O909" s="120"/>
      <c r="P909" s="120"/>
    </row>
    <row r="910" hidden="1">
      <c r="A910" s="118" t="s">
        <v>3476</v>
      </c>
      <c r="B910" s="126"/>
      <c r="C910" s="118" t="s">
        <v>3703</v>
      </c>
      <c r="D910" s="120"/>
      <c r="E910" s="118" t="s">
        <v>3479</v>
      </c>
      <c r="F910" s="120"/>
      <c r="G910" s="118" t="s">
        <v>3704</v>
      </c>
      <c r="H910" s="118" t="s">
        <v>3705</v>
      </c>
      <c r="I910" s="118" t="s">
        <v>3706</v>
      </c>
      <c r="J910" s="122" t="s">
        <v>74</v>
      </c>
      <c r="K910" s="118" t="s">
        <v>25</v>
      </c>
      <c r="L910" s="118" t="s">
        <v>25</v>
      </c>
      <c r="M910" s="118" t="s">
        <v>3649</v>
      </c>
      <c r="N910" s="120"/>
      <c r="O910" s="120"/>
      <c r="P910" s="120"/>
    </row>
    <row r="911" hidden="1">
      <c r="A911" s="118" t="s">
        <v>3476</v>
      </c>
      <c r="B911" s="10"/>
      <c r="C911" s="118" t="s">
        <v>3707</v>
      </c>
      <c r="D911" s="120"/>
      <c r="E911" s="118" t="s">
        <v>3479</v>
      </c>
      <c r="F911" s="120"/>
      <c r="G911" s="118" t="s">
        <v>3708</v>
      </c>
      <c r="H911" s="118" t="s">
        <v>3709</v>
      </c>
      <c r="I911" s="118" t="s">
        <v>3710</v>
      </c>
      <c r="J911" s="122" t="s">
        <v>74</v>
      </c>
      <c r="K911" s="118" t="s">
        <v>25</v>
      </c>
      <c r="L911" s="118" t="s">
        <v>25</v>
      </c>
      <c r="M911" s="118" t="s">
        <v>3649</v>
      </c>
      <c r="N911" s="120"/>
      <c r="O911" s="120"/>
      <c r="P911" s="120"/>
    </row>
    <row r="912" hidden="1">
      <c r="A912" s="118" t="s">
        <v>3711</v>
      </c>
      <c r="B912" s="159" t="s">
        <v>3712</v>
      </c>
      <c r="C912" s="118" t="s">
        <v>3713</v>
      </c>
      <c r="D912" s="120"/>
      <c r="E912" s="118" t="s">
        <v>3479</v>
      </c>
      <c r="F912" s="120"/>
      <c r="G912" s="118" t="s">
        <v>3714</v>
      </c>
      <c r="H912" s="118" t="s">
        <v>3715</v>
      </c>
      <c r="I912" s="118" t="s">
        <v>3716</v>
      </c>
      <c r="J912" s="122" t="s">
        <v>74</v>
      </c>
      <c r="K912" s="118" t="s">
        <v>25</v>
      </c>
      <c r="L912" s="118" t="s">
        <v>25</v>
      </c>
      <c r="M912" s="120"/>
      <c r="N912" s="120"/>
      <c r="O912" s="120"/>
      <c r="P912" s="120"/>
    </row>
    <row r="913" hidden="1">
      <c r="A913" s="118" t="s">
        <v>3711</v>
      </c>
      <c r="B913" s="126"/>
      <c r="C913" s="118" t="s">
        <v>3717</v>
      </c>
      <c r="D913" s="120"/>
      <c r="E913" s="118" t="s">
        <v>3479</v>
      </c>
      <c r="F913" s="120"/>
      <c r="G913" s="118" t="s">
        <v>3718</v>
      </c>
      <c r="H913" s="118" t="s">
        <v>3719</v>
      </c>
      <c r="I913" s="118" t="s">
        <v>3720</v>
      </c>
      <c r="J913" s="122" t="s">
        <v>74</v>
      </c>
      <c r="K913" s="130" t="s">
        <v>25</v>
      </c>
      <c r="L913" s="130" t="s">
        <v>25</v>
      </c>
      <c r="M913" s="120"/>
      <c r="N913" s="120"/>
      <c r="O913" s="120"/>
      <c r="P913" s="120"/>
    </row>
    <row r="914" hidden="1">
      <c r="A914" s="118" t="s">
        <v>3711</v>
      </c>
      <c r="B914" s="126"/>
      <c r="C914" s="118" t="s">
        <v>3721</v>
      </c>
      <c r="D914" s="120"/>
      <c r="E914" s="118" t="s">
        <v>3479</v>
      </c>
      <c r="F914" s="120"/>
      <c r="G914" s="118" t="s">
        <v>3722</v>
      </c>
      <c r="H914" s="118" t="s">
        <v>3723</v>
      </c>
      <c r="I914" s="118" t="s">
        <v>3724</v>
      </c>
      <c r="J914" s="122" t="s">
        <v>74</v>
      </c>
      <c r="K914" s="118" t="s">
        <v>25</v>
      </c>
      <c r="L914" s="118" t="s">
        <v>25</v>
      </c>
      <c r="M914" s="118" t="s">
        <v>3483</v>
      </c>
      <c r="N914" s="120"/>
      <c r="O914" s="120"/>
      <c r="P914" s="120"/>
    </row>
    <row r="915">
      <c r="A915" s="118" t="s">
        <v>3711</v>
      </c>
      <c r="B915" s="126"/>
      <c r="C915" s="118" t="s">
        <v>3725</v>
      </c>
      <c r="D915" s="120"/>
      <c r="E915" s="118" t="s">
        <v>3479</v>
      </c>
      <c r="F915" s="120"/>
      <c r="G915" s="118" t="s">
        <v>3726</v>
      </c>
      <c r="H915" s="118" t="s">
        <v>3727</v>
      </c>
      <c r="I915" s="118" t="s">
        <v>3728</v>
      </c>
      <c r="J915" s="128" t="s">
        <v>714</v>
      </c>
      <c r="K915" s="118" t="s">
        <v>25</v>
      </c>
      <c r="L915" s="118" t="s">
        <v>25</v>
      </c>
      <c r="M915" s="118" t="s">
        <v>3483</v>
      </c>
      <c r="N915" s="129" t="s">
        <v>3729</v>
      </c>
      <c r="O915" s="120"/>
      <c r="P915" s="120"/>
    </row>
    <row r="916" hidden="1">
      <c r="A916" s="118" t="s">
        <v>3711</v>
      </c>
      <c r="B916" s="126"/>
      <c r="C916" s="118" t="s">
        <v>3730</v>
      </c>
      <c r="D916" s="120"/>
      <c r="E916" s="118" t="s">
        <v>3479</v>
      </c>
      <c r="F916" s="120"/>
      <c r="G916" s="118" t="s">
        <v>3731</v>
      </c>
      <c r="H916" s="118" t="s">
        <v>3732</v>
      </c>
      <c r="I916" s="118" t="s">
        <v>3733</v>
      </c>
      <c r="J916" s="122" t="s">
        <v>74</v>
      </c>
      <c r="K916" s="118" t="s">
        <v>25</v>
      </c>
      <c r="L916" s="118" t="s">
        <v>25</v>
      </c>
      <c r="M916" s="118" t="s">
        <v>3483</v>
      </c>
      <c r="N916" s="120"/>
      <c r="O916" s="120"/>
      <c r="P916" s="120"/>
    </row>
    <row r="917" hidden="1">
      <c r="A917" s="118" t="s">
        <v>3711</v>
      </c>
      <c r="B917" s="126"/>
      <c r="C917" s="118" t="s">
        <v>3734</v>
      </c>
      <c r="D917" s="120"/>
      <c r="E917" s="118" t="s">
        <v>3479</v>
      </c>
      <c r="F917" s="120"/>
      <c r="G917" s="118" t="s">
        <v>3735</v>
      </c>
      <c r="H917" s="118" t="s">
        <v>3736</v>
      </c>
      <c r="I917" s="118" t="s">
        <v>3737</v>
      </c>
      <c r="J917" s="122" t="s">
        <v>74</v>
      </c>
      <c r="K917" s="118" t="s">
        <v>25</v>
      </c>
      <c r="L917" s="118" t="s">
        <v>25</v>
      </c>
      <c r="M917" s="118" t="s">
        <v>3483</v>
      </c>
      <c r="N917" s="120"/>
      <c r="O917" s="120"/>
      <c r="P917" s="120"/>
    </row>
    <row r="918" hidden="1">
      <c r="A918" s="118" t="s">
        <v>3711</v>
      </c>
      <c r="B918" s="126"/>
      <c r="C918" s="118" t="s">
        <v>3738</v>
      </c>
      <c r="D918" s="120"/>
      <c r="E918" s="118" t="s">
        <v>3479</v>
      </c>
      <c r="F918" s="120"/>
      <c r="G918" s="118" t="s">
        <v>3739</v>
      </c>
      <c r="H918" s="118" t="s">
        <v>3740</v>
      </c>
      <c r="I918" s="118" t="s">
        <v>3741</v>
      </c>
      <c r="J918" s="122" t="s">
        <v>74</v>
      </c>
      <c r="K918" s="118" t="s">
        <v>25</v>
      </c>
      <c r="L918" s="118" t="s">
        <v>25</v>
      </c>
      <c r="M918" s="118" t="s">
        <v>3483</v>
      </c>
      <c r="N918" s="120"/>
      <c r="O918" s="120"/>
      <c r="P918" s="120"/>
    </row>
    <row r="919" hidden="1">
      <c r="A919" s="118" t="s">
        <v>3711</v>
      </c>
      <c r="B919" s="126"/>
      <c r="C919" s="118" t="s">
        <v>3742</v>
      </c>
      <c r="D919" s="120"/>
      <c r="E919" s="118" t="s">
        <v>3479</v>
      </c>
      <c r="F919" s="120"/>
      <c r="G919" s="118" t="s">
        <v>3743</v>
      </c>
      <c r="H919" s="118" t="s">
        <v>3740</v>
      </c>
      <c r="I919" s="118" t="s">
        <v>3744</v>
      </c>
      <c r="J919" s="122" t="s">
        <v>74</v>
      </c>
      <c r="K919" s="118" t="s">
        <v>25</v>
      </c>
      <c r="L919" s="118" t="s">
        <v>25</v>
      </c>
      <c r="M919" s="118" t="s">
        <v>3483</v>
      </c>
      <c r="N919" s="120"/>
      <c r="O919" s="120"/>
      <c r="P919" s="120"/>
    </row>
    <row r="920" hidden="1">
      <c r="A920" s="118" t="s">
        <v>3711</v>
      </c>
      <c r="B920" s="126"/>
      <c r="C920" s="118" t="s">
        <v>3745</v>
      </c>
      <c r="D920" s="120"/>
      <c r="E920" s="118" t="s">
        <v>3479</v>
      </c>
      <c r="F920" s="120"/>
      <c r="G920" s="118" t="s">
        <v>3746</v>
      </c>
      <c r="H920" s="118" t="s">
        <v>3747</v>
      </c>
      <c r="I920" s="118" t="s">
        <v>3748</v>
      </c>
      <c r="J920" s="122" t="s">
        <v>74</v>
      </c>
      <c r="K920" s="118" t="s">
        <v>25</v>
      </c>
      <c r="L920" s="118" t="s">
        <v>25</v>
      </c>
      <c r="M920" s="118" t="s">
        <v>3483</v>
      </c>
      <c r="N920" s="120"/>
      <c r="O920" s="120"/>
      <c r="P920" s="120"/>
    </row>
    <row r="921">
      <c r="A921" s="118" t="s">
        <v>3711</v>
      </c>
      <c r="B921" s="126"/>
      <c r="C921" s="118" t="s">
        <v>3749</v>
      </c>
      <c r="D921" s="120"/>
      <c r="E921" s="118" t="s">
        <v>3479</v>
      </c>
      <c r="F921" s="120"/>
      <c r="G921" s="118" t="s">
        <v>3750</v>
      </c>
      <c r="H921" s="130" t="s">
        <v>3751</v>
      </c>
      <c r="I921" s="118" t="s">
        <v>3752</v>
      </c>
      <c r="J921" s="128" t="s">
        <v>714</v>
      </c>
      <c r="K921" s="118" t="s">
        <v>25</v>
      </c>
      <c r="L921" s="118" t="s">
        <v>25</v>
      </c>
      <c r="M921" s="118" t="s">
        <v>3483</v>
      </c>
      <c r="N921" s="129" t="s">
        <v>3753</v>
      </c>
      <c r="O921" s="120"/>
      <c r="P921" s="120"/>
    </row>
    <row r="922" hidden="1">
      <c r="A922" s="118" t="s">
        <v>3711</v>
      </c>
      <c r="B922" s="126"/>
      <c r="C922" s="118" t="s">
        <v>3754</v>
      </c>
      <c r="D922" s="120"/>
      <c r="E922" s="118" t="s">
        <v>3479</v>
      </c>
      <c r="F922" s="120"/>
      <c r="G922" s="118" t="s">
        <v>3755</v>
      </c>
      <c r="H922" s="130" t="s">
        <v>3756</v>
      </c>
      <c r="I922" s="118" t="s">
        <v>3757</v>
      </c>
      <c r="J922" s="122" t="s">
        <v>74</v>
      </c>
      <c r="K922" s="118" t="s">
        <v>25</v>
      </c>
      <c r="L922" s="118" t="s">
        <v>25</v>
      </c>
      <c r="M922" s="118" t="s">
        <v>3483</v>
      </c>
      <c r="N922" s="120"/>
      <c r="O922" s="120"/>
      <c r="P922" s="120"/>
    </row>
    <row r="923" hidden="1">
      <c r="A923" s="118" t="s">
        <v>3711</v>
      </c>
      <c r="B923" s="126"/>
      <c r="C923" s="118" t="s">
        <v>3758</v>
      </c>
      <c r="D923" s="120"/>
      <c r="E923" s="118" t="s">
        <v>3479</v>
      </c>
      <c r="F923" s="118" t="s">
        <v>3759</v>
      </c>
      <c r="G923" s="118" t="s">
        <v>3760</v>
      </c>
      <c r="H923" s="130" t="s">
        <v>3761</v>
      </c>
      <c r="I923" s="118" t="s">
        <v>3762</v>
      </c>
      <c r="J923" s="122" t="s">
        <v>74</v>
      </c>
      <c r="K923" s="118" t="s">
        <v>25</v>
      </c>
      <c r="L923" s="118" t="s">
        <v>25</v>
      </c>
      <c r="M923" s="118" t="s">
        <v>3483</v>
      </c>
      <c r="N923" s="120"/>
      <c r="O923" s="120"/>
      <c r="P923" s="120"/>
    </row>
    <row r="924" hidden="1">
      <c r="A924" s="118" t="s">
        <v>3711</v>
      </c>
      <c r="B924" s="126"/>
      <c r="C924" s="118" t="s">
        <v>3763</v>
      </c>
      <c r="D924" s="120"/>
      <c r="E924" s="118" t="s">
        <v>3479</v>
      </c>
      <c r="F924" s="120"/>
      <c r="G924" s="118" t="s">
        <v>3764</v>
      </c>
      <c r="H924" s="130" t="s">
        <v>3765</v>
      </c>
      <c r="I924" s="118" t="s">
        <v>3766</v>
      </c>
      <c r="J924" s="122" t="s">
        <v>74</v>
      </c>
      <c r="K924" s="118" t="s">
        <v>25</v>
      </c>
      <c r="L924" s="118" t="s">
        <v>25</v>
      </c>
      <c r="M924" s="118" t="s">
        <v>3483</v>
      </c>
      <c r="N924" s="120"/>
      <c r="O924" s="120"/>
      <c r="P924" s="120"/>
    </row>
    <row r="925" hidden="1">
      <c r="A925" s="118" t="s">
        <v>3711</v>
      </c>
      <c r="B925" s="126"/>
      <c r="C925" s="118" t="s">
        <v>3767</v>
      </c>
      <c r="D925" s="120"/>
      <c r="E925" s="118" t="s">
        <v>3479</v>
      </c>
      <c r="F925" s="120"/>
      <c r="G925" s="118" t="s">
        <v>3768</v>
      </c>
      <c r="H925" s="118" t="s">
        <v>3769</v>
      </c>
      <c r="I925" s="130" t="s">
        <v>3770</v>
      </c>
      <c r="J925" s="122" t="s">
        <v>74</v>
      </c>
      <c r="K925" s="118" t="s">
        <v>25</v>
      </c>
      <c r="L925" s="118" t="s">
        <v>25</v>
      </c>
      <c r="M925" s="118" t="s">
        <v>3483</v>
      </c>
      <c r="N925" s="120"/>
      <c r="O925" s="120"/>
      <c r="P925" s="120"/>
    </row>
    <row r="926" hidden="1">
      <c r="A926" s="118" t="s">
        <v>3711</v>
      </c>
      <c r="B926" s="126"/>
      <c r="C926" s="118" t="s">
        <v>3771</v>
      </c>
      <c r="D926" s="120"/>
      <c r="E926" s="118" t="s">
        <v>3479</v>
      </c>
      <c r="F926" s="120"/>
      <c r="G926" s="118" t="s">
        <v>3772</v>
      </c>
      <c r="H926" s="118" t="s">
        <v>3773</v>
      </c>
      <c r="I926" s="118" t="s">
        <v>3774</v>
      </c>
      <c r="J926" s="122" t="s">
        <v>74</v>
      </c>
      <c r="K926" s="118" t="s">
        <v>25</v>
      </c>
      <c r="L926" s="120"/>
      <c r="M926" s="120"/>
      <c r="N926" s="120"/>
      <c r="O926" s="120"/>
      <c r="P926" s="120"/>
    </row>
    <row r="927" hidden="1">
      <c r="A927" s="118" t="s">
        <v>3711</v>
      </c>
      <c r="B927" s="126"/>
      <c r="C927" s="118" t="s">
        <v>3775</v>
      </c>
      <c r="D927" s="120"/>
      <c r="E927" s="118" t="s">
        <v>3479</v>
      </c>
      <c r="F927" s="120"/>
      <c r="G927" s="118" t="s">
        <v>3776</v>
      </c>
      <c r="H927" s="118" t="s">
        <v>3777</v>
      </c>
      <c r="I927" s="118" t="s">
        <v>3778</v>
      </c>
      <c r="J927" s="122" t="s">
        <v>74</v>
      </c>
      <c r="K927" s="118" t="s">
        <v>25</v>
      </c>
      <c r="L927" s="118" t="s">
        <v>25</v>
      </c>
      <c r="M927" s="118" t="s">
        <v>3483</v>
      </c>
      <c r="N927" s="120"/>
      <c r="O927" s="120"/>
      <c r="P927" s="120"/>
    </row>
    <row r="928" hidden="1">
      <c r="A928" s="118" t="s">
        <v>3711</v>
      </c>
      <c r="B928" s="126"/>
      <c r="C928" s="118" t="s">
        <v>3779</v>
      </c>
      <c r="D928" s="120"/>
      <c r="E928" s="118" t="s">
        <v>3479</v>
      </c>
      <c r="F928" s="120"/>
      <c r="G928" s="130" t="s">
        <v>3780</v>
      </c>
      <c r="H928" s="118" t="s">
        <v>3781</v>
      </c>
      <c r="I928" s="118" t="s">
        <v>3782</v>
      </c>
      <c r="J928" s="122" t="s">
        <v>74</v>
      </c>
      <c r="K928" s="118" t="s">
        <v>25</v>
      </c>
      <c r="L928" s="118" t="s">
        <v>25</v>
      </c>
      <c r="M928" s="118" t="s">
        <v>3483</v>
      </c>
      <c r="N928" s="120"/>
      <c r="O928" s="120"/>
      <c r="P928" s="120"/>
    </row>
    <row r="929" hidden="1">
      <c r="A929" s="118" t="s">
        <v>3711</v>
      </c>
      <c r="B929" s="126"/>
      <c r="C929" s="118" t="s">
        <v>3783</v>
      </c>
      <c r="D929" s="120"/>
      <c r="E929" s="118" t="s">
        <v>3479</v>
      </c>
      <c r="F929" s="120"/>
      <c r="G929" s="130" t="s">
        <v>3784</v>
      </c>
      <c r="H929" s="118" t="s">
        <v>3785</v>
      </c>
      <c r="I929" s="118" t="s">
        <v>3786</v>
      </c>
      <c r="J929" s="122" t="s">
        <v>74</v>
      </c>
      <c r="K929" s="118" t="s">
        <v>25</v>
      </c>
      <c r="L929" s="118" t="s">
        <v>25</v>
      </c>
      <c r="M929" s="118" t="s">
        <v>3483</v>
      </c>
      <c r="N929" s="120"/>
      <c r="O929" s="120"/>
      <c r="P929" s="120"/>
    </row>
    <row r="930" hidden="1">
      <c r="A930" s="118" t="s">
        <v>3711</v>
      </c>
      <c r="B930" s="126"/>
      <c r="C930" s="118" t="s">
        <v>3787</v>
      </c>
      <c r="D930" s="120"/>
      <c r="E930" s="118" t="s">
        <v>3479</v>
      </c>
      <c r="F930" s="120"/>
      <c r="G930" s="130" t="s">
        <v>3788</v>
      </c>
      <c r="H930" s="118" t="s">
        <v>3789</v>
      </c>
      <c r="I930" s="118" t="s">
        <v>3790</v>
      </c>
      <c r="J930" s="122" t="s">
        <v>74</v>
      </c>
      <c r="K930" s="118" t="s">
        <v>25</v>
      </c>
      <c r="L930" s="118" t="s">
        <v>25</v>
      </c>
      <c r="M930" s="118" t="s">
        <v>3483</v>
      </c>
      <c r="N930" s="120"/>
      <c r="O930" s="120"/>
      <c r="P930" s="120"/>
    </row>
    <row r="931" hidden="1">
      <c r="A931" s="118" t="s">
        <v>3711</v>
      </c>
      <c r="B931" s="126"/>
      <c r="C931" s="118" t="s">
        <v>3791</v>
      </c>
      <c r="D931" s="120"/>
      <c r="E931" s="118" t="s">
        <v>3479</v>
      </c>
      <c r="F931" s="120"/>
      <c r="G931" s="118" t="s">
        <v>3792</v>
      </c>
      <c r="H931" s="118" t="s">
        <v>3793</v>
      </c>
      <c r="I931" s="118" t="s">
        <v>3794</v>
      </c>
      <c r="J931" s="122" t="s">
        <v>74</v>
      </c>
      <c r="K931" s="118" t="s">
        <v>25</v>
      </c>
      <c r="L931" s="118" t="s">
        <v>25</v>
      </c>
      <c r="M931" s="118" t="s">
        <v>3483</v>
      </c>
      <c r="N931" s="120"/>
      <c r="O931" s="120"/>
      <c r="P931" s="120"/>
    </row>
    <row r="932" hidden="1">
      <c r="A932" s="118" t="s">
        <v>3711</v>
      </c>
      <c r="B932" s="10"/>
      <c r="C932" s="118" t="s">
        <v>3795</v>
      </c>
      <c r="D932" s="120"/>
      <c r="E932" s="118" t="s">
        <v>3479</v>
      </c>
      <c r="F932" s="120"/>
      <c r="G932" s="118" t="s">
        <v>3796</v>
      </c>
      <c r="H932" s="118" t="s">
        <v>3797</v>
      </c>
      <c r="I932" s="118" t="s">
        <v>3798</v>
      </c>
      <c r="J932" s="122" t="s">
        <v>74</v>
      </c>
      <c r="K932" s="118" t="s">
        <v>25</v>
      </c>
      <c r="L932" s="118" t="s">
        <v>25</v>
      </c>
      <c r="M932" s="118" t="s">
        <v>3483</v>
      </c>
      <c r="N932" s="120"/>
      <c r="O932" s="120"/>
      <c r="P932" s="120"/>
    </row>
    <row r="933" hidden="1">
      <c r="A933" s="118" t="s">
        <v>3799</v>
      </c>
      <c r="B933" s="158" t="s">
        <v>3800</v>
      </c>
      <c r="C933" s="118" t="s">
        <v>3801</v>
      </c>
      <c r="D933" s="120"/>
      <c r="E933" s="118" t="s">
        <v>46</v>
      </c>
      <c r="F933" s="120"/>
      <c r="G933" s="118" t="s">
        <v>3802</v>
      </c>
      <c r="H933" s="118" t="s">
        <v>3803</v>
      </c>
      <c r="I933" s="118" t="s">
        <v>3804</v>
      </c>
      <c r="J933" s="122" t="s">
        <v>74</v>
      </c>
      <c r="K933" s="118" t="s">
        <v>25</v>
      </c>
      <c r="L933" s="118" t="s">
        <v>25</v>
      </c>
      <c r="M933" s="118" t="s">
        <v>3483</v>
      </c>
      <c r="N933" s="120"/>
      <c r="O933" s="120"/>
      <c r="P933" s="120"/>
    </row>
    <row r="934" hidden="1">
      <c r="A934" s="118" t="s">
        <v>3799</v>
      </c>
      <c r="B934" s="126"/>
      <c r="C934" s="118" t="s">
        <v>3805</v>
      </c>
      <c r="D934" s="120"/>
      <c r="E934" s="118" t="s">
        <v>46</v>
      </c>
      <c r="F934" s="118" t="s">
        <v>3806</v>
      </c>
      <c r="G934" s="118" t="s">
        <v>3807</v>
      </c>
      <c r="H934" s="118" t="s">
        <v>3808</v>
      </c>
      <c r="I934" s="118" t="s">
        <v>3809</v>
      </c>
      <c r="J934" s="122" t="s">
        <v>74</v>
      </c>
      <c r="K934" s="118" t="s">
        <v>25</v>
      </c>
      <c r="L934" s="118" t="s">
        <v>25</v>
      </c>
      <c r="M934" s="118" t="s">
        <v>3483</v>
      </c>
      <c r="N934" s="120"/>
      <c r="O934" s="120"/>
      <c r="P934" s="120"/>
    </row>
    <row r="935" hidden="1">
      <c r="A935" s="118" t="s">
        <v>3799</v>
      </c>
      <c r="B935" s="126"/>
      <c r="C935" s="118" t="s">
        <v>3810</v>
      </c>
      <c r="D935" s="120"/>
      <c r="E935" s="118" t="s">
        <v>46</v>
      </c>
      <c r="F935" s="120"/>
      <c r="G935" s="118" t="s">
        <v>3811</v>
      </c>
      <c r="H935" s="118" t="s">
        <v>3812</v>
      </c>
      <c r="I935" s="118" t="s">
        <v>3813</v>
      </c>
      <c r="J935" s="122" t="s">
        <v>74</v>
      </c>
      <c r="K935" s="118" t="s">
        <v>25</v>
      </c>
      <c r="L935" s="118" t="s">
        <v>25</v>
      </c>
      <c r="M935" s="118" t="s">
        <v>3483</v>
      </c>
      <c r="N935" s="120"/>
      <c r="O935" s="120"/>
      <c r="P935" s="120"/>
    </row>
    <row r="936" hidden="1">
      <c r="A936" s="118" t="s">
        <v>3799</v>
      </c>
      <c r="B936" s="126"/>
      <c r="C936" s="118" t="s">
        <v>3814</v>
      </c>
      <c r="D936" s="120"/>
      <c r="E936" s="118" t="s">
        <v>46</v>
      </c>
      <c r="F936" s="120"/>
      <c r="G936" s="130" t="s">
        <v>3815</v>
      </c>
      <c r="H936" s="118" t="s">
        <v>3816</v>
      </c>
      <c r="I936" s="118" t="s">
        <v>3817</v>
      </c>
      <c r="J936" s="122" t="s">
        <v>74</v>
      </c>
      <c r="K936" s="118" t="s">
        <v>25</v>
      </c>
      <c r="L936" s="118" t="s">
        <v>25</v>
      </c>
      <c r="M936" s="118" t="s">
        <v>3483</v>
      </c>
      <c r="N936" s="120"/>
      <c r="O936" s="120"/>
      <c r="P936" s="120"/>
    </row>
    <row r="937" hidden="1">
      <c r="A937" s="118" t="s">
        <v>3799</v>
      </c>
      <c r="B937" s="126"/>
      <c r="C937" s="118" t="s">
        <v>3818</v>
      </c>
      <c r="D937" s="120"/>
      <c r="E937" s="118" t="s">
        <v>46</v>
      </c>
      <c r="F937" s="120"/>
      <c r="G937" s="118" t="s">
        <v>3819</v>
      </c>
      <c r="H937" s="118" t="s">
        <v>3803</v>
      </c>
      <c r="I937" s="118" t="s">
        <v>3820</v>
      </c>
      <c r="J937" s="122" t="s">
        <v>74</v>
      </c>
      <c r="K937" s="118" t="s">
        <v>25</v>
      </c>
      <c r="L937" s="118" t="s">
        <v>25</v>
      </c>
      <c r="M937" s="118" t="s">
        <v>3483</v>
      </c>
      <c r="N937" s="120"/>
      <c r="O937" s="120"/>
      <c r="P937" s="120"/>
    </row>
    <row r="938" hidden="1">
      <c r="A938" s="118" t="s">
        <v>3799</v>
      </c>
      <c r="B938" s="126"/>
      <c r="C938" s="118" t="s">
        <v>3821</v>
      </c>
      <c r="D938" s="120"/>
      <c r="E938" s="118" t="s">
        <v>46</v>
      </c>
      <c r="F938" s="118" t="s">
        <v>46</v>
      </c>
      <c r="G938" s="118" t="s">
        <v>3822</v>
      </c>
      <c r="H938" s="118" t="s">
        <v>3823</v>
      </c>
      <c r="I938" s="118" t="s">
        <v>3824</v>
      </c>
      <c r="J938" s="122" t="s">
        <v>74</v>
      </c>
      <c r="K938" s="118" t="s">
        <v>25</v>
      </c>
      <c r="L938" s="118" t="s">
        <v>25</v>
      </c>
      <c r="M938" s="118" t="s">
        <v>3483</v>
      </c>
      <c r="N938" s="120"/>
      <c r="O938" s="120"/>
      <c r="P938" s="120"/>
    </row>
    <row r="939" hidden="1">
      <c r="A939" s="118" t="s">
        <v>3799</v>
      </c>
      <c r="B939" s="126"/>
      <c r="C939" s="118" t="s">
        <v>3825</v>
      </c>
      <c r="D939" s="120"/>
      <c r="E939" s="118" t="s">
        <v>46</v>
      </c>
      <c r="F939" s="120"/>
      <c r="G939" s="130" t="s">
        <v>3826</v>
      </c>
      <c r="H939" s="130" t="s">
        <v>3827</v>
      </c>
      <c r="I939" s="130" t="s">
        <v>3828</v>
      </c>
      <c r="J939" s="122" t="s">
        <v>74</v>
      </c>
      <c r="K939" s="118" t="s">
        <v>25</v>
      </c>
      <c r="L939" s="118" t="s">
        <v>25</v>
      </c>
      <c r="M939" s="118" t="s">
        <v>3483</v>
      </c>
      <c r="N939" s="129" t="s">
        <v>3829</v>
      </c>
      <c r="O939" s="120"/>
      <c r="P939" s="120"/>
    </row>
    <row r="940" hidden="1">
      <c r="A940" s="118" t="s">
        <v>3799</v>
      </c>
      <c r="B940" s="126"/>
      <c r="C940" s="118" t="s">
        <v>3830</v>
      </c>
      <c r="D940" s="120"/>
      <c r="E940" s="118" t="s">
        <v>46</v>
      </c>
      <c r="F940" s="120"/>
      <c r="G940" s="130" t="s">
        <v>3831</v>
      </c>
      <c r="H940" s="130" t="s">
        <v>3832</v>
      </c>
      <c r="I940" s="130" t="s">
        <v>3833</v>
      </c>
      <c r="J940" s="122" t="s">
        <v>74</v>
      </c>
      <c r="K940" s="118" t="s">
        <v>25</v>
      </c>
      <c r="L940" s="118" t="s">
        <v>25</v>
      </c>
      <c r="M940" s="118" t="s">
        <v>3483</v>
      </c>
      <c r="N940" s="120"/>
      <c r="O940" s="120"/>
      <c r="P940" s="120"/>
    </row>
    <row r="941" hidden="1">
      <c r="A941" s="118" t="s">
        <v>3799</v>
      </c>
      <c r="B941" s="126"/>
      <c r="C941" s="118" t="s">
        <v>3834</v>
      </c>
      <c r="D941" s="120"/>
      <c r="E941" s="118" t="s">
        <v>46</v>
      </c>
      <c r="F941" s="120"/>
      <c r="G941" s="118" t="s">
        <v>3835</v>
      </c>
      <c r="H941" s="118" t="s">
        <v>3836</v>
      </c>
      <c r="I941" s="118" t="s">
        <v>3837</v>
      </c>
      <c r="J941" s="122" t="s">
        <v>74</v>
      </c>
      <c r="K941" s="118" t="s">
        <v>25</v>
      </c>
      <c r="L941" s="118" t="s">
        <v>25</v>
      </c>
      <c r="M941" s="118" t="s">
        <v>3483</v>
      </c>
      <c r="N941" s="120"/>
      <c r="O941" s="120"/>
      <c r="P941" s="120"/>
    </row>
    <row r="942" hidden="1">
      <c r="A942" s="118" t="s">
        <v>3799</v>
      </c>
      <c r="B942" s="126"/>
      <c r="C942" s="118" t="s">
        <v>3838</v>
      </c>
      <c r="D942" s="120"/>
      <c r="E942" s="118" t="s">
        <v>46</v>
      </c>
      <c r="F942" s="120"/>
      <c r="G942" s="118" t="s">
        <v>3839</v>
      </c>
      <c r="H942" s="118" t="s">
        <v>3840</v>
      </c>
      <c r="I942" s="118" t="s">
        <v>3841</v>
      </c>
      <c r="J942" s="122" t="s">
        <v>74</v>
      </c>
      <c r="K942" s="118" t="s">
        <v>25</v>
      </c>
      <c r="L942" s="118" t="s">
        <v>25</v>
      </c>
      <c r="M942" s="118" t="s">
        <v>3483</v>
      </c>
      <c r="N942" s="120"/>
      <c r="O942" s="120"/>
      <c r="P942" s="120"/>
    </row>
    <row r="943" hidden="1">
      <c r="A943" s="118" t="s">
        <v>3799</v>
      </c>
      <c r="B943" s="126"/>
      <c r="C943" s="118" t="s">
        <v>3842</v>
      </c>
      <c r="D943" s="120"/>
      <c r="E943" s="118" t="s">
        <v>46</v>
      </c>
      <c r="F943" s="120"/>
      <c r="G943" s="118" t="s">
        <v>3843</v>
      </c>
      <c r="H943" s="118" t="s">
        <v>3844</v>
      </c>
      <c r="I943" s="118" t="s">
        <v>3845</v>
      </c>
      <c r="J943" s="122" t="s">
        <v>74</v>
      </c>
      <c r="K943" s="118" t="s">
        <v>25</v>
      </c>
      <c r="L943" s="118" t="s">
        <v>25</v>
      </c>
      <c r="M943" s="118" t="s">
        <v>3483</v>
      </c>
      <c r="N943" s="120"/>
      <c r="O943" s="120"/>
      <c r="P943" s="120"/>
    </row>
    <row r="944" hidden="1">
      <c r="A944" s="118" t="s">
        <v>3799</v>
      </c>
      <c r="B944" s="126"/>
      <c r="C944" s="118" t="s">
        <v>3846</v>
      </c>
      <c r="D944" s="120"/>
      <c r="E944" s="118" t="s">
        <v>46</v>
      </c>
      <c r="F944" s="120"/>
      <c r="G944" s="118" t="s">
        <v>3847</v>
      </c>
      <c r="H944" s="118" t="s">
        <v>3848</v>
      </c>
      <c r="I944" s="118" t="s">
        <v>3849</v>
      </c>
      <c r="J944" s="122" t="s">
        <v>74</v>
      </c>
      <c r="K944" s="118" t="s">
        <v>25</v>
      </c>
      <c r="L944" s="118" t="s">
        <v>25</v>
      </c>
      <c r="M944" s="118" t="s">
        <v>3483</v>
      </c>
      <c r="N944" s="120"/>
      <c r="O944" s="120"/>
      <c r="P944" s="120"/>
    </row>
    <row r="945" hidden="1">
      <c r="A945" s="118" t="s">
        <v>3799</v>
      </c>
      <c r="B945" s="126"/>
      <c r="C945" s="118" t="s">
        <v>3850</v>
      </c>
      <c r="D945" s="120"/>
      <c r="E945" s="118" t="s">
        <v>46</v>
      </c>
      <c r="F945" s="118" t="s">
        <v>3851</v>
      </c>
      <c r="G945" s="118" t="s">
        <v>3852</v>
      </c>
      <c r="H945" s="118" t="s">
        <v>3853</v>
      </c>
      <c r="I945" s="130" t="s">
        <v>3854</v>
      </c>
      <c r="J945" s="122" t="s">
        <v>74</v>
      </c>
      <c r="K945" s="118" t="s">
        <v>25</v>
      </c>
      <c r="L945" s="118" t="s">
        <v>25</v>
      </c>
      <c r="M945" s="118" t="s">
        <v>3483</v>
      </c>
      <c r="N945" s="120"/>
      <c r="O945" s="120"/>
      <c r="P945" s="120"/>
    </row>
    <row r="946" hidden="1">
      <c r="A946" s="118" t="s">
        <v>3799</v>
      </c>
      <c r="B946" s="126"/>
      <c r="C946" s="118" t="s">
        <v>3855</v>
      </c>
      <c r="D946" s="120"/>
      <c r="E946" s="118" t="s">
        <v>46</v>
      </c>
      <c r="F946" s="120"/>
      <c r="G946" s="118" t="s">
        <v>3856</v>
      </c>
      <c r="H946" s="118" t="s">
        <v>3857</v>
      </c>
      <c r="I946" s="118" t="s">
        <v>3858</v>
      </c>
      <c r="J946" s="122" t="s">
        <v>74</v>
      </c>
      <c r="K946" s="118" t="s">
        <v>25</v>
      </c>
      <c r="L946" s="118" t="s">
        <v>25</v>
      </c>
      <c r="M946" s="118" t="s">
        <v>3483</v>
      </c>
      <c r="N946" s="120"/>
      <c r="O946" s="120"/>
      <c r="P946" s="120"/>
    </row>
    <row r="947" hidden="1">
      <c r="A947" s="118" t="s">
        <v>3799</v>
      </c>
      <c r="B947" s="126"/>
      <c r="C947" s="118" t="s">
        <v>3859</v>
      </c>
      <c r="D947" s="120"/>
      <c r="E947" s="118" t="s">
        <v>46</v>
      </c>
      <c r="F947" s="118" t="s">
        <v>3860</v>
      </c>
      <c r="G947" s="118" t="s">
        <v>3861</v>
      </c>
      <c r="H947" s="118" t="s">
        <v>3862</v>
      </c>
      <c r="I947" s="118" t="s">
        <v>3863</v>
      </c>
      <c r="J947" s="122" t="s">
        <v>74</v>
      </c>
      <c r="K947" s="118" t="s">
        <v>25</v>
      </c>
      <c r="L947" s="118" t="s">
        <v>25</v>
      </c>
      <c r="M947" s="118" t="s">
        <v>3483</v>
      </c>
      <c r="N947" s="120"/>
      <c r="O947" s="120"/>
      <c r="P947" s="120"/>
    </row>
    <row r="948" hidden="1">
      <c r="A948" s="118" t="s">
        <v>3799</v>
      </c>
      <c r="B948" s="126"/>
      <c r="C948" s="118" t="s">
        <v>3864</v>
      </c>
      <c r="D948" s="120"/>
      <c r="E948" s="118" t="s">
        <v>46</v>
      </c>
      <c r="F948" s="120"/>
      <c r="G948" s="118" t="s">
        <v>3865</v>
      </c>
      <c r="H948" s="118" t="s">
        <v>3866</v>
      </c>
      <c r="I948" s="118" t="s">
        <v>3867</v>
      </c>
      <c r="J948" s="122" t="s">
        <v>74</v>
      </c>
      <c r="K948" s="118" t="s">
        <v>25</v>
      </c>
      <c r="L948" s="118" t="s">
        <v>25</v>
      </c>
      <c r="M948" s="118" t="s">
        <v>3483</v>
      </c>
      <c r="N948" s="120"/>
      <c r="O948" s="120"/>
      <c r="P948" s="120"/>
    </row>
    <row r="949" hidden="1">
      <c r="A949" s="118" t="s">
        <v>3799</v>
      </c>
      <c r="B949" s="126"/>
      <c r="C949" s="118" t="s">
        <v>3868</v>
      </c>
      <c r="D949" s="120"/>
      <c r="E949" s="118" t="s">
        <v>46</v>
      </c>
      <c r="F949" s="120"/>
      <c r="G949" s="118" t="s">
        <v>3869</v>
      </c>
      <c r="H949" s="118" t="s">
        <v>3870</v>
      </c>
      <c r="I949" s="118" t="s">
        <v>3871</v>
      </c>
      <c r="J949" s="122" t="s">
        <v>74</v>
      </c>
      <c r="K949" s="118" t="s">
        <v>25</v>
      </c>
      <c r="L949" s="118" t="s">
        <v>25</v>
      </c>
      <c r="M949" s="118" t="s">
        <v>3483</v>
      </c>
      <c r="N949" s="120"/>
      <c r="O949" s="120"/>
      <c r="P949" s="120"/>
    </row>
    <row r="950" hidden="1">
      <c r="A950" s="118" t="s">
        <v>3799</v>
      </c>
      <c r="B950" s="126"/>
      <c r="C950" s="118" t="s">
        <v>3872</v>
      </c>
      <c r="D950" s="120"/>
      <c r="E950" s="118" t="s">
        <v>46</v>
      </c>
      <c r="F950" s="120"/>
      <c r="G950" s="118" t="s">
        <v>3873</v>
      </c>
      <c r="H950" s="118" t="s">
        <v>3874</v>
      </c>
      <c r="I950" s="118" t="s">
        <v>3875</v>
      </c>
      <c r="J950" s="122" t="s">
        <v>74</v>
      </c>
      <c r="K950" s="118" t="s">
        <v>25</v>
      </c>
      <c r="L950" s="118" t="s">
        <v>25</v>
      </c>
      <c r="M950" s="118" t="s">
        <v>3483</v>
      </c>
      <c r="N950" s="120"/>
      <c r="O950" s="120"/>
      <c r="P950" s="120"/>
    </row>
    <row r="951" hidden="1">
      <c r="A951" s="118" t="s">
        <v>3799</v>
      </c>
      <c r="B951" s="126"/>
      <c r="C951" s="118" t="s">
        <v>3876</v>
      </c>
      <c r="D951" s="120"/>
      <c r="E951" s="118" t="s">
        <v>46</v>
      </c>
      <c r="F951" s="120"/>
      <c r="G951" s="130" t="s">
        <v>3877</v>
      </c>
      <c r="H951" s="118" t="s">
        <v>3878</v>
      </c>
      <c r="I951" s="118" t="s">
        <v>3879</v>
      </c>
      <c r="J951" s="122" t="s">
        <v>74</v>
      </c>
      <c r="K951" s="118" t="s">
        <v>25</v>
      </c>
      <c r="L951" s="118" t="s">
        <v>25</v>
      </c>
      <c r="M951" s="118" t="s">
        <v>3483</v>
      </c>
      <c r="N951" s="120"/>
      <c r="O951" s="120"/>
      <c r="P951" s="120"/>
    </row>
    <row r="952" hidden="1">
      <c r="A952" s="118" t="s">
        <v>3799</v>
      </c>
      <c r="B952" s="126"/>
      <c r="C952" s="118" t="s">
        <v>3880</v>
      </c>
      <c r="D952" s="120"/>
      <c r="E952" s="118" t="s">
        <v>46</v>
      </c>
      <c r="F952" s="120"/>
      <c r="G952" s="130" t="s">
        <v>3881</v>
      </c>
      <c r="H952" s="118" t="s">
        <v>3882</v>
      </c>
      <c r="I952" s="118" t="s">
        <v>3883</v>
      </c>
      <c r="J952" s="122" t="s">
        <v>74</v>
      </c>
      <c r="K952" s="118" t="s">
        <v>25</v>
      </c>
      <c r="L952" s="118" t="s">
        <v>25</v>
      </c>
      <c r="M952" s="118" t="s">
        <v>3483</v>
      </c>
      <c r="N952" s="120"/>
      <c r="O952" s="120"/>
      <c r="P952" s="120"/>
    </row>
    <row r="953" hidden="1">
      <c r="A953" s="118" t="s">
        <v>3799</v>
      </c>
      <c r="B953" s="126"/>
      <c r="C953" s="118" t="s">
        <v>3884</v>
      </c>
      <c r="D953" s="120"/>
      <c r="E953" s="118" t="s">
        <v>46</v>
      </c>
      <c r="F953" s="120"/>
      <c r="G953" s="118" t="s">
        <v>3885</v>
      </c>
      <c r="H953" s="118" t="s">
        <v>3882</v>
      </c>
      <c r="I953" s="118" t="s">
        <v>3886</v>
      </c>
      <c r="J953" s="122" t="s">
        <v>74</v>
      </c>
      <c r="K953" s="118" t="s">
        <v>25</v>
      </c>
      <c r="L953" s="118" t="s">
        <v>25</v>
      </c>
      <c r="M953" s="118" t="s">
        <v>3483</v>
      </c>
      <c r="N953" s="120"/>
      <c r="O953" s="120"/>
      <c r="P953" s="120"/>
    </row>
    <row r="954" hidden="1">
      <c r="A954" s="118" t="s">
        <v>3799</v>
      </c>
      <c r="B954" s="126"/>
      <c r="C954" s="118" t="s">
        <v>3887</v>
      </c>
      <c r="D954" s="120"/>
      <c r="E954" s="118" t="s">
        <v>46</v>
      </c>
      <c r="F954" s="120"/>
      <c r="G954" s="118" t="s">
        <v>3888</v>
      </c>
      <c r="H954" s="118" t="s">
        <v>3889</v>
      </c>
      <c r="I954" s="118" t="s">
        <v>3890</v>
      </c>
      <c r="J954" s="122" t="s">
        <v>74</v>
      </c>
      <c r="K954" s="118" t="s">
        <v>25</v>
      </c>
      <c r="L954" s="118" t="s">
        <v>25</v>
      </c>
      <c r="M954" s="118" t="s">
        <v>3483</v>
      </c>
      <c r="N954" s="120"/>
      <c r="O954" s="120"/>
      <c r="P954" s="120"/>
    </row>
    <row r="955" hidden="1">
      <c r="A955" s="118" t="s">
        <v>3799</v>
      </c>
      <c r="B955" s="126"/>
      <c r="C955" s="118" t="s">
        <v>3891</v>
      </c>
      <c r="D955" s="120"/>
      <c r="E955" s="118" t="s">
        <v>46</v>
      </c>
      <c r="F955" s="120"/>
      <c r="G955" s="118" t="s">
        <v>3892</v>
      </c>
      <c r="H955" s="118" t="s">
        <v>3893</v>
      </c>
      <c r="I955" s="118" t="s">
        <v>3894</v>
      </c>
      <c r="J955" s="122" t="s">
        <v>74</v>
      </c>
      <c r="K955" s="118" t="s">
        <v>25</v>
      </c>
      <c r="L955" s="118" t="s">
        <v>25</v>
      </c>
      <c r="M955" s="118" t="s">
        <v>3483</v>
      </c>
      <c r="N955" s="120"/>
      <c r="O955" s="120"/>
      <c r="P955" s="120"/>
    </row>
    <row r="956" hidden="1">
      <c r="A956" s="118" t="s">
        <v>3799</v>
      </c>
      <c r="B956" s="126"/>
      <c r="C956" s="118" t="s">
        <v>3895</v>
      </c>
      <c r="D956" s="120"/>
      <c r="E956" s="118" t="s">
        <v>46</v>
      </c>
      <c r="F956" s="118" t="s">
        <v>3896</v>
      </c>
      <c r="G956" s="118" t="s">
        <v>3897</v>
      </c>
      <c r="H956" s="118" t="s">
        <v>3898</v>
      </c>
      <c r="I956" s="118" t="s">
        <v>3899</v>
      </c>
      <c r="J956" s="122" t="s">
        <v>74</v>
      </c>
      <c r="K956" s="118" t="s">
        <v>25</v>
      </c>
      <c r="L956" s="118" t="s">
        <v>25</v>
      </c>
      <c r="M956" s="118" t="s">
        <v>3483</v>
      </c>
      <c r="N956" s="120"/>
      <c r="O956" s="120"/>
      <c r="P956" s="120"/>
    </row>
    <row r="957" hidden="1">
      <c r="A957" s="118" t="s">
        <v>3799</v>
      </c>
      <c r="B957" s="126"/>
      <c r="C957" s="118" t="s">
        <v>3900</v>
      </c>
      <c r="D957" s="120"/>
      <c r="E957" s="118" t="s">
        <v>46</v>
      </c>
      <c r="F957" s="120"/>
      <c r="G957" s="130" t="s">
        <v>3901</v>
      </c>
      <c r="H957" s="118" t="s">
        <v>3781</v>
      </c>
      <c r="I957" s="130" t="s">
        <v>3902</v>
      </c>
      <c r="J957" s="122" t="s">
        <v>74</v>
      </c>
      <c r="K957" s="118" t="s">
        <v>25</v>
      </c>
      <c r="L957" s="118" t="s">
        <v>25</v>
      </c>
      <c r="M957" s="118" t="s">
        <v>3483</v>
      </c>
      <c r="N957" s="120"/>
      <c r="O957" s="120"/>
      <c r="P957" s="120"/>
    </row>
    <row r="958" hidden="1">
      <c r="A958" s="118" t="s">
        <v>3799</v>
      </c>
      <c r="B958" s="126"/>
      <c r="C958" s="118" t="s">
        <v>3903</v>
      </c>
      <c r="D958" s="120"/>
      <c r="E958" s="118" t="s">
        <v>46</v>
      </c>
      <c r="F958" s="120"/>
      <c r="G958" s="118" t="s">
        <v>3904</v>
      </c>
      <c r="H958" s="118" t="s">
        <v>3905</v>
      </c>
      <c r="I958" s="118" t="s">
        <v>3906</v>
      </c>
      <c r="J958" s="122" t="s">
        <v>74</v>
      </c>
      <c r="K958" s="118" t="s">
        <v>25</v>
      </c>
      <c r="L958" s="118" t="s">
        <v>25</v>
      </c>
      <c r="M958" s="118" t="s">
        <v>3483</v>
      </c>
      <c r="N958" s="120"/>
      <c r="O958" s="120"/>
      <c r="P958" s="120"/>
    </row>
    <row r="959" hidden="1">
      <c r="A959" s="118" t="s">
        <v>3799</v>
      </c>
      <c r="B959" s="126"/>
      <c r="C959" s="118" t="s">
        <v>3907</v>
      </c>
      <c r="D959" s="120"/>
      <c r="E959" s="118" t="s">
        <v>46</v>
      </c>
      <c r="F959" s="120"/>
      <c r="G959" s="118" t="s">
        <v>3908</v>
      </c>
      <c r="H959" s="160" t="s">
        <v>3909</v>
      </c>
      <c r="I959" s="118" t="s">
        <v>3906</v>
      </c>
      <c r="J959" s="122" t="s">
        <v>74</v>
      </c>
      <c r="K959" s="118" t="s">
        <v>25</v>
      </c>
      <c r="L959" s="118" t="s">
        <v>25</v>
      </c>
      <c r="M959" s="118" t="s">
        <v>3483</v>
      </c>
      <c r="N959" s="120"/>
      <c r="O959" s="120"/>
      <c r="P959" s="120"/>
    </row>
    <row r="960" hidden="1">
      <c r="A960" s="118" t="s">
        <v>3799</v>
      </c>
      <c r="B960" s="10"/>
      <c r="C960" s="118" t="s">
        <v>3910</v>
      </c>
      <c r="D960" s="120"/>
      <c r="E960" s="118" t="s">
        <v>46</v>
      </c>
      <c r="F960" s="120"/>
      <c r="G960" s="118" t="s">
        <v>3911</v>
      </c>
      <c r="H960" s="118" t="s">
        <v>3912</v>
      </c>
      <c r="I960" s="118" t="s">
        <v>3913</v>
      </c>
      <c r="J960" s="122" t="s">
        <v>74</v>
      </c>
      <c r="K960" s="118" t="s">
        <v>25</v>
      </c>
      <c r="L960" s="118" t="s">
        <v>25</v>
      </c>
      <c r="M960" s="118" t="s">
        <v>3483</v>
      </c>
      <c r="N960" s="120"/>
      <c r="O960" s="120"/>
      <c r="P960" s="120"/>
    </row>
    <row r="961" hidden="1">
      <c r="A961" s="118" t="s">
        <v>3914</v>
      </c>
      <c r="B961" s="161" t="s">
        <v>3915</v>
      </c>
      <c r="C961" s="118" t="s">
        <v>3916</v>
      </c>
      <c r="D961" s="120"/>
      <c r="E961" s="118" t="s">
        <v>47</v>
      </c>
      <c r="F961" s="120"/>
      <c r="G961" s="118" t="s">
        <v>3917</v>
      </c>
      <c r="H961" s="118" t="s">
        <v>3918</v>
      </c>
      <c r="I961" s="118" t="s">
        <v>3919</v>
      </c>
      <c r="J961" s="122" t="s">
        <v>74</v>
      </c>
      <c r="K961" s="118" t="s">
        <v>25</v>
      </c>
      <c r="L961" s="118" t="s">
        <v>25</v>
      </c>
      <c r="M961" s="118" t="s">
        <v>3483</v>
      </c>
      <c r="N961" s="120"/>
      <c r="O961" s="120"/>
      <c r="P961" s="120"/>
    </row>
    <row r="962" hidden="1">
      <c r="A962" s="118" t="s">
        <v>3914</v>
      </c>
      <c r="B962" s="126"/>
      <c r="C962" s="118" t="s">
        <v>3920</v>
      </c>
      <c r="D962" s="120"/>
      <c r="E962" s="118" t="s">
        <v>47</v>
      </c>
      <c r="F962" s="120"/>
      <c r="G962" s="118" t="s">
        <v>3921</v>
      </c>
      <c r="H962" s="118" t="s">
        <v>3922</v>
      </c>
      <c r="I962" s="118" t="s">
        <v>3923</v>
      </c>
      <c r="J962" s="122" t="s">
        <v>74</v>
      </c>
      <c r="K962" s="118" t="s">
        <v>25</v>
      </c>
      <c r="L962" s="118" t="s">
        <v>25</v>
      </c>
      <c r="M962" s="118" t="s">
        <v>3483</v>
      </c>
      <c r="N962" s="120"/>
      <c r="O962" s="120"/>
      <c r="P962" s="120"/>
    </row>
    <row r="963" hidden="1">
      <c r="A963" s="118" t="s">
        <v>3914</v>
      </c>
      <c r="B963" s="126"/>
      <c r="C963" s="118" t="s">
        <v>3924</v>
      </c>
      <c r="D963" s="120"/>
      <c r="E963" s="118" t="s">
        <v>47</v>
      </c>
      <c r="F963" s="120"/>
      <c r="G963" s="118" t="s">
        <v>3925</v>
      </c>
      <c r="H963" s="118" t="s">
        <v>3926</v>
      </c>
      <c r="I963" s="129" t="s">
        <v>3927</v>
      </c>
      <c r="J963" s="122" t="s">
        <v>74</v>
      </c>
      <c r="K963" s="118" t="s">
        <v>25</v>
      </c>
      <c r="L963" s="118" t="s">
        <v>25</v>
      </c>
      <c r="M963" s="118" t="s">
        <v>3483</v>
      </c>
      <c r="N963" s="120"/>
      <c r="O963" s="120"/>
      <c r="P963" s="120"/>
    </row>
    <row r="964" hidden="1">
      <c r="A964" s="118" t="s">
        <v>3914</v>
      </c>
      <c r="B964" s="126"/>
      <c r="C964" s="118" t="s">
        <v>3928</v>
      </c>
      <c r="D964" s="120"/>
      <c r="E964" s="118" t="s">
        <v>47</v>
      </c>
      <c r="F964" s="120"/>
      <c r="G964" s="118" t="s">
        <v>3929</v>
      </c>
      <c r="H964" s="118" t="s">
        <v>3930</v>
      </c>
      <c r="I964" s="118" t="s">
        <v>3931</v>
      </c>
      <c r="J964" s="122" t="s">
        <v>74</v>
      </c>
      <c r="K964" s="118" t="s">
        <v>25</v>
      </c>
      <c r="L964" s="118" t="s">
        <v>25</v>
      </c>
      <c r="M964" s="118" t="s">
        <v>3483</v>
      </c>
      <c r="N964" s="120"/>
      <c r="O964" s="120"/>
      <c r="P964" s="120"/>
    </row>
    <row r="965" hidden="1">
      <c r="A965" s="118" t="s">
        <v>3914</v>
      </c>
      <c r="B965" s="126"/>
      <c r="C965" s="118" t="s">
        <v>3932</v>
      </c>
      <c r="D965" s="120"/>
      <c r="E965" s="118" t="s">
        <v>47</v>
      </c>
      <c r="F965" s="120"/>
      <c r="G965" s="130" t="s">
        <v>3933</v>
      </c>
      <c r="H965" s="118" t="s">
        <v>3934</v>
      </c>
      <c r="I965" s="130" t="s">
        <v>3935</v>
      </c>
      <c r="J965" s="122" t="s">
        <v>74</v>
      </c>
      <c r="K965" s="118" t="s">
        <v>25</v>
      </c>
      <c r="L965" s="118" t="s">
        <v>25</v>
      </c>
      <c r="M965" s="118" t="s">
        <v>3483</v>
      </c>
      <c r="N965" s="120"/>
      <c r="O965" s="120"/>
      <c r="P965" s="120"/>
    </row>
    <row r="966" hidden="1">
      <c r="A966" s="118" t="s">
        <v>3914</v>
      </c>
      <c r="B966" s="126"/>
      <c r="C966" s="118" t="s">
        <v>3936</v>
      </c>
      <c r="D966" s="120"/>
      <c r="E966" s="118" t="s">
        <v>47</v>
      </c>
      <c r="F966" s="120"/>
      <c r="G966" s="118" t="s">
        <v>3937</v>
      </c>
      <c r="H966" s="118" t="s">
        <v>3938</v>
      </c>
      <c r="I966" s="118" t="s">
        <v>3939</v>
      </c>
      <c r="J966" s="122" t="s">
        <v>74</v>
      </c>
      <c r="K966" s="118" t="s">
        <v>25</v>
      </c>
      <c r="L966" s="118" t="s">
        <v>25</v>
      </c>
      <c r="M966" s="118" t="s">
        <v>3483</v>
      </c>
      <c r="N966" s="120"/>
      <c r="O966" s="120"/>
      <c r="P966" s="120"/>
    </row>
    <row r="967" hidden="1">
      <c r="A967" s="118" t="s">
        <v>3914</v>
      </c>
      <c r="B967" s="126"/>
      <c r="C967" s="118" t="s">
        <v>3940</v>
      </c>
      <c r="D967" s="120"/>
      <c r="E967" s="118" t="s">
        <v>47</v>
      </c>
      <c r="F967" s="120"/>
      <c r="G967" s="118" t="s">
        <v>3941</v>
      </c>
      <c r="H967" s="118" t="s">
        <v>3942</v>
      </c>
      <c r="I967" s="118" t="s">
        <v>3943</v>
      </c>
      <c r="J967" s="122" t="s">
        <v>74</v>
      </c>
      <c r="K967" s="118" t="s">
        <v>25</v>
      </c>
      <c r="L967" s="118" t="s">
        <v>25</v>
      </c>
      <c r="M967" s="118" t="s">
        <v>3483</v>
      </c>
      <c r="N967" s="120"/>
      <c r="O967" s="120"/>
      <c r="P967" s="120"/>
    </row>
    <row r="968" hidden="1">
      <c r="A968" s="118" t="s">
        <v>3914</v>
      </c>
      <c r="B968" s="126"/>
      <c r="C968" s="118" t="s">
        <v>3944</v>
      </c>
      <c r="D968" s="120"/>
      <c r="E968" s="118" t="s">
        <v>47</v>
      </c>
      <c r="F968" s="120"/>
      <c r="G968" s="118" t="s">
        <v>3945</v>
      </c>
      <c r="H968" s="118" t="s">
        <v>3946</v>
      </c>
      <c r="I968" s="118" t="s">
        <v>3947</v>
      </c>
      <c r="J968" s="122" t="s">
        <v>74</v>
      </c>
      <c r="K968" s="118" t="s">
        <v>25</v>
      </c>
      <c r="L968" s="118" t="s">
        <v>25</v>
      </c>
      <c r="M968" s="118" t="s">
        <v>3483</v>
      </c>
      <c r="N968" s="120"/>
      <c r="O968" s="120"/>
      <c r="P968" s="120"/>
    </row>
    <row r="969" hidden="1">
      <c r="A969" s="118" t="s">
        <v>3914</v>
      </c>
      <c r="B969" s="126"/>
      <c r="C969" s="118" t="s">
        <v>3948</v>
      </c>
      <c r="D969" s="120"/>
      <c r="E969" s="118" t="s">
        <v>47</v>
      </c>
      <c r="F969" s="120"/>
      <c r="G969" s="118" t="s">
        <v>3949</v>
      </c>
      <c r="H969" s="118" t="s">
        <v>3950</v>
      </c>
      <c r="I969" s="130" t="s">
        <v>3951</v>
      </c>
      <c r="J969" s="122" t="s">
        <v>74</v>
      </c>
      <c r="K969" s="118" t="s">
        <v>25</v>
      </c>
      <c r="L969" s="118" t="s">
        <v>25</v>
      </c>
      <c r="M969" s="118" t="s">
        <v>3483</v>
      </c>
      <c r="N969" s="120"/>
      <c r="O969" s="120"/>
      <c r="P969" s="120"/>
    </row>
    <row r="970" hidden="1">
      <c r="A970" s="118" t="s">
        <v>3914</v>
      </c>
      <c r="B970" s="126"/>
      <c r="C970" s="118" t="s">
        <v>3952</v>
      </c>
      <c r="D970" s="120"/>
      <c r="E970" s="118" t="s">
        <v>47</v>
      </c>
      <c r="F970" s="120"/>
      <c r="G970" s="118" t="s">
        <v>3953</v>
      </c>
      <c r="H970" s="118" t="s">
        <v>3954</v>
      </c>
      <c r="I970" s="118" t="s">
        <v>3955</v>
      </c>
      <c r="J970" s="122" t="s">
        <v>74</v>
      </c>
      <c r="K970" s="118" t="s">
        <v>25</v>
      </c>
      <c r="L970" s="118" t="s">
        <v>25</v>
      </c>
      <c r="M970" s="118" t="s">
        <v>3483</v>
      </c>
      <c r="N970" s="120"/>
      <c r="O970" s="120"/>
      <c r="P970" s="120"/>
    </row>
    <row r="971" hidden="1">
      <c r="A971" s="118" t="s">
        <v>3914</v>
      </c>
      <c r="B971" s="126"/>
      <c r="C971" s="118" t="s">
        <v>3956</v>
      </c>
      <c r="D971" s="120"/>
      <c r="E971" s="118" t="s">
        <v>47</v>
      </c>
      <c r="F971" s="120"/>
      <c r="G971" s="118" t="s">
        <v>3957</v>
      </c>
      <c r="H971" s="118" t="s">
        <v>3958</v>
      </c>
      <c r="I971" s="118" t="s">
        <v>3959</v>
      </c>
      <c r="J971" s="122" t="s">
        <v>74</v>
      </c>
      <c r="K971" s="118" t="s">
        <v>25</v>
      </c>
      <c r="L971" s="118" t="s">
        <v>25</v>
      </c>
      <c r="M971" s="118" t="s">
        <v>3483</v>
      </c>
      <c r="N971" s="120"/>
      <c r="O971" s="120"/>
      <c r="P971" s="120"/>
    </row>
    <row r="972">
      <c r="A972" s="118" t="s">
        <v>3914</v>
      </c>
      <c r="B972" s="126"/>
      <c r="C972" s="118" t="s">
        <v>3960</v>
      </c>
      <c r="D972" s="120"/>
      <c r="E972" s="118" t="s">
        <v>47</v>
      </c>
      <c r="F972" s="120"/>
      <c r="G972" s="118" t="s">
        <v>3961</v>
      </c>
      <c r="H972" s="118" t="s">
        <v>3958</v>
      </c>
      <c r="I972" s="118" t="s">
        <v>3962</v>
      </c>
      <c r="J972" s="128" t="s">
        <v>714</v>
      </c>
      <c r="K972" s="118" t="s">
        <v>25</v>
      </c>
      <c r="L972" s="118" t="s">
        <v>25</v>
      </c>
      <c r="M972" s="118" t="s">
        <v>3483</v>
      </c>
      <c r="N972" s="129" t="s">
        <v>3963</v>
      </c>
      <c r="O972" s="120"/>
      <c r="P972" s="120"/>
    </row>
    <row r="973" hidden="1">
      <c r="A973" s="118" t="s">
        <v>3914</v>
      </c>
      <c r="B973" s="126"/>
      <c r="C973" s="118" t="s">
        <v>3964</v>
      </c>
      <c r="D973" s="120"/>
      <c r="E973" s="118" t="s">
        <v>47</v>
      </c>
      <c r="F973" s="120"/>
      <c r="G973" s="118" t="s">
        <v>3965</v>
      </c>
      <c r="H973" s="118" t="s">
        <v>3966</v>
      </c>
      <c r="I973" s="118" t="s">
        <v>3967</v>
      </c>
      <c r="J973" s="122" t="s">
        <v>74</v>
      </c>
      <c r="K973" s="118" t="s">
        <v>25</v>
      </c>
      <c r="L973" s="118" t="s">
        <v>25</v>
      </c>
      <c r="M973" s="118" t="s">
        <v>3483</v>
      </c>
      <c r="N973" s="120"/>
      <c r="O973" s="120"/>
      <c r="P973" s="120"/>
    </row>
    <row r="974" hidden="1">
      <c r="A974" s="118" t="s">
        <v>3914</v>
      </c>
      <c r="B974" s="126"/>
      <c r="C974" s="118" t="s">
        <v>3968</v>
      </c>
      <c r="D974" s="120"/>
      <c r="E974" s="118" t="s">
        <v>47</v>
      </c>
      <c r="F974" s="120"/>
      <c r="G974" s="118" t="s">
        <v>3969</v>
      </c>
      <c r="H974" s="118" t="s">
        <v>3970</v>
      </c>
      <c r="I974" s="118" t="s">
        <v>3971</v>
      </c>
      <c r="J974" s="122" t="s">
        <v>74</v>
      </c>
      <c r="K974" s="118" t="s">
        <v>25</v>
      </c>
      <c r="L974" s="118" t="s">
        <v>25</v>
      </c>
      <c r="M974" s="118" t="s">
        <v>3483</v>
      </c>
      <c r="N974" s="120"/>
      <c r="O974" s="120"/>
      <c r="P974" s="120"/>
    </row>
    <row r="975" hidden="1">
      <c r="A975" s="118" t="s">
        <v>3914</v>
      </c>
      <c r="B975" s="126"/>
      <c r="C975" s="118" t="s">
        <v>3972</v>
      </c>
      <c r="D975" s="120"/>
      <c r="E975" s="118" t="s">
        <v>47</v>
      </c>
      <c r="F975" s="120"/>
      <c r="G975" s="118" t="s">
        <v>3973</v>
      </c>
      <c r="H975" s="118" t="s">
        <v>3974</v>
      </c>
      <c r="I975" s="118" t="s">
        <v>3975</v>
      </c>
      <c r="J975" s="122" t="s">
        <v>74</v>
      </c>
      <c r="K975" s="118" t="s">
        <v>25</v>
      </c>
      <c r="L975" s="118" t="s">
        <v>25</v>
      </c>
      <c r="M975" s="118" t="s">
        <v>3483</v>
      </c>
      <c r="N975" s="120"/>
      <c r="O975" s="120"/>
      <c r="P975" s="120"/>
    </row>
    <row r="976" hidden="1">
      <c r="A976" s="118" t="s">
        <v>3914</v>
      </c>
      <c r="B976" s="126"/>
      <c r="C976" s="118" t="s">
        <v>3976</v>
      </c>
      <c r="D976" s="120"/>
      <c r="E976" s="118" t="s">
        <v>47</v>
      </c>
      <c r="F976" s="120"/>
      <c r="G976" s="118" t="s">
        <v>3977</v>
      </c>
      <c r="H976" s="118" t="s">
        <v>3978</v>
      </c>
      <c r="I976" s="118" t="s">
        <v>3979</v>
      </c>
      <c r="J976" s="122" t="s">
        <v>74</v>
      </c>
      <c r="K976" s="118" t="s">
        <v>25</v>
      </c>
      <c r="L976" s="118" t="s">
        <v>25</v>
      </c>
      <c r="M976" s="118" t="s">
        <v>3483</v>
      </c>
      <c r="N976" s="120"/>
      <c r="O976" s="120"/>
      <c r="P976" s="120"/>
    </row>
    <row r="977" hidden="1">
      <c r="A977" s="118" t="s">
        <v>3914</v>
      </c>
      <c r="B977" s="126"/>
      <c r="C977" s="118" t="s">
        <v>3980</v>
      </c>
      <c r="D977" s="120"/>
      <c r="E977" s="118" t="s">
        <v>47</v>
      </c>
      <c r="F977" s="120"/>
      <c r="G977" s="118" t="s">
        <v>3981</v>
      </c>
      <c r="H977" s="118" t="s">
        <v>3982</v>
      </c>
      <c r="I977" s="118" t="s">
        <v>3983</v>
      </c>
      <c r="J977" s="122" t="s">
        <v>74</v>
      </c>
      <c r="K977" s="118" t="s">
        <v>25</v>
      </c>
      <c r="L977" s="118" t="s">
        <v>25</v>
      </c>
      <c r="M977" s="118" t="s">
        <v>3483</v>
      </c>
      <c r="N977" s="120"/>
      <c r="O977" s="120"/>
      <c r="P977" s="120"/>
    </row>
    <row r="978" hidden="1">
      <c r="A978" s="118" t="s">
        <v>3914</v>
      </c>
      <c r="B978" s="126"/>
      <c r="C978" s="118" t="s">
        <v>3984</v>
      </c>
      <c r="D978" s="120"/>
      <c r="E978" s="118" t="s">
        <v>47</v>
      </c>
      <c r="F978" s="120"/>
      <c r="G978" s="118" t="s">
        <v>3985</v>
      </c>
      <c r="H978" s="118" t="s">
        <v>3986</v>
      </c>
      <c r="I978" s="130" t="s">
        <v>3987</v>
      </c>
      <c r="J978" s="122" t="s">
        <v>74</v>
      </c>
      <c r="K978" s="118" t="s">
        <v>25</v>
      </c>
      <c r="L978" s="118" t="s">
        <v>25</v>
      </c>
      <c r="M978" s="118" t="s">
        <v>3483</v>
      </c>
      <c r="N978" s="120"/>
      <c r="O978" s="120"/>
      <c r="P978" s="120"/>
    </row>
    <row r="979" hidden="1">
      <c r="A979" s="118" t="s">
        <v>3914</v>
      </c>
      <c r="B979" s="126"/>
      <c r="C979" s="118" t="s">
        <v>3988</v>
      </c>
      <c r="D979" s="120"/>
      <c r="E979" s="118" t="s">
        <v>47</v>
      </c>
      <c r="F979" s="120"/>
      <c r="G979" s="118" t="s">
        <v>3989</v>
      </c>
      <c r="H979" s="118" t="s">
        <v>3986</v>
      </c>
      <c r="I979" s="130" t="s">
        <v>3990</v>
      </c>
      <c r="J979" s="122" t="s">
        <v>74</v>
      </c>
      <c r="K979" s="118" t="s">
        <v>25</v>
      </c>
      <c r="L979" s="118" t="s">
        <v>25</v>
      </c>
      <c r="M979" s="118" t="s">
        <v>3483</v>
      </c>
      <c r="N979" s="120"/>
      <c r="O979" s="120"/>
      <c r="P979" s="120"/>
    </row>
    <row r="980" hidden="1">
      <c r="A980" s="118" t="s">
        <v>3914</v>
      </c>
      <c r="B980" s="126"/>
      <c r="C980" s="118" t="s">
        <v>3991</v>
      </c>
      <c r="D980" s="120"/>
      <c r="E980" s="118" t="s">
        <v>47</v>
      </c>
      <c r="F980" s="120"/>
      <c r="G980" s="118" t="s">
        <v>3992</v>
      </c>
      <c r="H980" s="118" t="s">
        <v>3993</v>
      </c>
      <c r="I980" s="118" t="s">
        <v>3994</v>
      </c>
      <c r="J980" s="122" t="s">
        <v>74</v>
      </c>
      <c r="K980" s="118" t="s">
        <v>25</v>
      </c>
      <c r="L980" s="118" t="s">
        <v>25</v>
      </c>
      <c r="M980" s="118" t="s">
        <v>3483</v>
      </c>
      <c r="N980" s="120"/>
      <c r="O980" s="120"/>
      <c r="P980" s="120"/>
    </row>
    <row r="981" hidden="1">
      <c r="A981" s="118" t="s">
        <v>3914</v>
      </c>
      <c r="B981" s="126"/>
      <c r="C981" s="118" t="s">
        <v>3995</v>
      </c>
      <c r="D981" s="120"/>
      <c r="E981" s="118" t="s">
        <v>47</v>
      </c>
      <c r="F981" s="120"/>
      <c r="G981" s="118" t="s">
        <v>3996</v>
      </c>
      <c r="H981" s="118" t="s">
        <v>3997</v>
      </c>
      <c r="I981" s="118" t="s">
        <v>3998</v>
      </c>
      <c r="J981" s="122" t="s">
        <v>74</v>
      </c>
      <c r="K981" s="118" t="s">
        <v>25</v>
      </c>
      <c r="L981" s="118" t="s">
        <v>25</v>
      </c>
      <c r="M981" s="118" t="s">
        <v>3483</v>
      </c>
      <c r="N981" s="120"/>
      <c r="O981" s="120"/>
      <c r="P981" s="120"/>
    </row>
    <row r="982" hidden="1">
      <c r="A982" s="118" t="s">
        <v>3914</v>
      </c>
      <c r="B982" s="126"/>
      <c r="C982" s="118" t="s">
        <v>3999</v>
      </c>
      <c r="D982" s="120"/>
      <c r="E982" s="118" t="s">
        <v>47</v>
      </c>
      <c r="F982" s="120"/>
      <c r="G982" s="118" t="s">
        <v>4000</v>
      </c>
      <c r="H982" s="118" t="s">
        <v>4001</v>
      </c>
      <c r="I982" s="118" t="s">
        <v>4002</v>
      </c>
      <c r="J982" s="122" t="s">
        <v>74</v>
      </c>
      <c r="K982" s="118" t="s">
        <v>25</v>
      </c>
      <c r="L982" s="118" t="s">
        <v>25</v>
      </c>
      <c r="M982" s="118" t="s">
        <v>3483</v>
      </c>
      <c r="N982" s="120"/>
      <c r="O982" s="120"/>
      <c r="P982" s="120"/>
    </row>
    <row r="983" hidden="1">
      <c r="A983" s="118" t="s">
        <v>3914</v>
      </c>
      <c r="B983" s="126"/>
      <c r="C983" s="118" t="s">
        <v>4003</v>
      </c>
      <c r="D983" s="120"/>
      <c r="E983" s="118" t="s">
        <v>47</v>
      </c>
      <c r="F983" s="120"/>
      <c r="G983" s="118" t="s">
        <v>4004</v>
      </c>
      <c r="H983" s="118" t="s">
        <v>4001</v>
      </c>
      <c r="I983" s="118" t="s">
        <v>4005</v>
      </c>
      <c r="J983" s="122" t="s">
        <v>74</v>
      </c>
      <c r="K983" s="118" t="s">
        <v>25</v>
      </c>
      <c r="L983" s="118" t="s">
        <v>25</v>
      </c>
      <c r="M983" s="118" t="s">
        <v>3483</v>
      </c>
      <c r="N983" s="120"/>
      <c r="O983" s="120"/>
      <c r="P983" s="120"/>
    </row>
    <row r="984" hidden="1">
      <c r="A984" s="118" t="s">
        <v>3914</v>
      </c>
      <c r="B984" s="126"/>
      <c r="C984" s="118" t="s">
        <v>4006</v>
      </c>
      <c r="D984" s="120"/>
      <c r="E984" s="118" t="s">
        <v>47</v>
      </c>
      <c r="F984" s="120"/>
      <c r="G984" s="118" t="s">
        <v>4007</v>
      </c>
      <c r="H984" s="118" t="s">
        <v>4008</v>
      </c>
      <c r="I984" s="118" t="s">
        <v>3994</v>
      </c>
      <c r="J984" s="122" t="s">
        <v>74</v>
      </c>
      <c r="K984" s="118" t="s">
        <v>25</v>
      </c>
      <c r="L984" s="118" t="s">
        <v>25</v>
      </c>
      <c r="M984" s="118" t="s">
        <v>3483</v>
      </c>
      <c r="N984" s="120"/>
      <c r="O984" s="120"/>
      <c r="P984" s="120"/>
    </row>
    <row r="985" hidden="1">
      <c r="A985" s="118" t="s">
        <v>3914</v>
      </c>
      <c r="B985" s="126"/>
      <c r="C985" s="118" t="s">
        <v>4009</v>
      </c>
      <c r="D985" s="120"/>
      <c r="E985" s="118" t="s">
        <v>47</v>
      </c>
      <c r="F985" s="120"/>
      <c r="G985" s="130" t="s">
        <v>4010</v>
      </c>
      <c r="H985" s="118" t="s">
        <v>4011</v>
      </c>
      <c r="I985" s="118" t="s">
        <v>4012</v>
      </c>
      <c r="J985" s="122" t="s">
        <v>74</v>
      </c>
      <c r="K985" s="118" t="s">
        <v>25</v>
      </c>
      <c r="L985" s="118" t="s">
        <v>25</v>
      </c>
      <c r="M985" s="118" t="s">
        <v>3483</v>
      </c>
      <c r="N985" s="120"/>
      <c r="O985" s="120"/>
      <c r="P985" s="120"/>
    </row>
    <row r="986" hidden="1">
      <c r="A986" s="118" t="s">
        <v>3914</v>
      </c>
      <c r="B986" s="10"/>
      <c r="C986" s="118" t="s">
        <v>4013</v>
      </c>
      <c r="D986" s="120"/>
      <c r="E986" s="118" t="s">
        <v>47</v>
      </c>
      <c r="F986" s="120"/>
      <c r="G986" s="118" t="s">
        <v>4014</v>
      </c>
      <c r="H986" s="118" t="s">
        <v>4015</v>
      </c>
      <c r="I986" s="118" t="s">
        <v>4016</v>
      </c>
      <c r="J986" s="122" t="s">
        <v>74</v>
      </c>
      <c r="K986" s="118" t="s">
        <v>25</v>
      </c>
      <c r="L986" s="118" t="s">
        <v>25</v>
      </c>
      <c r="M986" s="118" t="s">
        <v>3483</v>
      </c>
      <c r="N986" s="120"/>
      <c r="O986" s="120"/>
      <c r="P986" s="120"/>
    </row>
    <row r="987" hidden="1">
      <c r="A987" s="118" t="s">
        <v>4017</v>
      </c>
      <c r="B987" s="162" t="s">
        <v>4018</v>
      </c>
      <c r="C987" s="118" t="s">
        <v>4019</v>
      </c>
      <c r="D987" s="120"/>
      <c r="E987" s="88" t="s">
        <v>32</v>
      </c>
      <c r="F987" s="120"/>
      <c r="G987" s="118" t="s">
        <v>4020</v>
      </c>
      <c r="H987" s="118" t="s">
        <v>4021</v>
      </c>
      <c r="I987" s="118" t="s">
        <v>4022</v>
      </c>
      <c r="J987" s="122" t="s">
        <v>74</v>
      </c>
      <c r="K987" s="118" t="s">
        <v>25</v>
      </c>
      <c r="L987" s="118" t="s">
        <v>25</v>
      </c>
      <c r="M987" s="118" t="s">
        <v>3483</v>
      </c>
      <c r="N987" s="120"/>
      <c r="O987" s="120"/>
      <c r="P987" s="120"/>
    </row>
    <row r="988" hidden="1">
      <c r="A988" s="118" t="s">
        <v>4017</v>
      </c>
      <c r="B988" s="126"/>
      <c r="C988" s="118" t="s">
        <v>4023</v>
      </c>
      <c r="D988" s="120"/>
      <c r="E988" s="88" t="s">
        <v>32</v>
      </c>
      <c r="F988" s="120"/>
      <c r="G988" s="118" t="s">
        <v>4024</v>
      </c>
      <c r="H988" s="118" t="s">
        <v>4025</v>
      </c>
      <c r="I988" s="118" t="s">
        <v>4026</v>
      </c>
      <c r="J988" s="122" t="s">
        <v>74</v>
      </c>
      <c r="K988" s="118" t="s">
        <v>25</v>
      </c>
      <c r="L988" s="118" t="s">
        <v>25</v>
      </c>
      <c r="M988" s="118" t="s">
        <v>3483</v>
      </c>
      <c r="N988" s="120"/>
      <c r="O988" s="120"/>
      <c r="P988" s="120"/>
    </row>
    <row r="989" hidden="1">
      <c r="A989" s="118" t="s">
        <v>4017</v>
      </c>
      <c r="B989" s="126"/>
      <c r="C989" s="118" t="s">
        <v>4027</v>
      </c>
      <c r="D989" s="120"/>
      <c r="E989" s="88" t="s">
        <v>32</v>
      </c>
      <c r="F989" s="120"/>
      <c r="G989" s="118" t="s">
        <v>4028</v>
      </c>
      <c r="H989" s="118" t="s">
        <v>4029</v>
      </c>
      <c r="I989" s="118" t="s">
        <v>4030</v>
      </c>
      <c r="J989" s="122" t="s">
        <v>74</v>
      </c>
      <c r="K989" s="118" t="s">
        <v>25</v>
      </c>
      <c r="L989" s="118" t="s">
        <v>25</v>
      </c>
      <c r="M989" s="118" t="s">
        <v>3483</v>
      </c>
      <c r="N989" s="120"/>
      <c r="O989" s="120"/>
      <c r="P989" s="120"/>
    </row>
    <row r="990" hidden="1">
      <c r="A990" s="118" t="s">
        <v>4017</v>
      </c>
      <c r="B990" s="126"/>
      <c r="C990" s="118" t="s">
        <v>4031</v>
      </c>
      <c r="D990" s="120"/>
      <c r="E990" s="88" t="s">
        <v>32</v>
      </c>
      <c r="F990" s="120"/>
      <c r="G990" s="118" t="s">
        <v>4032</v>
      </c>
      <c r="H990" s="118" t="s">
        <v>4033</v>
      </c>
      <c r="I990" s="118" t="s">
        <v>4034</v>
      </c>
      <c r="J990" s="122" t="s">
        <v>74</v>
      </c>
      <c r="K990" s="118" t="s">
        <v>25</v>
      </c>
      <c r="L990" s="118" t="s">
        <v>25</v>
      </c>
      <c r="M990" s="118" t="s">
        <v>3483</v>
      </c>
      <c r="N990" s="120"/>
      <c r="O990" s="120"/>
      <c r="P990" s="120"/>
    </row>
    <row r="991" hidden="1">
      <c r="A991" s="118" t="s">
        <v>4017</v>
      </c>
      <c r="B991" s="126"/>
      <c r="C991" s="118" t="s">
        <v>4035</v>
      </c>
      <c r="D991" s="120"/>
      <c r="E991" s="88" t="s">
        <v>32</v>
      </c>
      <c r="F991" s="120"/>
      <c r="G991" s="118" t="s">
        <v>4036</v>
      </c>
      <c r="H991" s="118" t="s">
        <v>4037</v>
      </c>
      <c r="I991" s="118" t="s">
        <v>4038</v>
      </c>
      <c r="J991" s="122" t="s">
        <v>74</v>
      </c>
      <c r="K991" s="118" t="s">
        <v>25</v>
      </c>
      <c r="L991" s="118" t="s">
        <v>25</v>
      </c>
      <c r="M991" s="118" t="s">
        <v>3483</v>
      </c>
      <c r="N991" s="120"/>
      <c r="O991" s="120"/>
      <c r="P991" s="120"/>
    </row>
    <row r="992" hidden="1">
      <c r="A992" s="118" t="s">
        <v>4017</v>
      </c>
      <c r="B992" s="126"/>
      <c r="C992" s="118" t="s">
        <v>4039</v>
      </c>
      <c r="D992" s="120"/>
      <c r="E992" s="88" t="s">
        <v>32</v>
      </c>
      <c r="F992" s="120"/>
      <c r="G992" s="118" t="s">
        <v>4040</v>
      </c>
      <c r="H992" s="118" t="s">
        <v>4041</v>
      </c>
      <c r="I992" s="118" t="s">
        <v>4042</v>
      </c>
      <c r="J992" s="122" t="s">
        <v>74</v>
      </c>
      <c r="K992" s="118" t="s">
        <v>25</v>
      </c>
      <c r="L992" s="118" t="s">
        <v>25</v>
      </c>
      <c r="M992" s="118" t="s">
        <v>3483</v>
      </c>
      <c r="N992" s="120"/>
      <c r="O992" s="120"/>
      <c r="P992" s="120"/>
    </row>
    <row r="993" hidden="1">
      <c r="A993" s="118" t="s">
        <v>4017</v>
      </c>
      <c r="B993" s="126"/>
      <c r="C993" s="118" t="s">
        <v>4043</v>
      </c>
      <c r="D993" s="120"/>
      <c r="E993" s="88" t="s">
        <v>32</v>
      </c>
      <c r="F993" s="120"/>
      <c r="G993" s="118" t="s">
        <v>4044</v>
      </c>
      <c r="H993" s="118" t="s">
        <v>4045</v>
      </c>
      <c r="I993" s="118" t="s">
        <v>4030</v>
      </c>
      <c r="J993" s="122" t="s">
        <v>74</v>
      </c>
      <c r="K993" s="118" t="s">
        <v>25</v>
      </c>
      <c r="L993" s="118" t="s">
        <v>25</v>
      </c>
      <c r="M993" s="118" t="s">
        <v>3483</v>
      </c>
      <c r="N993" s="120"/>
      <c r="O993" s="120"/>
      <c r="P993" s="120"/>
    </row>
    <row r="994" hidden="1">
      <c r="A994" s="118" t="s">
        <v>4017</v>
      </c>
      <c r="B994" s="126"/>
      <c r="C994" s="118" t="s">
        <v>4046</v>
      </c>
      <c r="D994" s="120"/>
      <c r="E994" s="88" t="s">
        <v>32</v>
      </c>
      <c r="F994" s="120"/>
      <c r="G994" s="118" t="s">
        <v>4032</v>
      </c>
      <c r="H994" s="118" t="s">
        <v>4033</v>
      </c>
      <c r="I994" s="118" t="s">
        <v>4047</v>
      </c>
      <c r="J994" s="122" t="s">
        <v>74</v>
      </c>
      <c r="K994" s="118" t="s">
        <v>25</v>
      </c>
      <c r="L994" s="118" t="s">
        <v>25</v>
      </c>
      <c r="M994" s="118" t="s">
        <v>3483</v>
      </c>
      <c r="N994" s="120"/>
      <c r="O994" s="120"/>
      <c r="P994" s="120"/>
    </row>
    <row r="995" hidden="1">
      <c r="A995" s="118" t="s">
        <v>4017</v>
      </c>
      <c r="B995" s="126"/>
      <c r="C995" s="118" t="s">
        <v>4048</v>
      </c>
      <c r="D995" s="120"/>
      <c r="E995" s="88" t="s">
        <v>32</v>
      </c>
      <c r="F995" s="120"/>
      <c r="G995" s="118" t="s">
        <v>4049</v>
      </c>
      <c r="H995" s="118" t="s">
        <v>4050</v>
      </c>
      <c r="I995" s="118" t="s">
        <v>4051</v>
      </c>
      <c r="J995" s="122" t="s">
        <v>74</v>
      </c>
      <c r="K995" s="118" t="s">
        <v>25</v>
      </c>
      <c r="L995" s="118" t="s">
        <v>25</v>
      </c>
      <c r="M995" s="118" t="s">
        <v>3483</v>
      </c>
      <c r="N995" s="120"/>
      <c r="O995" s="120"/>
      <c r="P995" s="120"/>
    </row>
    <row r="996" hidden="1">
      <c r="A996" s="118" t="s">
        <v>4017</v>
      </c>
      <c r="B996" s="126"/>
      <c r="C996" s="118" t="s">
        <v>4052</v>
      </c>
      <c r="D996" s="120"/>
      <c r="E996" s="88" t="s">
        <v>32</v>
      </c>
      <c r="F996" s="120"/>
      <c r="G996" s="118" t="s">
        <v>4053</v>
      </c>
      <c r="H996" s="118" t="s">
        <v>4054</v>
      </c>
      <c r="I996" s="118" t="s">
        <v>4055</v>
      </c>
      <c r="J996" s="122" t="s">
        <v>74</v>
      </c>
      <c r="K996" s="118" t="s">
        <v>25</v>
      </c>
      <c r="L996" s="118" t="s">
        <v>25</v>
      </c>
      <c r="M996" s="118" t="s">
        <v>3483</v>
      </c>
      <c r="N996" s="120"/>
      <c r="O996" s="120"/>
      <c r="P996" s="120"/>
    </row>
    <row r="997" hidden="1">
      <c r="A997" s="118" t="s">
        <v>4017</v>
      </c>
      <c r="B997" s="126"/>
      <c r="C997" s="118" t="s">
        <v>4056</v>
      </c>
      <c r="D997" s="120"/>
      <c r="E997" s="88" t="s">
        <v>32</v>
      </c>
      <c r="F997" s="120"/>
      <c r="G997" s="118" t="s">
        <v>4057</v>
      </c>
      <c r="H997" s="118" t="s">
        <v>4058</v>
      </c>
      <c r="I997" s="118" t="s">
        <v>4059</v>
      </c>
      <c r="J997" s="122" t="s">
        <v>74</v>
      </c>
      <c r="K997" s="118" t="s">
        <v>25</v>
      </c>
      <c r="L997" s="118" t="s">
        <v>25</v>
      </c>
      <c r="M997" s="118" t="s">
        <v>3483</v>
      </c>
      <c r="N997" s="120"/>
      <c r="O997" s="120"/>
      <c r="P997" s="120"/>
    </row>
    <row r="998" hidden="1">
      <c r="A998" s="118" t="s">
        <v>4017</v>
      </c>
      <c r="B998" s="126"/>
      <c r="C998" s="118" t="s">
        <v>4060</v>
      </c>
      <c r="D998" s="120"/>
      <c r="E998" s="88" t="s">
        <v>32</v>
      </c>
      <c r="F998" s="120"/>
      <c r="G998" s="118" t="s">
        <v>4061</v>
      </c>
      <c r="H998" s="118" t="s">
        <v>4062</v>
      </c>
      <c r="I998" s="118" t="s">
        <v>4059</v>
      </c>
      <c r="J998" s="122" t="s">
        <v>74</v>
      </c>
      <c r="K998" s="118" t="s">
        <v>25</v>
      </c>
      <c r="L998" s="118" t="s">
        <v>25</v>
      </c>
      <c r="M998" s="118" t="s">
        <v>3483</v>
      </c>
      <c r="N998" s="120"/>
      <c r="O998" s="120"/>
      <c r="P998" s="120"/>
    </row>
    <row r="999" hidden="1">
      <c r="A999" s="118" t="s">
        <v>4017</v>
      </c>
      <c r="B999" s="126"/>
      <c r="C999" s="118" t="s">
        <v>4063</v>
      </c>
      <c r="D999" s="120"/>
      <c r="E999" s="88" t="s">
        <v>32</v>
      </c>
      <c r="F999" s="120"/>
      <c r="G999" s="118" t="s">
        <v>4064</v>
      </c>
      <c r="H999" s="118" t="s">
        <v>4065</v>
      </c>
      <c r="I999" s="118" t="s">
        <v>4059</v>
      </c>
      <c r="J999" s="122" t="s">
        <v>74</v>
      </c>
      <c r="K999" s="118" t="s">
        <v>25</v>
      </c>
      <c r="L999" s="118" t="s">
        <v>25</v>
      </c>
      <c r="M999" s="118" t="s">
        <v>3483</v>
      </c>
      <c r="N999" s="120"/>
      <c r="O999" s="120"/>
      <c r="P999" s="120"/>
    </row>
    <row r="1000" hidden="1">
      <c r="A1000" s="118" t="s">
        <v>4017</v>
      </c>
      <c r="B1000" s="126"/>
      <c r="C1000" s="118" t="s">
        <v>4066</v>
      </c>
      <c r="D1000" s="120"/>
      <c r="E1000" s="88" t="s">
        <v>32</v>
      </c>
      <c r="F1000" s="120"/>
      <c r="G1000" s="118" t="s">
        <v>4067</v>
      </c>
      <c r="H1000" s="118" t="s">
        <v>4068</v>
      </c>
      <c r="I1000" s="118" t="s">
        <v>4059</v>
      </c>
      <c r="J1000" s="122" t="s">
        <v>74</v>
      </c>
      <c r="K1000" s="118" t="s">
        <v>25</v>
      </c>
      <c r="L1000" s="118" t="s">
        <v>25</v>
      </c>
      <c r="M1000" s="118" t="s">
        <v>3483</v>
      </c>
      <c r="N1000" s="120"/>
      <c r="O1000" s="120"/>
      <c r="P1000" s="120"/>
    </row>
    <row r="1001" hidden="1">
      <c r="A1001" s="118" t="s">
        <v>4017</v>
      </c>
      <c r="B1001" s="126"/>
      <c r="C1001" s="118" t="s">
        <v>4069</v>
      </c>
      <c r="D1001" s="120"/>
      <c r="E1001" s="88" t="s">
        <v>32</v>
      </c>
      <c r="F1001" s="120"/>
      <c r="G1001" s="118" t="s">
        <v>4070</v>
      </c>
      <c r="H1001" s="118" t="s">
        <v>4071</v>
      </c>
      <c r="I1001" s="118" t="s">
        <v>4072</v>
      </c>
      <c r="J1001" s="122" t="s">
        <v>74</v>
      </c>
      <c r="K1001" s="118" t="s">
        <v>25</v>
      </c>
      <c r="L1001" s="118" t="s">
        <v>25</v>
      </c>
      <c r="M1001" s="118" t="s">
        <v>3483</v>
      </c>
      <c r="N1001" s="120"/>
      <c r="O1001" s="120"/>
      <c r="P1001" s="120"/>
    </row>
    <row r="1002" hidden="1">
      <c r="A1002" s="118" t="s">
        <v>4017</v>
      </c>
      <c r="B1002" s="126"/>
      <c r="C1002" s="118" t="s">
        <v>4073</v>
      </c>
      <c r="D1002" s="120"/>
      <c r="E1002" s="88" t="s">
        <v>32</v>
      </c>
      <c r="F1002" s="120"/>
      <c r="G1002" s="118" t="s">
        <v>4074</v>
      </c>
      <c r="H1002" s="118" t="s">
        <v>4075</v>
      </c>
      <c r="I1002" s="118" t="s">
        <v>4076</v>
      </c>
      <c r="J1002" s="122" t="s">
        <v>74</v>
      </c>
      <c r="K1002" s="118" t="s">
        <v>25</v>
      </c>
      <c r="L1002" s="118" t="s">
        <v>25</v>
      </c>
      <c r="M1002" s="118" t="s">
        <v>3483</v>
      </c>
      <c r="N1002" s="120"/>
      <c r="O1002" s="120"/>
      <c r="P1002" s="120"/>
    </row>
    <row r="1003" hidden="1">
      <c r="A1003" s="118" t="s">
        <v>4017</v>
      </c>
      <c r="B1003" s="126"/>
      <c r="C1003" s="118" t="s">
        <v>4077</v>
      </c>
      <c r="D1003" s="120"/>
      <c r="E1003" s="88" t="s">
        <v>32</v>
      </c>
      <c r="F1003" s="120"/>
      <c r="G1003" s="118" t="s">
        <v>4078</v>
      </c>
      <c r="H1003" s="118" t="s">
        <v>4079</v>
      </c>
      <c r="I1003" s="118" t="s">
        <v>4080</v>
      </c>
      <c r="J1003" s="122" t="s">
        <v>74</v>
      </c>
      <c r="K1003" s="118" t="s">
        <v>25</v>
      </c>
      <c r="L1003" s="118" t="s">
        <v>25</v>
      </c>
      <c r="M1003" s="118" t="s">
        <v>3483</v>
      </c>
      <c r="N1003" s="120"/>
      <c r="O1003" s="120"/>
      <c r="P1003" s="120"/>
    </row>
    <row r="1004" hidden="1">
      <c r="A1004" s="118" t="s">
        <v>4017</v>
      </c>
      <c r="B1004" s="126"/>
      <c r="C1004" s="118" t="s">
        <v>4081</v>
      </c>
      <c r="D1004" s="120"/>
      <c r="E1004" s="88" t="s">
        <v>32</v>
      </c>
      <c r="F1004" s="120"/>
      <c r="G1004" s="130" t="s">
        <v>4082</v>
      </c>
      <c r="H1004" s="130" t="s">
        <v>4083</v>
      </c>
      <c r="I1004" s="130" t="s">
        <v>4084</v>
      </c>
      <c r="J1004" s="122" t="s">
        <v>74</v>
      </c>
      <c r="K1004" s="118" t="s">
        <v>25</v>
      </c>
      <c r="L1004" s="118" t="s">
        <v>25</v>
      </c>
      <c r="M1004" s="118" t="s">
        <v>3483</v>
      </c>
      <c r="N1004" s="120"/>
      <c r="O1004" s="120"/>
      <c r="P1004" s="120"/>
    </row>
    <row r="1005" hidden="1">
      <c r="A1005" s="118" t="s">
        <v>4017</v>
      </c>
      <c r="B1005" s="10"/>
      <c r="C1005" s="118" t="s">
        <v>4085</v>
      </c>
      <c r="D1005" s="120"/>
      <c r="E1005" s="88" t="s">
        <v>32</v>
      </c>
      <c r="F1005" s="120"/>
      <c r="G1005" s="118" t="s">
        <v>4086</v>
      </c>
      <c r="H1005" s="118" t="s">
        <v>4087</v>
      </c>
      <c r="I1005" s="118" t="s">
        <v>4088</v>
      </c>
      <c r="J1005" s="122" t="s">
        <v>74</v>
      </c>
      <c r="K1005" s="118" t="s">
        <v>25</v>
      </c>
      <c r="L1005" s="118" t="s">
        <v>25</v>
      </c>
      <c r="M1005" s="118" t="s">
        <v>3483</v>
      </c>
      <c r="N1005" s="120"/>
      <c r="O1005" s="120"/>
      <c r="P1005" s="120"/>
    </row>
    <row r="1006" hidden="1">
      <c r="A1006" s="118" t="s">
        <v>4089</v>
      </c>
      <c r="B1006" s="120"/>
      <c r="C1006" s="118" t="s">
        <v>4089</v>
      </c>
      <c r="D1006" s="120"/>
      <c r="E1006" s="88" t="s">
        <v>40</v>
      </c>
      <c r="F1006" s="120"/>
      <c r="G1006" s="118" t="s">
        <v>4090</v>
      </c>
      <c r="H1006" s="118" t="s">
        <v>4091</v>
      </c>
      <c r="I1006" s="118" t="s">
        <v>4092</v>
      </c>
      <c r="J1006" s="122" t="s">
        <v>74</v>
      </c>
      <c r="K1006" s="118" t="s">
        <v>25</v>
      </c>
      <c r="L1006" s="118" t="s">
        <v>25</v>
      </c>
      <c r="M1006" s="118" t="s">
        <v>3483</v>
      </c>
      <c r="N1006" s="129" t="s">
        <v>4093</v>
      </c>
      <c r="O1006" s="120"/>
      <c r="P1006" s="120"/>
    </row>
    <row r="1007">
      <c r="A1007" s="118" t="s">
        <v>4094</v>
      </c>
      <c r="B1007" s="120"/>
      <c r="C1007" s="118" t="s">
        <v>4094</v>
      </c>
      <c r="D1007" s="120"/>
      <c r="E1007" s="88" t="s">
        <v>40</v>
      </c>
      <c r="F1007" s="120"/>
      <c r="G1007" s="118" t="s">
        <v>4095</v>
      </c>
      <c r="H1007" s="118" t="s">
        <v>4096</v>
      </c>
      <c r="I1007" s="118" t="s">
        <v>4097</v>
      </c>
      <c r="J1007" s="128" t="s">
        <v>714</v>
      </c>
      <c r="K1007" s="118" t="s">
        <v>25</v>
      </c>
      <c r="L1007" s="118" t="s">
        <v>25</v>
      </c>
      <c r="M1007" s="118" t="s">
        <v>3483</v>
      </c>
      <c r="N1007" s="129" t="s">
        <v>4098</v>
      </c>
      <c r="O1007" s="120"/>
      <c r="P1007" s="120"/>
    </row>
    <row r="1008">
      <c r="A1008" s="118" t="s">
        <v>4099</v>
      </c>
      <c r="B1008" s="120"/>
      <c r="C1008" s="118" t="s">
        <v>4099</v>
      </c>
      <c r="D1008" s="120"/>
      <c r="E1008" s="88" t="s">
        <v>40</v>
      </c>
      <c r="F1008" s="120"/>
      <c r="G1008" s="118" t="s">
        <v>4100</v>
      </c>
      <c r="H1008" s="118" t="s">
        <v>4101</v>
      </c>
      <c r="I1008" s="118" t="s">
        <v>4102</v>
      </c>
      <c r="J1008" s="128" t="s">
        <v>714</v>
      </c>
      <c r="K1008" s="118" t="s">
        <v>25</v>
      </c>
      <c r="L1008" s="118" t="s">
        <v>25</v>
      </c>
      <c r="M1008" s="118" t="s">
        <v>3483</v>
      </c>
      <c r="N1008" s="129" t="s">
        <v>4103</v>
      </c>
      <c r="O1008" s="120"/>
      <c r="P1008" s="120"/>
    </row>
    <row r="1009" hidden="1">
      <c r="A1009" s="118" t="s">
        <v>4104</v>
      </c>
      <c r="B1009" s="127" t="s">
        <v>4105</v>
      </c>
      <c r="C1009" s="118" t="s">
        <v>4106</v>
      </c>
      <c r="D1009" s="120"/>
      <c r="E1009" s="88" t="s">
        <v>40</v>
      </c>
      <c r="F1009" s="120"/>
      <c r="G1009" s="118" t="s">
        <v>4107</v>
      </c>
      <c r="H1009" s="118" t="s">
        <v>4108</v>
      </c>
      <c r="I1009" s="118" t="s">
        <v>4109</v>
      </c>
      <c r="J1009" s="122" t="s">
        <v>74</v>
      </c>
      <c r="K1009" s="118" t="s">
        <v>25</v>
      </c>
      <c r="L1009" s="118" t="s">
        <v>25</v>
      </c>
      <c r="M1009" s="118" t="s">
        <v>3483</v>
      </c>
      <c r="N1009" s="120"/>
      <c r="O1009" s="120"/>
      <c r="P1009" s="120"/>
    </row>
    <row r="1010" hidden="1">
      <c r="A1010" s="118" t="s">
        <v>4104</v>
      </c>
      <c r="B1010" s="126"/>
      <c r="C1010" s="118" t="s">
        <v>4110</v>
      </c>
      <c r="D1010" s="120"/>
      <c r="E1010" s="88" t="s">
        <v>40</v>
      </c>
      <c r="F1010" s="120"/>
      <c r="G1010" s="118" t="s">
        <v>4111</v>
      </c>
      <c r="H1010" s="118" t="s">
        <v>4112</v>
      </c>
      <c r="I1010" s="118" t="s">
        <v>4113</v>
      </c>
      <c r="J1010" s="122" t="s">
        <v>74</v>
      </c>
      <c r="K1010" s="118" t="s">
        <v>25</v>
      </c>
      <c r="L1010" s="118" t="s">
        <v>25</v>
      </c>
      <c r="M1010" s="118" t="s">
        <v>3483</v>
      </c>
      <c r="N1010" s="120"/>
      <c r="O1010" s="120"/>
      <c r="P1010" s="120"/>
    </row>
    <row r="1011" hidden="1">
      <c r="A1011" s="118" t="s">
        <v>4104</v>
      </c>
      <c r="B1011" s="126"/>
      <c r="C1011" s="118" t="s">
        <v>4114</v>
      </c>
      <c r="D1011" s="120"/>
      <c r="E1011" s="88" t="s">
        <v>40</v>
      </c>
      <c r="F1011" s="120"/>
      <c r="G1011" s="118" t="s">
        <v>4115</v>
      </c>
      <c r="H1011" s="118" t="s">
        <v>4116</v>
      </c>
      <c r="I1011" s="118" t="s">
        <v>4117</v>
      </c>
      <c r="J1011" s="122" t="s">
        <v>74</v>
      </c>
      <c r="K1011" s="118" t="s">
        <v>25</v>
      </c>
      <c r="L1011" s="118" t="s">
        <v>25</v>
      </c>
      <c r="M1011" s="118" t="s">
        <v>3483</v>
      </c>
      <c r="N1011" s="120"/>
      <c r="O1011" s="120"/>
      <c r="P1011" s="120"/>
    </row>
    <row r="1012" hidden="1">
      <c r="A1012" s="118" t="s">
        <v>4104</v>
      </c>
      <c r="B1012" s="126"/>
      <c r="C1012" s="118" t="s">
        <v>4118</v>
      </c>
      <c r="D1012" s="120"/>
      <c r="E1012" s="88" t="s">
        <v>40</v>
      </c>
      <c r="F1012" s="120"/>
      <c r="G1012" s="118" t="s">
        <v>4119</v>
      </c>
      <c r="H1012" s="118" t="s">
        <v>4120</v>
      </c>
      <c r="I1012" s="118" t="s">
        <v>4121</v>
      </c>
      <c r="J1012" s="122" t="s">
        <v>74</v>
      </c>
      <c r="K1012" s="118" t="s">
        <v>25</v>
      </c>
      <c r="L1012" s="118" t="s">
        <v>25</v>
      </c>
      <c r="M1012" s="118" t="s">
        <v>3483</v>
      </c>
      <c r="N1012" s="120"/>
      <c r="O1012" s="120"/>
      <c r="P1012" s="120"/>
    </row>
    <row r="1013" hidden="1">
      <c r="A1013" s="118" t="s">
        <v>4104</v>
      </c>
      <c r="B1013" s="126"/>
      <c r="C1013" s="118" t="s">
        <v>4122</v>
      </c>
      <c r="D1013" s="120"/>
      <c r="E1013" s="88" t="s">
        <v>40</v>
      </c>
      <c r="F1013" s="120"/>
      <c r="G1013" s="118" t="s">
        <v>4123</v>
      </c>
      <c r="H1013" s="118" t="s">
        <v>4124</v>
      </c>
      <c r="I1013" s="118" t="s">
        <v>4125</v>
      </c>
      <c r="J1013" s="122" t="s">
        <v>74</v>
      </c>
      <c r="K1013" s="118" t="s">
        <v>25</v>
      </c>
      <c r="L1013" s="118" t="s">
        <v>25</v>
      </c>
      <c r="M1013" s="118" t="s">
        <v>3483</v>
      </c>
      <c r="N1013" s="120"/>
      <c r="O1013" s="120"/>
      <c r="P1013" s="120"/>
    </row>
    <row r="1014" hidden="1">
      <c r="A1014" s="118" t="s">
        <v>4104</v>
      </c>
      <c r="B1014" s="126"/>
      <c r="C1014" s="118" t="s">
        <v>4126</v>
      </c>
      <c r="D1014" s="120"/>
      <c r="E1014" s="88" t="s">
        <v>40</v>
      </c>
      <c r="F1014" s="120"/>
      <c r="G1014" s="118" t="s">
        <v>4127</v>
      </c>
      <c r="H1014" s="118" t="s">
        <v>4128</v>
      </c>
      <c r="I1014" s="118" t="s">
        <v>4129</v>
      </c>
      <c r="J1014" s="122" t="s">
        <v>74</v>
      </c>
      <c r="K1014" s="118" t="s">
        <v>25</v>
      </c>
      <c r="L1014" s="118" t="s">
        <v>25</v>
      </c>
      <c r="M1014" s="118" t="s">
        <v>3483</v>
      </c>
      <c r="N1014" s="120"/>
      <c r="O1014" s="120"/>
      <c r="P1014" s="120"/>
    </row>
    <row r="1015" hidden="1">
      <c r="A1015" s="118" t="s">
        <v>4104</v>
      </c>
      <c r="B1015" s="126"/>
      <c r="C1015" s="118" t="s">
        <v>4130</v>
      </c>
      <c r="D1015" s="120"/>
      <c r="E1015" s="88" t="s">
        <v>40</v>
      </c>
      <c r="F1015" s="120"/>
      <c r="G1015" s="118" t="s">
        <v>4131</v>
      </c>
      <c r="H1015" s="118" t="s">
        <v>4132</v>
      </c>
      <c r="I1015" s="118" t="s">
        <v>4133</v>
      </c>
      <c r="J1015" s="122" t="s">
        <v>74</v>
      </c>
      <c r="K1015" s="118" t="s">
        <v>25</v>
      </c>
      <c r="L1015" s="118" t="s">
        <v>25</v>
      </c>
      <c r="M1015" s="118" t="s">
        <v>3483</v>
      </c>
      <c r="N1015" s="120"/>
      <c r="O1015" s="120"/>
      <c r="P1015" s="120"/>
    </row>
    <row r="1016" hidden="1">
      <c r="A1016" s="118" t="s">
        <v>4104</v>
      </c>
      <c r="B1016" s="10"/>
      <c r="C1016" s="118" t="s">
        <v>4134</v>
      </c>
      <c r="D1016" s="120"/>
      <c r="E1016" s="88" t="s">
        <v>40</v>
      </c>
      <c r="F1016" s="120"/>
      <c r="G1016" s="118" t="s">
        <v>4135</v>
      </c>
      <c r="H1016" s="118" t="s">
        <v>4136</v>
      </c>
      <c r="I1016" s="118" t="s">
        <v>4137</v>
      </c>
      <c r="J1016" s="122" t="s">
        <v>74</v>
      </c>
      <c r="K1016" s="118" t="s">
        <v>25</v>
      </c>
      <c r="L1016" s="118" t="s">
        <v>25</v>
      </c>
      <c r="M1016" s="118" t="s">
        <v>3483</v>
      </c>
      <c r="N1016" s="120"/>
      <c r="O1016" s="120"/>
      <c r="P1016" s="120"/>
    </row>
    <row r="1017">
      <c r="A1017" s="118" t="s">
        <v>4138</v>
      </c>
      <c r="B1017" s="120"/>
      <c r="C1017" s="118" t="s">
        <v>4138</v>
      </c>
      <c r="D1017" s="120"/>
      <c r="E1017" s="88" t="s">
        <v>31</v>
      </c>
      <c r="F1017" s="120"/>
      <c r="G1017" s="118" t="s">
        <v>4139</v>
      </c>
      <c r="H1017" s="145" t="s">
        <v>4140</v>
      </c>
      <c r="I1017" s="118" t="s">
        <v>4141</v>
      </c>
      <c r="J1017" s="128" t="s">
        <v>714</v>
      </c>
      <c r="K1017" s="118" t="s">
        <v>25</v>
      </c>
      <c r="L1017" s="118" t="s">
        <v>25</v>
      </c>
      <c r="M1017" s="118" t="s">
        <v>3407</v>
      </c>
      <c r="N1017" s="129" t="s">
        <v>4142</v>
      </c>
      <c r="O1017" s="120"/>
      <c r="P1017" s="120"/>
    </row>
    <row r="1018" hidden="1">
      <c r="A1018" s="118" t="s">
        <v>4143</v>
      </c>
      <c r="B1018" s="120"/>
      <c r="C1018" s="118" t="s">
        <v>4143</v>
      </c>
      <c r="D1018" s="120"/>
      <c r="E1018" s="106" t="s">
        <v>34</v>
      </c>
      <c r="F1018" s="120"/>
      <c r="G1018" s="118" t="s">
        <v>4144</v>
      </c>
      <c r="H1018" s="163" t="s">
        <v>4145</v>
      </c>
      <c r="I1018" s="118" t="s">
        <v>4146</v>
      </c>
      <c r="J1018" s="122" t="s">
        <v>74</v>
      </c>
      <c r="K1018" s="118" t="s">
        <v>25</v>
      </c>
      <c r="L1018" s="118" t="s">
        <v>25</v>
      </c>
      <c r="M1018" s="120"/>
      <c r="N1018" s="129" t="s">
        <v>4147</v>
      </c>
      <c r="O1018" s="120"/>
      <c r="P1018" s="120"/>
    </row>
    <row r="1019">
      <c r="A1019" s="118" t="s">
        <v>4148</v>
      </c>
      <c r="B1019" s="120"/>
      <c r="C1019" s="118" t="s">
        <v>4148</v>
      </c>
      <c r="D1019" s="120"/>
      <c r="E1019" s="88" t="s">
        <v>38</v>
      </c>
      <c r="F1019" s="120"/>
      <c r="G1019" s="118" t="s">
        <v>4149</v>
      </c>
      <c r="H1019" s="118" t="s">
        <v>4150</v>
      </c>
      <c r="I1019" s="118" t="s">
        <v>4151</v>
      </c>
      <c r="J1019" s="128" t="s">
        <v>714</v>
      </c>
      <c r="K1019" s="120"/>
      <c r="L1019" s="120"/>
      <c r="M1019" s="120"/>
      <c r="N1019" s="129" t="s">
        <v>4152</v>
      </c>
      <c r="O1019" s="120"/>
      <c r="P1019" s="120"/>
    </row>
    <row r="1020">
      <c r="A1020" s="118" t="s">
        <v>4153</v>
      </c>
      <c r="B1020" s="120"/>
      <c r="C1020" s="118" t="s">
        <v>4153</v>
      </c>
      <c r="D1020" s="120"/>
      <c r="E1020" s="106" t="s">
        <v>34</v>
      </c>
      <c r="F1020" s="120"/>
      <c r="G1020" s="118" t="s">
        <v>4154</v>
      </c>
      <c r="H1020" s="148" t="s">
        <v>4155</v>
      </c>
      <c r="I1020" s="118" t="s">
        <v>4156</v>
      </c>
      <c r="J1020" s="128" t="s">
        <v>714</v>
      </c>
      <c r="K1020" s="118" t="s">
        <v>25</v>
      </c>
      <c r="L1020" s="118" t="s">
        <v>25</v>
      </c>
      <c r="M1020" s="118" t="s">
        <v>3407</v>
      </c>
      <c r="N1020" s="129" t="s">
        <v>4157</v>
      </c>
      <c r="O1020" s="120"/>
      <c r="P1020" s="120"/>
    </row>
    <row r="1021" hidden="1">
      <c r="A1021" s="118" t="s">
        <v>4158</v>
      </c>
      <c r="B1021" s="120"/>
      <c r="C1021" s="118" t="s">
        <v>4158</v>
      </c>
      <c r="D1021" s="120"/>
      <c r="E1021" s="88" t="s">
        <v>31</v>
      </c>
      <c r="F1021" s="120"/>
      <c r="G1021" s="118" t="s">
        <v>4159</v>
      </c>
      <c r="H1021" s="145" t="s">
        <v>4160</v>
      </c>
      <c r="I1021" s="118" t="s">
        <v>4161</v>
      </c>
      <c r="J1021" s="122" t="s">
        <v>74</v>
      </c>
      <c r="K1021" s="118" t="s">
        <v>25</v>
      </c>
      <c r="L1021" s="118" t="s">
        <v>25</v>
      </c>
      <c r="M1021" s="118" t="s">
        <v>3407</v>
      </c>
      <c r="N1021" s="129" t="s">
        <v>4162</v>
      </c>
      <c r="O1021" s="120"/>
      <c r="P1021" s="120"/>
    </row>
    <row r="1022">
      <c r="A1022" s="118" t="s">
        <v>4163</v>
      </c>
      <c r="B1022" s="120"/>
      <c r="C1022" s="118" t="s">
        <v>4163</v>
      </c>
      <c r="D1022" s="120"/>
      <c r="E1022" s="118" t="s">
        <v>42</v>
      </c>
      <c r="F1022" s="120"/>
      <c r="G1022" s="118" t="s">
        <v>4164</v>
      </c>
      <c r="H1022" s="145" t="s">
        <v>4165</v>
      </c>
      <c r="I1022" s="118" t="s">
        <v>4166</v>
      </c>
      <c r="J1022" s="128" t="s">
        <v>714</v>
      </c>
      <c r="K1022" s="118" t="s">
        <v>25</v>
      </c>
      <c r="L1022" s="118" t="s">
        <v>25</v>
      </c>
      <c r="M1022" s="118" t="s">
        <v>3407</v>
      </c>
      <c r="N1022" s="129" t="s">
        <v>4167</v>
      </c>
      <c r="O1022" s="120"/>
      <c r="P1022" s="120"/>
    </row>
    <row r="1023">
      <c r="A1023" s="118" t="s">
        <v>4168</v>
      </c>
      <c r="B1023" s="120"/>
      <c r="C1023" s="118" t="s">
        <v>4168</v>
      </c>
      <c r="D1023" s="120"/>
      <c r="E1023" s="88" t="s">
        <v>31</v>
      </c>
      <c r="F1023" s="120"/>
      <c r="G1023" s="118" t="s">
        <v>4169</v>
      </c>
      <c r="H1023" s="118" t="s">
        <v>4170</v>
      </c>
      <c r="I1023" s="118" t="s">
        <v>4171</v>
      </c>
      <c r="J1023" s="128" t="s">
        <v>714</v>
      </c>
      <c r="K1023" s="118" t="s">
        <v>25</v>
      </c>
      <c r="L1023" s="118" t="s">
        <v>25</v>
      </c>
      <c r="M1023" s="118" t="s">
        <v>3407</v>
      </c>
      <c r="N1023" s="129" t="s">
        <v>4172</v>
      </c>
      <c r="O1023" s="120"/>
      <c r="P1023" s="120"/>
    </row>
    <row r="1024" hidden="1">
      <c r="A1024" s="118" t="s">
        <v>4173</v>
      </c>
      <c r="B1024" s="120"/>
      <c r="C1024" s="118" t="s">
        <v>4173</v>
      </c>
      <c r="D1024" s="120"/>
      <c r="E1024" s="118" t="s">
        <v>4174</v>
      </c>
      <c r="F1024" s="120"/>
      <c r="G1024" s="118" t="s">
        <v>4175</v>
      </c>
      <c r="H1024" s="120"/>
      <c r="I1024" s="120"/>
      <c r="J1024" s="122" t="s">
        <v>74</v>
      </c>
      <c r="K1024" s="164" t="s">
        <v>25</v>
      </c>
      <c r="L1024" s="164" t="s">
        <v>25</v>
      </c>
      <c r="M1024" s="118" t="s">
        <v>4176</v>
      </c>
      <c r="N1024" s="129" t="s">
        <v>4177</v>
      </c>
      <c r="O1024" s="120"/>
      <c r="P1024" s="120"/>
    </row>
    <row r="1025" hidden="1">
      <c r="A1025" s="118" t="s">
        <v>4178</v>
      </c>
      <c r="B1025" s="120"/>
      <c r="C1025" s="118" t="s">
        <v>4178</v>
      </c>
      <c r="D1025" s="120"/>
      <c r="E1025" s="118" t="s">
        <v>4174</v>
      </c>
      <c r="F1025" s="120"/>
      <c r="G1025" s="118" t="s">
        <v>4179</v>
      </c>
      <c r="H1025" s="120"/>
      <c r="I1025" s="120"/>
      <c r="J1025" s="122" t="s">
        <v>74</v>
      </c>
      <c r="K1025" s="164" t="s">
        <v>25</v>
      </c>
      <c r="L1025" s="164" t="s">
        <v>25</v>
      </c>
      <c r="M1025" s="118" t="s">
        <v>4176</v>
      </c>
      <c r="N1025" s="129" t="s">
        <v>4180</v>
      </c>
      <c r="O1025" s="120"/>
      <c r="P1025" s="120"/>
    </row>
    <row r="1026" hidden="1">
      <c r="A1026" s="118" t="s">
        <v>4181</v>
      </c>
      <c r="B1026" s="120"/>
      <c r="C1026" s="118" t="s">
        <v>4181</v>
      </c>
      <c r="D1026" s="120"/>
      <c r="E1026" s="118" t="s">
        <v>4174</v>
      </c>
      <c r="F1026" s="120"/>
      <c r="G1026" s="118" t="s">
        <v>4182</v>
      </c>
      <c r="H1026" s="120"/>
      <c r="I1026" s="120"/>
      <c r="J1026" s="122" t="s">
        <v>74</v>
      </c>
      <c r="K1026" s="164" t="s">
        <v>25</v>
      </c>
      <c r="L1026" s="164" t="s">
        <v>25</v>
      </c>
      <c r="M1026" s="118" t="s">
        <v>4176</v>
      </c>
      <c r="N1026" s="129" t="s">
        <v>4183</v>
      </c>
      <c r="O1026" s="120"/>
      <c r="P1026" s="120"/>
    </row>
    <row r="1027">
      <c r="A1027" s="118" t="s">
        <v>4184</v>
      </c>
      <c r="B1027" s="120"/>
      <c r="C1027" s="118" t="s">
        <v>4185</v>
      </c>
      <c r="D1027" s="120"/>
      <c r="E1027" s="88" t="s">
        <v>40</v>
      </c>
      <c r="F1027" s="120"/>
      <c r="G1027" s="118" t="s">
        <v>4186</v>
      </c>
      <c r="H1027" s="118" t="s">
        <v>4187</v>
      </c>
      <c r="I1027" s="118" t="s">
        <v>4188</v>
      </c>
      <c r="J1027" s="128" t="s">
        <v>714</v>
      </c>
      <c r="K1027" s="164" t="s">
        <v>75</v>
      </c>
      <c r="L1027" s="118" t="s">
        <v>54</v>
      </c>
      <c r="M1027" s="120"/>
      <c r="N1027" s="129" t="s">
        <v>4189</v>
      </c>
      <c r="O1027" s="118" t="s">
        <v>4190</v>
      </c>
      <c r="P1027" s="120"/>
    </row>
    <row r="1028">
      <c r="A1028" s="118" t="s">
        <v>4184</v>
      </c>
      <c r="B1028" s="120"/>
      <c r="C1028" s="118" t="s">
        <v>4191</v>
      </c>
      <c r="D1028" s="120"/>
      <c r="E1028" s="88" t="s">
        <v>40</v>
      </c>
      <c r="F1028" s="120"/>
      <c r="G1028" s="118" t="s">
        <v>4192</v>
      </c>
      <c r="H1028" s="118" t="s">
        <v>4193</v>
      </c>
      <c r="I1028" s="118" t="s">
        <v>4194</v>
      </c>
      <c r="J1028" s="128" t="s">
        <v>714</v>
      </c>
      <c r="K1028" s="164" t="s">
        <v>75</v>
      </c>
      <c r="L1028" s="118" t="s">
        <v>54</v>
      </c>
      <c r="M1028" s="120"/>
      <c r="N1028" s="129" t="s">
        <v>4195</v>
      </c>
      <c r="O1028" s="118" t="s">
        <v>4196</v>
      </c>
      <c r="P1028" s="120"/>
    </row>
    <row r="1029">
      <c r="A1029" s="118" t="s">
        <v>4197</v>
      </c>
      <c r="B1029" s="120"/>
      <c r="C1029" s="118" t="s">
        <v>4197</v>
      </c>
      <c r="D1029" s="120"/>
      <c r="E1029" s="88" t="s">
        <v>31</v>
      </c>
      <c r="F1029" s="120"/>
      <c r="G1029" s="118" t="s">
        <v>4198</v>
      </c>
      <c r="H1029" s="118" t="s">
        <v>4199</v>
      </c>
      <c r="I1029" s="118" t="s">
        <v>4200</v>
      </c>
      <c r="J1029" s="128" t="s">
        <v>714</v>
      </c>
      <c r="K1029" s="164" t="s">
        <v>75</v>
      </c>
      <c r="L1029" s="118" t="s">
        <v>54</v>
      </c>
      <c r="M1029" s="120"/>
      <c r="N1029" s="129" t="s">
        <v>4201</v>
      </c>
      <c r="O1029" s="118" t="s">
        <v>4202</v>
      </c>
      <c r="P1029" s="120"/>
    </row>
    <row r="1030">
      <c r="A1030" s="118" t="s">
        <v>4197</v>
      </c>
      <c r="B1030" s="120"/>
      <c r="C1030" s="118" t="s">
        <v>4203</v>
      </c>
      <c r="D1030" s="120"/>
      <c r="E1030" s="88" t="s">
        <v>31</v>
      </c>
      <c r="F1030" s="120"/>
      <c r="G1030" s="118" t="s">
        <v>4204</v>
      </c>
      <c r="H1030" s="118" t="s">
        <v>4199</v>
      </c>
      <c r="I1030" s="118" t="s">
        <v>4194</v>
      </c>
      <c r="J1030" s="128" t="s">
        <v>714</v>
      </c>
      <c r="K1030" s="164" t="s">
        <v>75</v>
      </c>
      <c r="L1030" s="118" t="s">
        <v>54</v>
      </c>
      <c r="M1030" s="120"/>
      <c r="N1030" s="129" t="s">
        <v>4205</v>
      </c>
      <c r="O1030" s="118" t="s">
        <v>4206</v>
      </c>
      <c r="P1030" s="120"/>
    </row>
    <row r="1031">
      <c r="A1031" s="118" t="s">
        <v>4207</v>
      </c>
      <c r="B1031" s="120"/>
      <c r="C1031" s="118" t="s">
        <v>4208</v>
      </c>
      <c r="D1031" s="120"/>
      <c r="E1031" s="165" t="s">
        <v>4209</v>
      </c>
      <c r="F1031" s="120"/>
      <c r="G1031" s="118" t="s">
        <v>4210</v>
      </c>
      <c r="H1031" s="118" t="s">
        <v>4211</v>
      </c>
      <c r="I1031" s="118" t="s">
        <v>4194</v>
      </c>
      <c r="J1031" s="128" t="s">
        <v>714</v>
      </c>
      <c r="K1031" s="164" t="s">
        <v>75</v>
      </c>
      <c r="L1031" s="118" t="s">
        <v>54</v>
      </c>
      <c r="M1031" s="120"/>
      <c r="N1031" s="129" t="s">
        <v>4212</v>
      </c>
      <c r="O1031" s="118" t="s">
        <v>4213</v>
      </c>
      <c r="P1031" s="120"/>
    </row>
    <row r="1032">
      <c r="A1032" s="118" t="s">
        <v>4214</v>
      </c>
      <c r="B1032" s="166"/>
      <c r="C1032" s="118" t="s">
        <v>4214</v>
      </c>
      <c r="D1032" s="120"/>
      <c r="E1032" s="88" t="s">
        <v>32</v>
      </c>
      <c r="F1032" s="120"/>
      <c r="G1032" s="118" t="s">
        <v>4215</v>
      </c>
      <c r="H1032" s="118" t="s">
        <v>4216</v>
      </c>
      <c r="I1032" s="118" t="s">
        <v>4217</v>
      </c>
      <c r="J1032" s="128" t="s">
        <v>714</v>
      </c>
      <c r="K1032" s="164" t="s">
        <v>75</v>
      </c>
      <c r="L1032" s="118" t="s">
        <v>54</v>
      </c>
      <c r="M1032" s="120"/>
      <c r="N1032" s="129" t="s">
        <v>4218</v>
      </c>
      <c r="O1032" s="118" t="s">
        <v>4219</v>
      </c>
      <c r="P1032" s="120"/>
    </row>
    <row r="1033">
      <c r="A1033" s="118" t="s">
        <v>4214</v>
      </c>
      <c r="B1033" s="166"/>
      <c r="C1033" s="118" t="s">
        <v>4214</v>
      </c>
      <c r="D1033" s="120"/>
      <c r="E1033" s="88" t="s">
        <v>32</v>
      </c>
      <c r="F1033" s="120"/>
      <c r="G1033" s="118" t="s">
        <v>4220</v>
      </c>
      <c r="H1033" s="118" t="s">
        <v>4221</v>
      </c>
      <c r="I1033" s="118" t="s">
        <v>4222</v>
      </c>
      <c r="J1033" s="128" t="s">
        <v>714</v>
      </c>
      <c r="K1033" s="164" t="s">
        <v>75</v>
      </c>
      <c r="L1033" s="118" t="s">
        <v>54</v>
      </c>
      <c r="M1033" s="120"/>
      <c r="N1033" s="129" t="s">
        <v>4223</v>
      </c>
      <c r="O1033" s="118" t="s">
        <v>4224</v>
      </c>
      <c r="P1033" s="120"/>
    </row>
    <row r="1034">
      <c r="A1034" s="118" t="s">
        <v>4214</v>
      </c>
      <c r="B1034" s="166"/>
      <c r="C1034" s="118" t="s">
        <v>4225</v>
      </c>
      <c r="D1034" s="120"/>
      <c r="E1034" s="88" t="s">
        <v>32</v>
      </c>
      <c r="F1034" s="120"/>
      <c r="G1034" s="118" t="s">
        <v>4226</v>
      </c>
      <c r="H1034" s="118" t="s">
        <v>4227</v>
      </c>
      <c r="I1034" s="118" t="s">
        <v>4217</v>
      </c>
      <c r="J1034" s="128" t="s">
        <v>714</v>
      </c>
      <c r="K1034" s="118" t="s">
        <v>25</v>
      </c>
      <c r="L1034" s="118" t="s">
        <v>25</v>
      </c>
      <c r="M1034" s="118" t="s">
        <v>4228</v>
      </c>
      <c r="N1034" s="129" t="s">
        <v>4229</v>
      </c>
      <c r="O1034" s="140"/>
      <c r="P1034" s="120"/>
    </row>
    <row r="1035">
      <c r="A1035" s="118" t="s">
        <v>4214</v>
      </c>
      <c r="B1035" s="166"/>
      <c r="C1035" s="118" t="s">
        <v>4230</v>
      </c>
      <c r="D1035" s="120"/>
      <c r="E1035" s="88" t="s">
        <v>32</v>
      </c>
      <c r="F1035" s="120"/>
      <c r="G1035" s="118" t="s">
        <v>4210</v>
      </c>
      <c r="H1035" s="118" t="s">
        <v>4231</v>
      </c>
      <c r="I1035" s="118" t="s">
        <v>4194</v>
      </c>
      <c r="J1035" s="128" t="s">
        <v>714</v>
      </c>
      <c r="K1035" s="118" t="s">
        <v>25</v>
      </c>
      <c r="L1035" s="118" t="s">
        <v>25</v>
      </c>
      <c r="M1035" s="118" t="s">
        <v>4228</v>
      </c>
      <c r="N1035" s="129" t="s">
        <v>4232</v>
      </c>
      <c r="O1035" s="140"/>
      <c r="P1035" s="120"/>
    </row>
    <row r="1036" hidden="1">
      <c r="A1036" s="118" t="s">
        <v>4233</v>
      </c>
      <c r="B1036" s="119" t="s">
        <v>4234</v>
      </c>
      <c r="C1036" s="118" t="s">
        <v>4235</v>
      </c>
      <c r="D1036" s="120"/>
      <c r="E1036" s="118" t="s">
        <v>47</v>
      </c>
      <c r="F1036" s="120"/>
      <c r="G1036" s="118" t="s">
        <v>4236</v>
      </c>
      <c r="H1036" s="118" t="s">
        <v>4237</v>
      </c>
      <c r="I1036" s="118" t="s">
        <v>4238</v>
      </c>
      <c r="J1036" s="122" t="s">
        <v>74</v>
      </c>
      <c r="K1036" s="118" t="s">
        <v>25</v>
      </c>
      <c r="L1036" s="118" t="s">
        <v>25</v>
      </c>
      <c r="M1036" s="120"/>
      <c r="N1036" s="120"/>
      <c r="O1036" s="120"/>
      <c r="P1036" s="120"/>
    </row>
    <row r="1037" hidden="1">
      <c r="A1037" s="118" t="s">
        <v>4233</v>
      </c>
      <c r="B1037" s="126"/>
      <c r="C1037" s="118" t="s">
        <v>4239</v>
      </c>
      <c r="D1037" s="120"/>
      <c r="E1037" s="118" t="s">
        <v>47</v>
      </c>
      <c r="F1037" s="120"/>
      <c r="G1037" s="118" t="s">
        <v>4240</v>
      </c>
      <c r="H1037" s="118" t="s">
        <v>4241</v>
      </c>
      <c r="I1037" s="118" t="s">
        <v>4242</v>
      </c>
      <c r="J1037" s="122" t="s">
        <v>74</v>
      </c>
      <c r="K1037" s="118" t="s">
        <v>25</v>
      </c>
      <c r="L1037" s="118" t="s">
        <v>25</v>
      </c>
      <c r="M1037" s="120"/>
      <c r="N1037" s="120"/>
      <c r="O1037" s="120"/>
      <c r="P1037" s="120"/>
    </row>
    <row r="1038" hidden="1">
      <c r="A1038" s="118" t="s">
        <v>4233</v>
      </c>
      <c r="B1038" s="126"/>
      <c r="C1038" s="118" t="s">
        <v>4243</v>
      </c>
      <c r="D1038" s="120"/>
      <c r="E1038" s="118" t="s">
        <v>47</v>
      </c>
      <c r="F1038" s="120"/>
      <c r="G1038" s="118" t="s">
        <v>4244</v>
      </c>
      <c r="H1038" s="118" t="s">
        <v>4245</v>
      </c>
      <c r="I1038" s="118" t="s">
        <v>4246</v>
      </c>
      <c r="J1038" s="122" t="s">
        <v>74</v>
      </c>
      <c r="K1038" s="118" t="s">
        <v>25</v>
      </c>
      <c r="L1038" s="118" t="s">
        <v>25</v>
      </c>
      <c r="M1038" s="120"/>
      <c r="N1038" s="120"/>
      <c r="O1038" s="120"/>
      <c r="P1038" s="120"/>
    </row>
    <row r="1039" hidden="1">
      <c r="A1039" s="118" t="s">
        <v>4233</v>
      </c>
      <c r="B1039" s="126"/>
      <c r="C1039" s="118" t="s">
        <v>4247</v>
      </c>
      <c r="D1039" s="120"/>
      <c r="E1039" s="118" t="s">
        <v>47</v>
      </c>
      <c r="F1039" s="120"/>
      <c r="G1039" s="118" t="s">
        <v>4248</v>
      </c>
      <c r="H1039" s="118" t="s">
        <v>4249</v>
      </c>
      <c r="I1039" s="130" t="s">
        <v>4250</v>
      </c>
      <c r="J1039" s="122" t="s">
        <v>74</v>
      </c>
      <c r="K1039" s="118" t="s">
        <v>25</v>
      </c>
      <c r="L1039" s="118" t="s">
        <v>25</v>
      </c>
      <c r="M1039" s="118" t="s">
        <v>4251</v>
      </c>
      <c r="N1039" s="120"/>
      <c r="O1039" s="120"/>
      <c r="P1039" s="120"/>
    </row>
    <row r="1040" hidden="1">
      <c r="A1040" s="118" t="s">
        <v>4233</v>
      </c>
      <c r="B1040" s="126"/>
      <c r="C1040" s="118" t="s">
        <v>4252</v>
      </c>
      <c r="D1040" s="120"/>
      <c r="E1040" s="118" t="s">
        <v>47</v>
      </c>
      <c r="F1040" s="120"/>
      <c r="G1040" s="118" t="s">
        <v>4253</v>
      </c>
      <c r="H1040" s="118" t="s">
        <v>4249</v>
      </c>
      <c r="I1040" s="130" t="s">
        <v>4254</v>
      </c>
      <c r="J1040" s="122" t="s">
        <v>74</v>
      </c>
      <c r="K1040" s="118" t="s">
        <v>25</v>
      </c>
      <c r="L1040" s="118" t="s">
        <v>25</v>
      </c>
      <c r="M1040" s="120"/>
      <c r="N1040" s="120"/>
      <c r="O1040" s="120"/>
      <c r="P1040" s="120"/>
    </row>
    <row r="1041" hidden="1">
      <c r="A1041" s="118" t="s">
        <v>4233</v>
      </c>
      <c r="B1041" s="126"/>
      <c r="C1041" s="118" t="s">
        <v>4255</v>
      </c>
      <c r="D1041" s="120"/>
      <c r="E1041" s="118" t="s">
        <v>47</v>
      </c>
      <c r="F1041" s="120"/>
      <c r="G1041" s="118" t="s">
        <v>4256</v>
      </c>
      <c r="H1041" s="118" t="s">
        <v>4257</v>
      </c>
      <c r="I1041" s="118" t="s">
        <v>4258</v>
      </c>
      <c r="J1041" s="122" t="s">
        <v>74</v>
      </c>
      <c r="K1041" s="118" t="s">
        <v>25</v>
      </c>
      <c r="L1041" s="118" t="s">
        <v>25</v>
      </c>
      <c r="M1041" s="120"/>
      <c r="N1041" s="120"/>
      <c r="O1041" s="120"/>
      <c r="P1041" s="120"/>
    </row>
    <row r="1042" hidden="1">
      <c r="A1042" s="118" t="s">
        <v>4233</v>
      </c>
      <c r="B1042" s="126"/>
      <c r="C1042" s="118" t="s">
        <v>4259</v>
      </c>
      <c r="D1042" s="120"/>
      <c r="E1042" s="118" t="s">
        <v>47</v>
      </c>
      <c r="F1042" s="120"/>
      <c r="G1042" s="118" t="s">
        <v>4260</v>
      </c>
      <c r="H1042" s="118" t="s">
        <v>4261</v>
      </c>
      <c r="I1042" s="118" t="s">
        <v>4262</v>
      </c>
      <c r="J1042" s="122" t="s">
        <v>74</v>
      </c>
      <c r="K1042" s="118" t="s">
        <v>25</v>
      </c>
      <c r="L1042" s="118" t="s">
        <v>25</v>
      </c>
      <c r="M1042" s="120"/>
      <c r="N1042" s="120"/>
      <c r="O1042" s="120"/>
      <c r="P1042" s="120"/>
    </row>
    <row r="1043" hidden="1">
      <c r="A1043" s="118" t="s">
        <v>4233</v>
      </c>
      <c r="B1043" s="126"/>
      <c r="C1043" s="118" t="s">
        <v>4263</v>
      </c>
      <c r="D1043" s="120"/>
      <c r="E1043" s="118" t="s">
        <v>47</v>
      </c>
      <c r="F1043" s="120"/>
      <c r="G1043" s="130" t="s">
        <v>4264</v>
      </c>
      <c r="H1043" s="118" t="s">
        <v>4265</v>
      </c>
      <c r="I1043" s="118" t="s">
        <v>4262</v>
      </c>
      <c r="J1043" s="122" t="s">
        <v>74</v>
      </c>
      <c r="K1043" s="118" t="s">
        <v>25</v>
      </c>
      <c r="L1043" s="118" t="s">
        <v>25</v>
      </c>
      <c r="M1043" s="120"/>
      <c r="N1043" s="120"/>
      <c r="O1043" s="120"/>
      <c r="P1043" s="120"/>
    </row>
    <row r="1044" hidden="1">
      <c r="A1044" s="118" t="s">
        <v>4233</v>
      </c>
      <c r="B1044" s="126"/>
      <c r="C1044" s="118" t="s">
        <v>4266</v>
      </c>
      <c r="D1044" s="120"/>
      <c r="E1044" s="118" t="s">
        <v>47</v>
      </c>
      <c r="F1044" s="120"/>
      <c r="G1044" s="118" t="s">
        <v>4267</v>
      </c>
      <c r="H1044" s="118" t="s">
        <v>4261</v>
      </c>
      <c r="I1044" s="118" t="s">
        <v>4262</v>
      </c>
      <c r="J1044" s="122" t="s">
        <v>74</v>
      </c>
      <c r="K1044" s="118" t="s">
        <v>25</v>
      </c>
      <c r="L1044" s="118" t="s">
        <v>25</v>
      </c>
      <c r="M1044" s="120"/>
      <c r="N1044" s="120"/>
      <c r="O1044" s="120"/>
      <c r="P1044" s="120"/>
    </row>
    <row r="1045" hidden="1">
      <c r="A1045" s="118" t="s">
        <v>4233</v>
      </c>
      <c r="B1045" s="126"/>
      <c r="C1045" s="118" t="s">
        <v>4268</v>
      </c>
      <c r="D1045" s="120"/>
      <c r="E1045" s="118" t="s">
        <v>47</v>
      </c>
      <c r="F1045" s="120"/>
      <c r="G1045" s="118" t="s">
        <v>4269</v>
      </c>
      <c r="H1045" s="118" t="s">
        <v>4270</v>
      </c>
      <c r="I1045" s="118" t="s">
        <v>4271</v>
      </c>
      <c r="J1045" s="122" t="s">
        <v>74</v>
      </c>
      <c r="K1045" s="118" t="s">
        <v>25</v>
      </c>
      <c r="L1045" s="118" t="s">
        <v>25</v>
      </c>
      <c r="M1045" s="120"/>
      <c r="N1045" s="120"/>
      <c r="O1045" s="120"/>
      <c r="P1045" s="120"/>
    </row>
    <row r="1046" hidden="1">
      <c r="A1046" s="118" t="s">
        <v>4233</v>
      </c>
      <c r="B1046" s="126"/>
      <c r="C1046" s="118" t="s">
        <v>4272</v>
      </c>
      <c r="D1046" s="120"/>
      <c r="E1046" s="118" t="s">
        <v>47</v>
      </c>
      <c r="F1046" s="120"/>
      <c r="G1046" s="118" t="s">
        <v>4273</v>
      </c>
      <c r="H1046" s="118" t="s">
        <v>4274</v>
      </c>
      <c r="I1046" s="118" t="s">
        <v>4275</v>
      </c>
      <c r="J1046" s="122" t="s">
        <v>74</v>
      </c>
      <c r="K1046" s="118" t="s">
        <v>25</v>
      </c>
      <c r="L1046" s="118" t="s">
        <v>25</v>
      </c>
      <c r="M1046" s="120"/>
      <c r="N1046" s="120"/>
      <c r="O1046" s="120"/>
      <c r="P1046" s="120"/>
    </row>
    <row r="1047" hidden="1">
      <c r="A1047" s="118" t="s">
        <v>4233</v>
      </c>
      <c r="B1047" s="126"/>
      <c r="C1047" s="118" t="s">
        <v>4276</v>
      </c>
      <c r="D1047" s="120"/>
      <c r="E1047" s="118" t="s">
        <v>47</v>
      </c>
      <c r="F1047" s="120"/>
      <c r="G1047" s="118" t="s">
        <v>4277</v>
      </c>
      <c r="H1047" s="118" t="s">
        <v>4278</v>
      </c>
      <c r="I1047" s="118" t="s">
        <v>4279</v>
      </c>
      <c r="J1047" s="122" t="s">
        <v>74</v>
      </c>
      <c r="K1047" s="118" t="s">
        <v>25</v>
      </c>
      <c r="L1047" s="118" t="s">
        <v>25</v>
      </c>
      <c r="M1047" s="120"/>
      <c r="N1047" s="120"/>
      <c r="O1047" s="120"/>
      <c r="P1047" s="120"/>
    </row>
    <row r="1048" hidden="1">
      <c r="A1048" s="118" t="s">
        <v>4233</v>
      </c>
      <c r="B1048" s="126"/>
      <c r="C1048" s="118" t="s">
        <v>4280</v>
      </c>
      <c r="D1048" s="120"/>
      <c r="E1048" s="118" t="s">
        <v>47</v>
      </c>
      <c r="F1048" s="120"/>
      <c r="G1048" s="118" t="s">
        <v>4281</v>
      </c>
      <c r="H1048" s="118" t="s">
        <v>4282</v>
      </c>
      <c r="I1048" s="118" t="s">
        <v>4283</v>
      </c>
      <c r="J1048" s="122" t="s">
        <v>74</v>
      </c>
      <c r="K1048" s="118" t="s">
        <v>25</v>
      </c>
      <c r="L1048" s="118" t="s">
        <v>25</v>
      </c>
      <c r="M1048" s="120"/>
      <c r="N1048" s="120"/>
      <c r="O1048" s="120"/>
      <c r="P1048" s="120"/>
    </row>
    <row r="1049" hidden="1">
      <c r="A1049" s="118" t="s">
        <v>4233</v>
      </c>
      <c r="B1049" s="10"/>
      <c r="C1049" s="118" t="s">
        <v>4284</v>
      </c>
      <c r="D1049" s="120"/>
      <c r="E1049" s="118" t="s">
        <v>47</v>
      </c>
      <c r="F1049" s="120"/>
      <c r="G1049" s="118" t="s">
        <v>4285</v>
      </c>
      <c r="H1049" s="118" t="s">
        <v>4286</v>
      </c>
      <c r="I1049" s="118" t="s">
        <v>4287</v>
      </c>
      <c r="J1049" s="122" t="s">
        <v>74</v>
      </c>
      <c r="K1049" s="118" t="s">
        <v>25</v>
      </c>
      <c r="L1049" s="118" t="s">
        <v>25</v>
      </c>
      <c r="M1049" s="120"/>
      <c r="N1049" s="120"/>
      <c r="O1049" s="120"/>
      <c r="P1049" s="120"/>
    </row>
    <row r="1050" hidden="1">
      <c r="A1050" s="118" t="s">
        <v>4288</v>
      </c>
      <c r="B1050" s="167" t="s">
        <v>4289</v>
      </c>
      <c r="C1050" s="118" t="s">
        <v>4290</v>
      </c>
      <c r="D1050" s="120"/>
      <c r="E1050" s="88" t="s">
        <v>39</v>
      </c>
      <c r="F1050" s="120"/>
      <c r="G1050" s="118" t="s">
        <v>4291</v>
      </c>
      <c r="H1050" s="118" t="s">
        <v>4292</v>
      </c>
      <c r="I1050" s="118" t="s">
        <v>4293</v>
      </c>
      <c r="J1050" s="122" t="s">
        <v>74</v>
      </c>
      <c r="K1050" s="118" t="s">
        <v>25</v>
      </c>
      <c r="L1050" s="118" t="s">
        <v>25</v>
      </c>
      <c r="M1050" s="118" t="s">
        <v>4294</v>
      </c>
      <c r="N1050" s="120"/>
      <c r="O1050" s="120"/>
      <c r="P1050" s="120"/>
    </row>
    <row r="1051" hidden="1">
      <c r="A1051" s="118" t="s">
        <v>4288</v>
      </c>
      <c r="B1051" s="126"/>
      <c r="C1051" s="118" t="s">
        <v>4295</v>
      </c>
      <c r="D1051" s="120"/>
      <c r="E1051" s="88" t="s">
        <v>39</v>
      </c>
      <c r="F1051" s="120"/>
      <c r="G1051" s="118" t="s">
        <v>4296</v>
      </c>
      <c r="H1051" s="118" t="s">
        <v>4297</v>
      </c>
      <c r="I1051" s="118" t="s">
        <v>4298</v>
      </c>
      <c r="J1051" s="122" t="s">
        <v>74</v>
      </c>
      <c r="K1051" s="118" t="s">
        <v>25</v>
      </c>
      <c r="L1051" s="118" t="s">
        <v>25</v>
      </c>
      <c r="M1051" s="118" t="s">
        <v>4294</v>
      </c>
      <c r="N1051" s="120"/>
      <c r="O1051" s="120"/>
      <c r="P1051" s="120"/>
    </row>
    <row r="1052" hidden="1">
      <c r="A1052" s="118" t="s">
        <v>4288</v>
      </c>
      <c r="B1052" s="126"/>
      <c r="C1052" s="118" t="s">
        <v>4299</v>
      </c>
      <c r="D1052" s="120"/>
      <c r="E1052" s="88" t="s">
        <v>39</v>
      </c>
      <c r="F1052" s="120"/>
      <c r="G1052" s="118" t="s">
        <v>4300</v>
      </c>
      <c r="H1052" s="118" t="s">
        <v>4301</v>
      </c>
      <c r="I1052" s="118" t="s">
        <v>4302</v>
      </c>
      <c r="J1052" s="122" t="s">
        <v>74</v>
      </c>
      <c r="K1052" s="118" t="s">
        <v>25</v>
      </c>
      <c r="L1052" s="118" t="s">
        <v>25</v>
      </c>
      <c r="M1052" s="118" t="s">
        <v>4294</v>
      </c>
      <c r="N1052" s="120"/>
      <c r="O1052" s="120"/>
      <c r="P1052" s="120"/>
    </row>
    <row r="1053" hidden="1">
      <c r="A1053" s="118" t="s">
        <v>4288</v>
      </c>
      <c r="B1053" s="126"/>
      <c r="C1053" s="118" t="s">
        <v>4303</v>
      </c>
      <c r="D1053" s="120"/>
      <c r="E1053" s="88" t="s">
        <v>39</v>
      </c>
      <c r="F1053" s="120"/>
      <c r="G1053" s="118" t="s">
        <v>4304</v>
      </c>
      <c r="H1053" s="118" t="s">
        <v>4305</v>
      </c>
      <c r="I1053" s="118" t="s">
        <v>4306</v>
      </c>
      <c r="J1053" s="122" t="s">
        <v>74</v>
      </c>
      <c r="K1053" s="118" t="s">
        <v>25</v>
      </c>
      <c r="L1053" s="118" t="s">
        <v>25</v>
      </c>
      <c r="M1053" s="118" t="s">
        <v>4294</v>
      </c>
      <c r="N1053" s="120"/>
      <c r="O1053" s="120"/>
      <c r="P1053" s="120"/>
    </row>
    <row r="1054" hidden="1">
      <c r="A1054" s="118" t="s">
        <v>4288</v>
      </c>
      <c r="B1054" s="126"/>
      <c r="C1054" s="118" t="s">
        <v>4307</v>
      </c>
      <c r="D1054" s="120"/>
      <c r="E1054" s="88" t="s">
        <v>39</v>
      </c>
      <c r="F1054" s="120"/>
      <c r="G1054" s="118" t="s">
        <v>4308</v>
      </c>
      <c r="H1054" s="118" t="s">
        <v>4309</v>
      </c>
      <c r="I1054" s="118" t="s">
        <v>4310</v>
      </c>
      <c r="J1054" s="122" t="s">
        <v>74</v>
      </c>
      <c r="K1054" s="118" t="s">
        <v>25</v>
      </c>
      <c r="L1054" s="118" t="s">
        <v>25</v>
      </c>
      <c r="M1054" s="118" t="s">
        <v>4294</v>
      </c>
      <c r="N1054" s="120"/>
      <c r="O1054" s="120"/>
      <c r="P1054" s="120"/>
    </row>
    <row r="1055" hidden="1">
      <c r="A1055" s="118" t="s">
        <v>4288</v>
      </c>
      <c r="B1055" s="126"/>
      <c r="C1055" s="118" t="s">
        <v>4311</v>
      </c>
      <c r="D1055" s="120"/>
      <c r="E1055" s="88" t="s">
        <v>39</v>
      </c>
      <c r="F1055" s="120"/>
      <c r="G1055" s="118" t="s">
        <v>4312</v>
      </c>
      <c r="H1055" s="118" t="s">
        <v>4313</v>
      </c>
      <c r="I1055" s="118" t="s">
        <v>4314</v>
      </c>
      <c r="J1055" s="122" t="s">
        <v>74</v>
      </c>
      <c r="K1055" s="118" t="s">
        <v>25</v>
      </c>
      <c r="L1055" s="118" t="s">
        <v>25</v>
      </c>
      <c r="M1055" s="118" t="s">
        <v>4294</v>
      </c>
      <c r="N1055" s="120"/>
      <c r="O1055" s="120"/>
      <c r="P1055" s="120"/>
    </row>
    <row r="1056" hidden="1">
      <c r="A1056" s="118" t="s">
        <v>4288</v>
      </c>
      <c r="B1056" s="126"/>
      <c r="C1056" s="118" t="s">
        <v>4315</v>
      </c>
      <c r="D1056" s="120"/>
      <c r="E1056" s="88" t="s">
        <v>39</v>
      </c>
      <c r="F1056" s="120"/>
      <c r="G1056" s="118" t="s">
        <v>4316</v>
      </c>
      <c r="H1056" s="118" t="s">
        <v>4317</v>
      </c>
      <c r="I1056" s="118" t="s">
        <v>4318</v>
      </c>
      <c r="J1056" s="122" t="s">
        <v>74</v>
      </c>
      <c r="K1056" s="118" t="s">
        <v>25</v>
      </c>
      <c r="L1056" s="118" t="s">
        <v>25</v>
      </c>
      <c r="M1056" s="118" t="s">
        <v>4294</v>
      </c>
      <c r="N1056" s="120"/>
      <c r="O1056" s="120"/>
      <c r="P1056" s="120"/>
    </row>
    <row r="1057" hidden="1">
      <c r="A1057" s="118" t="s">
        <v>4288</v>
      </c>
      <c r="B1057" s="10"/>
      <c r="C1057" s="118" t="s">
        <v>4319</v>
      </c>
      <c r="D1057" s="120"/>
      <c r="E1057" s="88" t="s">
        <v>39</v>
      </c>
      <c r="F1057" s="120"/>
      <c r="G1057" s="118" t="s">
        <v>4320</v>
      </c>
      <c r="H1057" s="118" t="s">
        <v>4297</v>
      </c>
      <c r="I1057" s="118" t="s">
        <v>4321</v>
      </c>
      <c r="J1057" s="122" t="s">
        <v>74</v>
      </c>
      <c r="K1057" s="118" t="s">
        <v>25</v>
      </c>
      <c r="L1057" s="118" t="s">
        <v>25</v>
      </c>
      <c r="M1057" s="118" t="s">
        <v>4294</v>
      </c>
      <c r="N1057" s="120"/>
      <c r="O1057" s="120"/>
      <c r="P1057" s="120"/>
    </row>
    <row r="1058" hidden="1">
      <c r="A1058" s="118" t="s">
        <v>4322</v>
      </c>
      <c r="B1058" s="158" t="s">
        <v>4323</v>
      </c>
      <c r="C1058" s="118" t="s">
        <v>4324</v>
      </c>
      <c r="D1058" s="120"/>
      <c r="E1058" s="118" t="s">
        <v>48</v>
      </c>
      <c r="F1058" s="120"/>
      <c r="G1058" s="118" t="s">
        <v>4325</v>
      </c>
      <c r="H1058" s="118" t="s">
        <v>4326</v>
      </c>
      <c r="I1058" s="118" t="s">
        <v>4327</v>
      </c>
      <c r="J1058" s="122" t="s">
        <v>74</v>
      </c>
      <c r="K1058" s="118" t="s">
        <v>25</v>
      </c>
      <c r="L1058" s="118" t="s">
        <v>25</v>
      </c>
      <c r="M1058" s="120"/>
      <c r="N1058" s="120"/>
      <c r="O1058" s="120"/>
      <c r="P1058" s="120"/>
    </row>
    <row r="1059" hidden="1">
      <c r="A1059" s="118" t="s">
        <v>4322</v>
      </c>
      <c r="B1059" s="126"/>
      <c r="C1059" s="118" t="s">
        <v>4328</v>
      </c>
      <c r="D1059" s="120"/>
      <c r="E1059" s="118" t="s">
        <v>48</v>
      </c>
      <c r="F1059" s="120"/>
      <c r="G1059" s="118" t="s">
        <v>4329</v>
      </c>
      <c r="H1059" s="118" t="s">
        <v>4330</v>
      </c>
      <c r="I1059" s="118" t="s">
        <v>4331</v>
      </c>
      <c r="J1059" s="122" t="s">
        <v>74</v>
      </c>
      <c r="K1059" s="118" t="s">
        <v>25</v>
      </c>
      <c r="L1059" s="118" t="s">
        <v>25</v>
      </c>
      <c r="M1059" s="120"/>
      <c r="N1059" s="120"/>
      <c r="O1059" s="120"/>
      <c r="P1059" s="120"/>
    </row>
    <row r="1060" hidden="1">
      <c r="A1060" s="118" t="s">
        <v>4322</v>
      </c>
      <c r="B1060" s="126"/>
      <c r="C1060" s="118" t="s">
        <v>4332</v>
      </c>
      <c r="D1060" s="120"/>
      <c r="E1060" s="118" t="s">
        <v>48</v>
      </c>
      <c r="F1060" s="120"/>
      <c r="G1060" s="118" t="s">
        <v>4333</v>
      </c>
      <c r="H1060" s="118" t="s">
        <v>4334</v>
      </c>
      <c r="I1060" s="118" t="s">
        <v>4335</v>
      </c>
      <c r="J1060" s="122" t="s">
        <v>74</v>
      </c>
      <c r="K1060" s="118" t="s">
        <v>25</v>
      </c>
      <c r="L1060" s="118" t="s">
        <v>25</v>
      </c>
      <c r="M1060" s="120"/>
      <c r="N1060" s="120"/>
      <c r="O1060" s="120"/>
      <c r="P1060" s="120"/>
    </row>
    <row r="1061" hidden="1">
      <c r="A1061" s="118" t="s">
        <v>4322</v>
      </c>
      <c r="B1061" s="126"/>
      <c r="C1061" s="118" t="s">
        <v>4336</v>
      </c>
      <c r="D1061" s="120"/>
      <c r="E1061" s="118" t="s">
        <v>48</v>
      </c>
      <c r="F1061" s="120"/>
      <c r="G1061" s="118" t="s">
        <v>4337</v>
      </c>
      <c r="H1061" s="118" t="s">
        <v>4338</v>
      </c>
      <c r="I1061" s="118" t="s">
        <v>4339</v>
      </c>
      <c r="J1061" s="122" t="s">
        <v>74</v>
      </c>
      <c r="K1061" s="118" t="s">
        <v>25</v>
      </c>
      <c r="L1061" s="118" t="s">
        <v>25</v>
      </c>
      <c r="M1061" s="120"/>
      <c r="N1061" s="120"/>
      <c r="O1061" s="120"/>
      <c r="P1061" s="120"/>
    </row>
    <row r="1062" hidden="1">
      <c r="A1062" s="118" t="s">
        <v>4322</v>
      </c>
      <c r="B1062" s="126"/>
      <c r="C1062" s="118" t="s">
        <v>4340</v>
      </c>
      <c r="D1062" s="120"/>
      <c r="E1062" s="118" t="s">
        <v>48</v>
      </c>
      <c r="F1062" s="120"/>
      <c r="G1062" s="118" t="s">
        <v>4341</v>
      </c>
      <c r="H1062" s="118" t="s">
        <v>4342</v>
      </c>
      <c r="I1062" s="118" t="s">
        <v>4343</v>
      </c>
      <c r="J1062" s="122" t="s">
        <v>74</v>
      </c>
      <c r="K1062" s="118" t="s">
        <v>25</v>
      </c>
      <c r="L1062" s="118" t="s">
        <v>25</v>
      </c>
      <c r="M1062" s="120"/>
      <c r="N1062" s="120"/>
      <c r="O1062" s="120"/>
      <c r="P1062" s="120"/>
    </row>
    <row r="1063" hidden="1">
      <c r="A1063" s="118" t="s">
        <v>4322</v>
      </c>
      <c r="B1063" s="126"/>
      <c r="C1063" s="118" t="s">
        <v>4344</v>
      </c>
      <c r="D1063" s="120"/>
      <c r="E1063" s="118" t="s">
        <v>48</v>
      </c>
      <c r="F1063" s="120"/>
      <c r="G1063" s="118" t="s">
        <v>4345</v>
      </c>
      <c r="H1063" s="118" t="s">
        <v>4346</v>
      </c>
      <c r="I1063" s="118" t="s">
        <v>4347</v>
      </c>
      <c r="J1063" s="122" t="s">
        <v>74</v>
      </c>
      <c r="K1063" s="118" t="s">
        <v>25</v>
      </c>
      <c r="L1063" s="118" t="s">
        <v>25</v>
      </c>
      <c r="M1063" s="120"/>
      <c r="N1063" s="120"/>
      <c r="O1063" s="120"/>
      <c r="P1063" s="120"/>
    </row>
    <row r="1064" hidden="1">
      <c r="A1064" s="118" t="s">
        <v>4322</v>
      </c>
      <c r="B1064" s="126"/>
      <c r="C1064" s="118" t="s">
        <v>4348</v>
      </c>
      <c r="D1064" s="120"/>
      <c r="E1064" s="118" t="s">
        <v>48</v>
      </c>
      <c r="F1064" s="120"/>
      <c r="G1064" s="118" t="s">
        <v>4349</v>
      </c>
      <c r="H1064" s="118" t="s">
        <v>4350</v>
      </c>
      <c r="I1064" s="118" t="s">
        <v>4351</v>
      </c>
      <c r="J1064" s="122" t="s">
        <v>74</v>
      </c>
      <c r="K1064" s="118" t="s">
        <v>25</v>
      </c>
      <c r="L1064" s="118" t="s">
        <v>25</v>
      </c>
      <c r="M1064" s="120"/>
      <c r="N1064" s="120"/>
      <c r="O1064" s="120"/>
      <c r="P1064" s="120"/>
    </row>
    <row r="1065" hidden="1">
      <c r="A1065" s="118" t="s">
        <v>4322</v>
      </c>
      <c r="B1065" s="126"/>
      <c r="C1065" s="118" t="s">
        <v>4352</v>
      </c>
      <c r="D1065" s="120"/>
      <c r="E1065" s="118" t="s">
        <v>48</v>
      </c>
      <c r="F1065" s="120"/>
      <c r="G1065" s="118" t="s">
        <v>4353</v>
      </c>
      <c r="H1065" s="118" t="s">
        <v>4338</v>
      </c>
      <c r="I1065" s="118" t="s">
        <v>4339</v>
      </c>
      <c r="J1065" s="122" t="s">
        <v>74</v>
      </c>
      <c r="K1065" s="118" t="s">
        <v>25</v>
      </c>
      <c r="L1065" s="118" t="s">
        <v>25</v>
      </c>
      <c r="M1065" s="120"/>
      <c r="N1065" s="120"/>
      <c r="O1065" s="120"/>
      <c r="P1065" s="120"/>
    </row>
    <row r="1066" hidden="1">
      <c r="A1066" s="118" t="s">
        <v>4322</v>
      </c>
      <c r="B1066" s="126"/>
      <c r="C1066" s="118" t="s">
        <v>4354</v>
      </c>
      <c r="D1066" s="120"/>
      <c r="E1066" s="118" t="s">
        <v>48</v>
      </c>
      <c r="F1066" s="120"/>
      <c r="G1066" s="118" t="s">
        <v>4341</v>
      </c>
      <c r="H1066" s="118" t="s">
        <v>4342</v>
      </c>
      <c r="I1066" s="118" t="s">
        <v>4343</v>
      </c>
      <c r="J1066" s="122" t="s">
        <v>74</v>
      </c>
      <c r="K1066" s="118" t="s">
        <v>25</v>
      </c>
      <c r="L1066" s="118" t="s">
        <v>25</v>
      </c>
      <c r="M1066" s="120"/>
      <c r="N1066" s="120"/>
      <c r="O1066" s="120"/>
      <c r="P1066" s="120"/>
    </row>
    <row r="1067" hidden="1">
      <c r="A1067" s="118" t="s">
        <v>4322</v>
      </c>
      <c r="B1067" s="126"/>
      <c r="C1067" s="118" t="s">
        <v>4355</v>
      </c>
      <c r="D1067" s="120"/>
      <c r="E1067" s="118" t="s">
        <v>48</v>
      </c>
      <c r="F1067" s="120"/>
      <c r="G1067" s="118" t="s">
        <v>4356</v>
      </c>
      <c r="H1067" s="118" t="s">
        <v>4357</v>
      </c>
      <c r="I1067" s="118" t="s">
        <v>4358</v>
      </c>
      <c r="J1067" s="122" t="s">
        <v>74</v>
      </c>
      <c r="K1067" s="118" t="s">
        <v>25</v>
      </c>
      <c r="L1067" s="118" t="s">
        <v>25</v>
      </c>
      <c r="M1067" s="120"/>
      <c r="N1067" s="120"/>
      <c r="O1067" s="120"/>
      <c r="P1067" s="120"/>
    </row>
    <row r="1068" hidden="1">
      <c r="A1068" s="118" t="s">
        <v>4322</v>
      </c>
      <c r="B1068" s="126"/>
      <c r="C1068" s="118" t="s">
        <v>4359</v>
      </c>
      <c r="D1068" s="120"/>
      <c r="E1068" s="118" t="s">
        <v>48</v>
      </c>
      <c r="F1068" s="120"/>
      <c r="G1068" s="118" t="s">
        <v>4360</v>
      </c>
      <c r="H1068" s="118" t="s">
        <v>4361</v>
      </c>
      <c r="I1068" s="118" t="s">
        <v>4362</v>
      </c>
      <c r="J1068" s="122" t="s">
        <v>74</v>
      </c>
      <c r="K1068" s="118" t="s">
        <v>25</v>
      </c>
      <c r="L1068" s="118" t="s">
        <v>25</v>
      </c>
      <c r="M1068" s="120"/>
      <c r="N1068" s="120"/>
      <c r="O1068" s="120"/>
      <c r="P1068" s="120"/>
    </row>
    <row r="1069" hidden="1">
      <c r="A1069" s="118" t="s">
        <v>4322</v>
      </c>
      <c r="B1069" s="126"/>
      <c r="C1069" s="118" t="s">
        <v>4363</v>
      </c>
      <c r="D1069" s="120"/>
      <c r="E1069" s="118" t="s">
        <v>48</v>
      </c>
      <c r="F1069" s="120"/>
      <c r="G1069" s="118" t="s">
        <v>4364</v>
      </c>
      <c r="H1069" s="118" t="s">
        <v>4365</v>
      </c>
      <c r="I1069" s="118" t="s">
        <v>4366</v>
      </c>
      <c r="J1069" s="122" t="s">
        <v>74</v>
      </c>
      <c r="K1069" s="118" t="s">
        <v>25</v>
      </c>
      <c r="L1069" s="118" t="s">
        <v>25</v>
      </c>
      <c r="M1069" s="120"/>
      <c r="N1069" s="120"/>
      <c r="O1069" s="120"/>
      <c r="P1069" s="120"/>
    </row>
    <row r="1070" hidden="1">
      <c r="A1070" s="118" t="s">
        <v>4322</v>
      </c>
      <c r="B1070" s="126"/>
      <c r="C1070" s="118" t="s">
        <v>4367</v>
      </c>
      <c r="D1070" s="120"/>
      <c r="E1070" s="118" t="s">
        <v>48</v>
      </c>
      <c r="F1070" s="120"/>
      <c r="G1070" s="118" t="s">
        <v>4368</v>
      </c>
      <c r="H1070" s="118" t="s">
        <v>4369</v>
      </c>
      <c r="I1070" s="118" t="s">
        <v>4370</v>
      </c>
      <c r="J1070" s="122" t="s">
        <v>74</v>
      </c>
      <c r="K1070" s="118" t="s">
        <v>25</v>
      </c>
      <c r="L1070" s="118" t="s">
        <v>25</v>
      </c>
      <c r="M1070" s="120"/>
      <c r="N1070" s="120"/>
      <c r="O1070" s="120"/>
      <c r="P1070" s="120"/>
    </row>
    <row r="1071" hidden="1">
      <c r="A1071" s="118" t="s">
        <v>4322</v>
      </c>
      <c r="B1071" s="126"/>
      <c r="C1071" s="118" t="s">
        <v>4371</v>
      </c>
      <c r="D1071" s="120"/>
      <c r="E1071" s="118" t="s">
        <v>48</v>
      </c>
      <c r="F1071" s="120"/>
      <c r="G1071" s="118" t="s">
        <v>4372</v>
      </c>
      <c r="H1071" s="118" t="s">
        <v>4373</v>
      </c>
      <c r="I1071" s="118" t="s">
        <v>4370</v>
      </c>
      <c r="J1071" s="122" t="s">
        <v>74</v>
      </c>
      <c r="K1071" s="118" t="s">
        <v>25</v>
      </c>
      <c r="L1071" s="118" t="s">
        <v>25</v>
      </c>
      <c r="M1071" s="120"/>
      <c r="N1071" s="120"/>
      <c r="O1071" s="120"/>
      <c r="P1071" s="120"/>
    </row>
    <row r="1072" hidden="1">
      <c r="A1072" s="118" t="s">
        <v>4322</v>
      </c>
      <c r="B1072" s="126"/>
      <c r="C1072" s="118" t="s">
        <v>4374</v>
      </c>
      <c r="D1072" s="120"/>
      <c r="E1072" s="118" t="s">
        <v>48</v>
      </c>
      <c r="F1072" s="120"/>
      <c r="G1072" s="118" t="s">
        <v>4375</v>
      </c>
      <c r="H1072" s="118" t="s">
        <v>4376</v>
      </c>
      <c r="I1072" s="118" t="s">
        <v>4377</v>
      </c>
      <c r="J1072" s="122" t="s">
        <v>74</v>
      </c>
      <c r="K1072" s="118" t="s">
        <v>25</v>
      </c>
      <c r="L1072" s="118" t="s">
        <v>25</v>
      </c>
      <c r="M1072" s="120"/>
      <c r="N1072" s="120"/>
      <c r="O1072" s="120"/>
      <c r="P1072" s="120"/>
    </row>
    <row r="1073" hidden="1">
      <c r="A1073" s="118" t="s">
        <v>4322</v>
      </c>
      <c r="B1073" s="10"/>
      <c r="C1073" s="118" t="s">
        <v>4367</v>
      </c>
      <c r="D1073" s="120"/>
      <c r="E1073" s="118" t="s">
        <v>48</v>
      </c>
      <c r="F1073" s="120"/>
      <c r="G1073" s="118" t="s">
        <v>4368</v>
      </c>
      <c r="H1073" s="118" t="s">
        <v>4378</v>
      </c>
      <c r="I1073" s="118" t="s">
        <v>4370</v>
      </c>
      <c r="J1073" s="122" t="s">
        <v>74</v>
      </c>
      <c r="K1073" s="118" t="s">
        <v>25</v>
      </c>
      <c r="L1073" s="118" t="s">
        <v>25</v>
      </c>
      <c r="M1073" s="120"/>
      <c r="N1073" s="120"/>
      <c r="O1073" s="120"/>
      <c r="P1073" s="120"/>
    </row>
    <row r="1074" hidden="1">
      <c r="A1074" s="118" t="s">
        <v>4379</v>
      </c>
      <c r="B1074" s="158" t="s">
        <v>4380</v>
      </c>
      <c r="C1074" s="118" t="s">
        <v>4381</v>
      </c>
      <c r="D1074" s="120"/>
      <c r="E1074" s="118" t="s">
        <v>49</v>
      </c>
      <c r="F1074" s="118" t="s">
        <v>4382</v>
      </c>
      <c r="G1074" s="118" t="s">
        <v>3480</v>
      </c>
      <c r="H1074" s="118" t="s">
        <v>4383</v>
      </c>
      <c r="I1074" s="118" t="s">
        <v>4384</v>
      </c>
      <c r="J1074" s="122" t="s">
        <v>74</v>
      </c>
      <c r="K1074" s="118" t="s">
        <v>25</v>
      </c>
      <c r="L1074" s="118" t="s">
        <v>25</v>
      </c>
      <c r="M1074" s="120"/>
      <c r="N1074" s="120"/>
      <c r="O1074" s="120"/>
      <c r="P1074" s="120"/>
    </row>
    <row r="1075" hidden="1">
      <c r="A1075" s="118" t="s">
        <v>4379</v>
      </c>
      <c r="B1075" s="126"/>
      <c r="C1075" s="118" t="s">
        <v>4385</v>
      </c>
      <c r="D1075" s="120"/>
      <c r="E1075" s="118" t="s">
        <v>49</v>
      </c>
      <c r="F1075" s="120"/>
      <c r="G1075" s="118" t="s">
        <v>4386</v>
      </c>
      <c r="H1075" s="118" t="s">
        <v>4387</v>
      </c>
      <c r="I1075" s="118" t="s">
        <v>4388</v>
      </c>
      <c r="J1075" s="122" t="s">
        <v>74</v>
      </c>
      <c r="K1075" s="118" t="s">
        <v>25</v>
      </c>
      <c r="L1075" s="118" t="s">
        <v>25</v>
      </c>
      <c r="M1075" s="120"/>
      <c r="N1075" s="120"/>
      <c r="O1075" s="120"/>
      <c r="P1075" s="120"/>
    </row>
    <row r="1076" hidden="1">
      <c r="A1076" s="118" t="s">
        <v>4379</v>
      </c>
      <c r="B1076" s="126"/>
      <c r="C1076" s="118" t="s">
        <v>4389</v>
      </c>
      <c r="D1076" s="120"/>
      <c r="E1076" s="118" t="s">
        <v>49</v>
      </c>
      <c r="F1076" s="120"/>
      <c r="G1076" s="118" t="s">
        <v>4390</v>
      </c>
      <c r="H1076" s="118" t="s">
        <v>4391</v>
      </c>
      <c r="I1076" s="118" t="s">
        <v>4392</v>
      </c>
      <c r="J1076" s="122" t="s">
        <v>74</v>
      </c>
      <c r="K1076" s="118" t="s">
        <v>25</v>
      </c>
      <c r="L1076" s="118" t="s">
        <v>25</v>
      </c>
      <c r="M1076" s="120"/>
      <c r="N1076" s="120"/>
      <c r="O1076" s="120"/>
      <c r="P1076" s="120"/>
    </row>
    <row r="1077" hidden="1">
      <c r="A1077" s="118" t="s">
        <v>4379</v>
      </c>
      <c r="B1077" s="126"/>
      <c r="C1077" s="118" t="s">
        <v>4393</v>
      </c>
      <c r="D1077" s="120"/>
      <c r="E1077" s="118" t="s">
        <v>49</v>
      </c>
      <c r="F1077" s="120"/>
      <c r="G1077" s="118" t="s">
        <v>4394</v>
      </c>
      <c r="H1077" s="118" t="s">
        <v>4395</v>
      </c>
      <c r="I1077" s="118" t="s">
        <v>4396</v>
      </c>
      <c r="J1077" s="122" t="s">
        <v>74</v>
      </c>
      <c r="K1077" s="118" t="s">
        <v>25</v>
      </c>
      <c r="L1077" s="118" t="s">
        <v>25</v>
      </c>
      <c r="M1077" s="120"/>
      <c r="N1077" s="120"/>
      <c r="O1077" s="120"/>
      <c r="P1077" s="120"/>
    </row>
    <row r="1078" hidden="1">
      <c r="A1078" s="118" t="s">
        <v>4379</v>
      </c>
      <c r="B1078" s="126"/>
      <c r="C1078" s="118" t="s">
        <v>4397</v>
      </c>
      <c r="D1078" s="120"/>
      <c r="E1078" s="118" t="s">
        <v>49</v>
      </c>
      <c r="F1078" s="120"/>
      <c r="G1078" s="118" t="s">
        <v>4398</v>
      </c>
      <c r="H1078" s="118" t="s">
        <v>4399</v>
      </c>
      <c r="I1078" s="118" t="s">
        <v>4400</v>
      </c>
      <c r="J1078" s="122" t="s">
        <v>74</v>
      </c>
      <c r="K1078" s="118" t="s">
        <v>25</v>
      </c>
      <c r="L1078" s="118" t="s">
        <v>25</v>
      </c>
      <c r="M1078" s="120"/>
      <c r="N1078" s="120"/>
      <c r="O1078" s="120"/>
      <c r="P1078" s="120"/>
    </row>
    <row r="1079" hidden="1">
      <c r="A1079" s="118" t="s">
        <v>4379</v>
      </c>
      <c r="B1079" s="126"/>
      <c r="C1079" s="118" t="s">
        <v>4401</v>
      </c>
      <c r="D1079" s="120"/>
      <c r="E1079" s="118" t="s">
        <v>49</v>
      </c>
      <c r="F1079" s="120"/>
      <c r="G1079" s="118" t="s">
        <v>4402</v>
      </c>
      <c r="H1079" s="118" t="s">
        <v>4403</v>
      </c>
      <c r="I1079" s="118" t="s">
        <v>4404</v>
      </c>
      <c r="J1079" s="122" t="s">
        <v>74</v>
      </c>
      <c r="K1079" s="118" t="s">
        <v>25</v>
      </c>
      <c r="L1079" s="118" t="s">
        <v>25</v>
      </c>
      <c r="M1079" s="120"/>
      <c r="N1079" s="120"/>
      <c r="O1079" s="120"/>
      <c r="P1079" s="120"/>
    </row>
    <row r="1080" hidden="1">
      <c r="A1080" s="118" t="s">
        <v>4379</v>
      </c>
      <c r="B1080" s="126"/>
      <c r="C1080" s="118" t="s">
        <v>4405</v>
      </c>
      <c r="D1080" s="120"/>
      <c r="E1080" s="118" t="s">
        <v>49</v>
      </c>
      <c r="F1080" s="120"/>
      <c r="G1080" s="118" t="s">
        <v>4406</v>
      </c>
      <c r="H1080" s="118" t="s">
        <v>4407</v>
      </c>
      <c r="I1080" s="118" t="s">
        <v>4408</v>
      </c>
      <c r="J1080" s="122" t="s">
        <v>74</v>
      </c>
      <c r="K1080" s="118" t="s">
        <v>25</v>
      </c>
      <c r="L1080" s="118" t="s">
        <v>25</v>
      </c>
      <c r="M1080" s="120"/>
      <c r="N1080" s="120"/>
      <c r="O1080" s="120"/>
      <c r="P1080" s="120"/>
    </row>
    <row r="1081" hidden="1">
      <c r="A1081" s="118" t="s">
        <v>4379</v>
      </c>
      <c r="B1081" s="126"/>
      <c r="C1081" s="118" t="s">
        <v>4409</v>
      </c>
      <c r="D1081" s="120"/>
      <c r="E1081" s="118" t="s">
        <v>49</v>
      </c>
      <c r="F1081" s="120"/>
      <c r="G1081" s="118" t="s">
        <v>4410</v>
      </c>
      <c r="H1081" s="118" t="s">
        <v>4391</v>
      </c>
      <c r="I1081" s="118" t="s">
        <v>4392</v>
      </c>
      <c r="J1081" s="122" t="s">
        <v>74</v>
      </c>
      <c r="K1081" s="118" t="s">
        <v>25</v>
      </c>
      <c r="L1081" s="118" t="s">
        <v>25</v>
      </c>
      <c r="M1081" s="120"/>
      <c r="N1081" s="120"/>
      <c r="O1081" s="120"/>
      <c r="P1081" s="120"/>
    </row>
    <row r="1082" hidden="1">
      <c r="A1082" s="118" t="s">
        <v>4379</v>
      </c>
      <c r="B1082" s="126"/>
      <c r="C1082" s="118" t="s">
        <v>4411</v>
      </c>
      <c r="D1082" s="120"/>
      <c r="E1082" s="118" t="s">
        <v>49</v>
      </c>
      <c r="F1082" s="120"/>
      <c r="G1082" s="118" t="s">
        <v>4394</v>
      </c>
      <c r="H1082" s="118" t="s">
        <v>4395</v>
      </c>
      <c r="I1082" s="118" t="s">
        <v>4396</v>
      </c>
      <c r="J1082" s="122" t="s">
        <v>74</v>
      </c>
      <c r="K1082" s="118" t="s">
        <v>25</v>
      </c>
      <c r="L1082" s="118" t="s">
        <v>25</v>
      </c>
      <c r="M1082" s="120"/>
      <c r="N1082" s="120"/>
      <c r="O1082" s="120"/>
      <c r="P1082" s="120"/>
    </row>
    <row r="1083" hidden="1">
      <c r="A1083" s="118" t="s">
        <v>4379</v>
      </c>
      <c r="B1083" s="126"/>
      <c r="C1083" s="118" t="s">
        <v>4412</v>
      </c>
      <c r="D1083" s="120"/>
      <c r="E1083" s="118" t="s">
        <v>49</v>
      </c>
      <c r="F1083" s="120"/>
      <c r="G1083" s="118" t="s">
        <v>4398</v>
      </c>
      <c r="H1083" s="118" t="s">
        <v>4399</v>
      </c>
      <c r="I1083" s="118" t="s">
        <v>4413</v>
      </c>
      <c r="J1083" s="122" t="s">
        <v>74</v>
      </c>
      <c r="K1083" s="118" t="s">
        <v>25</v>
      </c>
      <c r="L1083" s="118" t="s">
        <v>25</v>
      </c>
      <c r="M1083" s="120"/>
      <c r="N1083" s="120"/>
      <c r="O1083" s="120"/>
      <c r="P1083" s="120"/>
    </row>
    <row r="1084" hidden="1">
      <c r="A1084" s="118" t="s">
        <v>4379</v>
      </c>
      <c r="B1084" s="126"/>
      <c r="C1084" s="118" t="s">
        <v>4414</v>
      </c>
      <c r="D1084" s="120"/>
      <c r="E1084" s="118" t="s">
        <v>49</v>
      </c>
      <c r="F1084" s="120"/>
      <c r="G1084" s="118" t="s">
        <v>4415</v>
      </c>
      <c r="H1084" s="118" t="s">
        <v>4416</v>
      </c>
      <c r="I1084" s="118" t="s">
        <v>4417</v>
      </c>
      <c r="J1084" s="122" t="s">
        <v>74</v>
      </c>
      <c r="K1084" s="118" t="s">
        <v>25</v>
      </c>
      <c r="L1084" s="118" t="s">
        <v>25</v>
      </c>
      <c r="M1084" s="120"/>
      <c r="N1084" s="120"/>
      <c r="O1084" s="120"/>
      <c r="P1084" s="120"/>
    </row>
    <row r="1085" hidden="1">
      <c r="A1085" s="118" t="s">
        <v>4379</v>
      </c>
      <c r="B1085" s="126"/>
      <c r="C1085" s="118" t="s">
        <v>4418</v>
      </c>
      <c r="D1085" s="120"/>
      <c r="E1085" s="118" t="s">
        <v>49</v>
      </c>
      <c r="F1085" s="120"/>
      <c r="G1085" s="118" t="s">
        <v>4419</v>
      </c>
      <c r="H1085" s="118" t="s">
        <v>4420</v>
      </c>
      <c r="I1085" s="118" t="s">
        <v>4421</v>
      </c>
      <c r="J1085" s="122" t="s">
        <v>74</v>
      </c>
      <c r="K1085" s="118" t="s">
        <v>25</v>
      </c>
      <c r="L1085" s="118" t="s">
        <v>25</v>
      </c>
      <c r="M1085" s="120"/>
      <c r="N1085" s="120"/>
      <c r="O1085" s="120"/>
      <c r="P1085" s="120"/>
    </row>
    <row r="1086" hidden="1">
      <c r="A1086" s="118" t="s">
        <v>4379</v>
      </c>
      <c r="B1086" s="10"/>
      <c r="C1086" s="118" t="s">
        <v>4422</v>
      </c>
      <c r="D1086" s="120"/>
      <c r="E1086" s="118" t="s">
        <v>49</v>
      </c>
      <c r="F1086" s="120"/>
      <c r="G1086" s="118" t="s">
        <v>4423</v>
      </c>
      <c r="H1086" s="118" t="s">
        <v>4424</v>
      </c>
      <c r="I1086" s="118" t="s">
        <v>4425</v>
      </c>
      <c r="J1086" s="122" t="s">
        <v>74</v>
      </c>
      <c r="K1086" s="118" t="s">
        <v>25</v>
      </c>
      <c r="L1086" s="118" t="s">
        <v>25</v>
      </c>
      <c r="M1086" s="120"/>
      <c r="N1086" s="120"/>
      <c r="O1086" s="120"/>
      <c r="P1086" s="120"/>
    </row>
    <row r="1087" hidden="1">
      <c r="A1087" s="118" t="s">
        <v>4426</v>
      </c>
      <c r="B1087" s="168" t="s">
        <v>4427</v>
      </c>
      <c r="C1087" s="118" t="s">
        <v>4428</v>
      </c>
      <c r="D1087" s="120"/>
      <c r="E1087" s="118" t="s">
        <v>50</v>
      </c>
      <c r="F1087" s="120"/>
      <c r="G1087" s="118" t="s">
        <v>4429</v>
      </c>
      <c r="H1087" s="118" t="s">
        <v>4430</v>
      </c>
      <c r="I1087" s="118" t="s">
        <v>4431</v>
      </c>
      <c r="J1087" s="122" t="s">
        <v>74</v>
      </c>
      <c r="K1087" s="118" t="s">
        <v>25</v>
      </c>
      <c r="L1087" s="118" t="s">
        <v>25</v>
      </c>
      <c r="M1087" s="120"/>
      <c r="N1087" s="120"/>
      <c r="O1087" s="120"/>
      <c r="P1087" s="120"/>
    </row>
    <row r="1088" hidden="1">
      <c r="A1088" s="118" t="s">
        <v>4426</v>
      </c>
      <c r="B1088" s="126"/>
      <c r="C1088" s="118" t="s">
        <v>4432</v>
      </c>
      <c r="D1088" s="169"/>
      <c r="E1088" s="118" t="s">
        <v>50</v>
      </c>
      <c r="F1088" s="120"/>
      <c r="G1088" s="118" t="s">
        <v>4433</v>
      </c>
      <c r="H1088" s="118" t="s">
        <v>4434</v>
      </c>
      <c r="I1088" s="118" t="s">
        <v>4435</v>
      </c>
      <c r="J1088" s="122" t="s">
        <v>74</v>
      </c>
      <c r="K1088" s="118" t="s">
        <v>25</v>
      </c>
      <c r="L1088" s="118" t="s">
        <v>25</v>
      </c>
      <c r="M1088" s="120"/>
      <c r="N1088" s="120"/>
      <c r="O1088" s="120"/>
      <c r="P1088" s="120"/>
    </row>
    <row r="1089" hidden="1">
      <c r="A1089" s="118" t="s">
        <v>4426</v>
      </c>
      <c r="B1089" s="126"/>
      <c r="C1089" s="118" t="s">
        <v>4436</v>
      </c>
      <c r="D1089" s="120"/>
      <c r="E1089" s="118" t="s">
        <v>50</v>
      </c>
      <c r="F1089" s="120"/>
      <c r="G1089" s="118" t="s">
        <v>4437</v>
      </c>
      <c r="H1089" s="118" t="s">
        <v>4438</v>
      </c>
      <c r="I1089" s="118" t="s">
        <v>4439</v>
      </c>
      <c r="J1089" s="122" t="s">
        <v>74</v>
      </c>
      <c r="K1089" s="118" t="s">
        <v>25</v>
      </c>
      <c r="L1089" s="118" t="s">
        <v>25</v>
      </c>
      <c r="M1089" s="120"/>
      <c r="N1089" s="120"/>
      <c r="O1089" s="120"/>
      <c r="P1089" s="120"/>
    </row>
    <row r="1090" hidden="1">
      <c r="A1090" s="118" t="s">
        <v>4426</v>
      </c>
      <c r="B1090" s="126"/>
      <c r="C1090" s="118" t="s">
        <v>4440</v>
      </c>
      <c r="D1090" s="120"/>
      <c r="E1090" s="118" t="s">
        <v>50</v>
      </c>
      <c r="F1090" s="120"/>
      <c r="G1090" s="118" t="s">
        <v>4441</v>
      </c>
      <c r="H1090" s="118" t="s">
        <v>4438</v>
      </c>
      <c r="I1090" s="118" t="s">
        <v>4442</v>
      </c>
      <c r="J1090" s="122" t="s">
        <v>74</v>
      </c>
      <c r="K1090" s="118" t="s">
        <v>25</v>
      </c>
      <c r="L1090" s="118" t="s">
        <v>25</v>
      </c>
      <c r="M1090" s="120"/>
      <c r="N1090" s="120"/>
      <c r="O1090" s="120"/>
      <c r="P1090" s="120"/>
    </row>
    <row r="1091" hidden="1">
      <c r="A1091" s="118" t="s">
        <v>4426</v>
      </c>
      <c r="B1091" s="126"/>
      <c r="C1091" s="118" t="s">
        <v>4443</v>
      </c>
      <c r="D1091" s="120"/>
      <c r="E1091" s="118" t="s">
        <v>50</v>
      </c>
      <c r="F1091" s="120"/>
      <c r="G1091" s="118" t="s">
        <v>4444</v>
      </c>
      <c r="H1091" s="118" t="s">
        <v>4445</v>
      </c>
      <c r="I1091" s="118" t="s">
        <v>4446</v>
      </c>
      <c r="J1091" s="122" t="s">
        <v>74</v>
      </c>
      <c r="K1091" s="118" t="s">
        <v>25</v>
      </c>
      <c r="L1091" s="118" t="s">
        <v>25</v>
      </c>
      <c r="M1091" s="120"/>
      <c r="N1091" s="120"/>
      <c r="O1091" s="120"/>
      <c r="P1091" s="120"/>
    </row>
    <row r="1092" hidden="1">
      <c r="A1092" s="118" t="s">
        <v>4426</v>
      </c>
      <c r="B1092" s="126"/>
      <c r="C1092" s="118" t="s">
        <v>4447</v>
      </c>
      <c r="D1092" s="120"/>
      <c r="E1092" s="118" t="s">
        <v>50</v>
      </c>
      <c r="F1092" s="120"/>
      <c r="G1092" s="118" t="s">
        <v>4448</v>
      </c>
      <c r="H1092" s="118" t="s">
        <v>4449</v>
      </c>
      <c r="I1092" s="118" t="s">
        <v>4450</v>
      </c>
      <c r="J1092" s="122" t="s">
        <v>74</v>
      </c>
      <c r="K1092" s="118" t="s">
        <v>25</v>
      </c>
      <c r="L1092" s="118" t="s">
        <v>25</v>
      </c>
      <c r="M1092" s="120"/>
      <c r="N1092" s="120"/>
      <c r="O1092" s="120"/>
      <c r="P1092" s="120"/>
    </row>
    <row r="1093" hidden="1">
      <c r="A1093" s="118" t="s">
        <v>4426</v>
      </c>
      <c r="B1093" s="126"/>
      <c r="C1093" s="118" t="s">
        <v>4451</v>
      </c>
      <c r="D1093" s="120"/>
      <c r="E1093" s="118" t="s">
        <v>50</v>
      </c>
      <c r="F1093" s="120"/>
      <c r="G1093" s="118" t="s">
        <v>4452</v>
      </c>
      <c r="H1093" s="118" t="s">
        <v>4453</v>
      </c>
      <c r="I1093" s="118" t="s">
        <v>4454</v>
      </c>
      <c r="J1093" s="122" t="s">
        <v>74</v>
      </c>
      <c r="K1093" s="118" t="s">
        <v>25</v>
      </c>
      <c r="L1093" s="118" t="s">
        <v>25</v>
      </c>
      <c r="M1093" s="120"/>
      <c r="N1093" s="120"/>
      <c r="O1093" s="120"/>
      <c r="P1093" s="120"/>
    </row>
    <row r="1094" hidden="1">
      <c r="A1094" s="118" t="s">
        <v>4426</v>
      </c>
      <c r="B1094" s="126"/>
      <c r="C1094" s="118" t="s">
        <v>4455</v>
      </c>
      <c r="D1094" s="120"/>
      <c r="E1094" s="118" t="s">
        <v>50</v>
      </c>
      <c r="F1094" s="120"/>
      <c r="G1094" s="118" t="s">
        <v>4456</v>
      </c>
      <c r="H1094" s="118" t="s">
        <v>4457</v>
      </c>
      <c r="I1094" s="118" t="s">
        <v>4458</v>
      </c>
      <c r="J1094" s="122" t="s">
        <v>74</v>
      </c>
      <c r="K1094" s="118" t="s">
        <v>25</v>
      </c>
      <c r="L1094" s="118" t="s">
        <v>25</v>
      </c>
      <c r="M1094" s="120"/>
      <c r="N1094" s="120"/>
      <c r="O1094" s="120"/>
      <c r="P1094" s="120"/>
    </row>
    <row r="1095" hidden="1">
      <c r="A1095" s="118" t="s">
        <v>4426</v>
      </c>
      <c r="B1095" s="126"/>
      <c r="C1095" s="118" t="s">
        <v>4459</v>
      </c>
      <c r="D1095" s="120"/>
      <c r="E1095" s="118" t="s">
        <v>50</v>
      </c>
      <c r="F1095" s="120"/>
      <c r="G1095" s="118" t="s">
        <v>4460</v>
      </c>
      <c r="H1095" s="118" t="s">
        <v>4461</v>
      </c>
      <c r="I1095" s="118" t="s">
        <v>4462</v>
      </c>
      <c r="J1095" s="122" t="s">
        <v>74</v>
      </c>
      <c r="K1095" s="118" t="s">
        <v>25</v>
      </c>
      <c r="L1095" s="118" t="s">
        <v>25</v>
      </c>
      <c r="M1095" s="120"/>
      <c r="N1095" s="120"/>
      <c r="O1095" s="120"/>
      <c r="P1095" s="120"/>
    </row>
    <row r="1096" hidden="1">
      <c r="A1096" s="118" t="s">
        <v>4426</v>
      </c>
      <c r="B1096" s="126"/>
      <c r="C1096" s="118" t="s">
        <v>4463</v>
      </c>
      <c r="D1096" s="120"/>
      <c r="E1096" s="118" t="s">
        <v>50</v>
      </c>
      <c r="F1096" s="120"/>
      <c r="G1096" s="130" t="s">
        <v>4464</v>
      </c>
      <c r="H1096" s="118" t="s">
        <v>4465</v>
      </c>
      <c r="I1096" s="118" t="s">
        <v>4466</v>
      </c>
      <c r="J1096" s="122" t="s">
        <v>74</v>
      </c>
      <c r="K1096" s="118" t="s">
        <v>25</v>
      </c>
      <c r="L1096" s="118" t="s">
        <v>25</v>
      </c>
      <c r="M1096" s="120"/>
      <c r="N1096" s="120"/>
      <c r="O1096" s="120"/>
      <c r="P1096" s="120"/>
    </row>
    <row r="1097" hidden="1">
      <c r="A1097" s="118" t="s">
        <v>4426</v>
      </c>
      <c r="B1097" s="126"/>
      <c r="C1097" s="118" t="s">
        <v>4467</v>
      </c>
      <c r="D1097" s="120"/>
      <c r="E1097" s="118" t="s">
        <v>50</v>
      </c>
      <c r="F1097" s="120"/>
      <c r="G1097" s="118" t="s">
        <v>4468</v>
      </c>
      <c r="H1097" s="118" t="s">
        <v>4469</v>
      </c>
      <c r="I1097" s="118" t="s">
        <v>4470</v>
      </c>
      <c r="J1097" s="122" t="s">
        <v>74</v>
      </c>
      <c r="K1097" s="118" t="s">
        <v>25</v>
      </c>
      <c r="L1097" s="118" t="s">
        <v>25</v>
      </c>
      <c r="M1097" s="120"/>
      <c r="N1097" s="120"/>
      <c r="O1097" s="120"/>
      <c r="P1097" s="120"/>
    </row>
    <row r="1098" hidden="1">
      <c r="A1098" s="118" t="s">
        <v>4426</v>
      </c>
      <c r="B1098" s="126"/>
      <c r="C1098" s="118" t="s">
        <v>4471</v>
      </c>
      <c r="D1098" s="120"/>
      <c r="E1098" s="118" t="s">
        <v>50</v>
      </c>
      <c r="F1098" s="120"/>
      <c r="G1098" s="118" t="s">
        <v>4472</v>
      </c>
      <c r="H1098" s="118" t="s">
        <v>4473</v>
      </c>
      <c r="I1098" s="118" t="s">
        <v>4474</v>
      </c>
      <c r="J1098" s="122" t="s">
        <v>74</v>
      </c>
      <c r="K1098" s="118" t="s">
        <v>25</v>
      </c>
      <c r="L1098" s="118" t="s">
        <v>25</v>
      </c>
      <c r="M1098" s="120"/>
      <c r="N1098" s="120"/>
      <c r="O1098" s="120"/>
      <c r="P1098" s="120"/>
    </row>
    <row r="1099" hidden="1">
      <c r="A1099" s="118" t="s">
        <v>4426</v>
      </c>
      <c r="B1099" s="126"/>
      <c r="C1099" s="118" t="s">
        <v>4475</v>
      </c>
      <c r="D1099" s="120"/>
      <c r="E1099" s="118" t="s">
        <v>50</v>
      </c>
      <c r="F1099" s="120"/>
      <c r="G1099" s="118" t="s">
        <v>4476</v>
      </c>
      <c r="H1099" s="120"/>
      <c r="I1099" s="120"/>
      <c r="J1099" s="122" t="s">
        <v>74</v>
      </c>
      <c r="K1099" s="118" t="s">
        <v>25</v>
      </c>
      <c r="L1099" s="118" t="s">
        <v>25</v>
      </c>
      <c r="M1099" s="120"/>
      <c r="N1099" s="120"/>
      <c r="O1099" s="120"/>
      <c r="P1099" s="120"/>
    </row>
    <row r="1100" hidden="1">
      <c r="A1100" s="118" t="s">
        <v>4426</v>
      </c>
      <c r="B1100" s="126"/>
      <c r="C1100" s="118" t="s">
        <v>4477</v>
      </c>
      <c r="D1100" s="120"/>
      <c r="E1100" s="118" t="s">
        <v>50</v>
      </c>
      <c r="F1100" s="120"/>
      <c r="G1100" s="118" t="s">
        <v>4478</v>
      </c>
      <c r="H1100" s="118" t="s">
        <v>4479</v>
      </c>
      <c r="I1100" s="118" t="s">
        <v>4480</v>
      </c>
      <c r="J1100" s="122" t="s">
        <v>74</v>
      </c>
      <c r="K1100" s="118" t="s">
        <v>25</v>
      </c>
      <c r="L1100" s="118" t="s">
        <v>25</v>
      </c>
      <c r="M1100" s="120"/>
      <c r="N1100" s="120"/>
      <c r="O1100" s="120"/>
      <c r="P1100" s="120"/>
    </row>
    <row r="1101" hidden="1">
      <c r="A1101" s="118" t="s">
        <v>4426</v>
      </c>
      <c r="B1101" s="126"/>
      <c r="C1101" s="118" t="s">
        <v>4481</v>
      </c>
      <c r="D1101" s="120"/>
      <c r="E1101" s="118" t="s">
        <v>50</v>
      </c>
      <c r="F1101" s="120"/>
      <c r="G1101" s="118" t="s">
        <v>4482</v>
      </c>
      <c r="H1101" s="118" t="s">
        <v>4483</v>
      </c>
      <c r="I1101" s="118" t="s">
        <v>4484</v>
      </c>
      <c r="J1101" s="122" t="s">
        <v>74</v>
      </c>
      <c r="K1101" s="118" t="s">
        <v>25</v>
      </c>
      <c r="L1101" s="118" t="s">
        <v>25</v>
      </c>
      <c r="M1101" s="120"/>
      <c r="N1101" s="120"/>
      <c r="O1101" s="120"/>
      <c r="P1101" s="120"/>
    </row>
    <row r="1102" hidden="1">
      <c r="A1102" s="118" t="s">
        <v>4426</v>
      </c>
      <c r="B1102" s="126"/>
      <c r="C1102" s="118" t="s">
        <v>4485</v>
      </c>
      <c r="D1102" s="120"/>
      <c r="E1102" s="118" t="s">
        <v>50</v>
      </c>
      <c r="F1102" s="120"/>
      <c r="G1102" s="130" t="s">
        <v>4486</v>
      </c>
      <c r="H1102" s="118" t="s">
        <v>4487</v>
      </c>
      <c r="I1102" s="118" t="s">
        <v>4488</v>
      </c>
      <c r="J1102" s="122" t="s">
        <v>74</v>
      </c>
      <c r="K1102" s="118" t="s">
        <v>25</v>
      </c>
      <c r="L1102" s="118" t="s">
        <v>25</v>
      </c>
      <c r="M1102" s="120"/>
      <c r="N1102" s="120"/>
      <c r="O1102" s="120"/>
      <c r="P1102" s="120"/>
    </row>
    <row r="1103" hidden="1">
      <c r="A1103" s="118" t="s">
        <v>4426</v>
      </c>
      <c r="B1103" s="126"/>
      <c r="C1103" s="118" t="s">
        <v>4489</v>
      </c>
      <c r="D1103" s="120"/>
      <c r="E1103" s="118" t="s">
        <v>50</v>
      </c>
      <c r="F1103" s="120"/>
      <c r="G1103" s="130" t="s">
        <v>4490</v>
      </c>
      <c r="H1103" s="118" t="s">
        <v>4491</v>
      </c>
      <c r="I1103" s="118" t="s">
        <v>4492</v>
      </c>
      <c r="J1103" s="122" t="s">
        <v>74</v>
      </c>
      <c r="K1103" s="118" t="s">
        <v>25</v>
      </c>
      <c r="L1103" s="118" t="s">
        <v>25</v>
      </c>
      <c r="M1103" s="120"/>
      <c r="N1103" s="120"/>
      <c r="O1103" s="120"/>
      <c r="P1103" s="120"/>
    </row>
    <row r="1104" hidden="1">
      <c r="A1104" s="118" t="s">
        <v>4426</v>
      </c>
      <c r="B1104" s="126"/>
      <c r="C1104" s="118" t="s">
        <v>4493</v>
      </c>
      <c r="D1104" s="120"/>
      <c r="E1104" s="118" t="s">
        <v>50</v>
      </c>
      <c r="F1104" s="120"/>
      <c r="G1104" s="130" t="s">
        <v>4494</v>
      </c>
      <c r="H1104" s="118" t="s">
        <v>4495</v>
      </c>
      <c r="I1104" s="118" t="s">
        <v>4496</v>
      </c>
      <c r="J1104" s="122" t="s">
        <v>74</v>
      </c>
      <c r="K1104" s="118" t="s">
        <v>25</v>
      </c>
      <c r="L1104" s="118" t="s">
        <v>25</v>
      </c>
      <c r="M1104" s="120"/>
      <c r="N1104" s="120"/>
      <c r="O1104" s="120"/>
      <c r="P1104" s="120"/>
    </row>
    <row r="1105" hidden="1">
      <c r="A1105" s="118" t="s">
        <v>4426</v>
      </c>
      <c r="B1105" s="126"/>
      <c r="C1105" s="118" t="s">
        <v>4497</v>
      </c>
      <c r="D1105" s="120"/>
      <c r="E1105" s="118" t="s">
        <v>50</v>
      </c>
      <c r="F1105" s="120"/>
      <c r="G1105" s="130" t="s">
        <v>4498</v>
      </c>
      <c r="H1105" s="118" t="s">
        <v>4499</v>
      </c>
      <c r="I1105" s="118" t="s">
        <v>4500</v>
      </c>
      <c r="J1105" s="122" t="s">
        <v>74</v>
      </c>
      <c r="K1105" s="118" t="s">
        <v>25</v>
      </c>
      <c r="L1105" s="118" t="s">
        <v>25</v>
      </c>
      <c r="M1105" s="120"/>
      <c r="N1105" s="120"/>
      <c r="O1105" s="120"/>
      <c r="P1105" s="120"/>
    </row>
    <row r="1106" hidden="1">
      <c r="A1106" s="118" t="s">
        <v>4426</v>
      </c>
      <c r="B1106" s="10"/>
      <c r="C1106" s="118" t="s">
        <v>4501</v>
      </c>
      <c r="D1106" s="120"/>
      <c r="E1106" s="118" t="s">
        <v>50</v>
      </c>
      <c r="F1106" s="120"/>
      <c r="G1106" s="130" t="s">
        <v>4502</v>
      </c>
      <c r="H1106" s="118" t="s">
        <v>4503</v>
      </c>
      <c r="I1106" s="118" t="s">
        <v>4504</v>
      </c>
      <c r="J1106" s="122" t="s">
        <v>74</v>
      </c>
      <c r="K1106" s="118" t="s">
        <v>25</v>
      </c>
      <c r="L1106" s="118" t="s">
        <v>25</v>
      </c>
      <c r="M1106" s="120"/>
      <c r="N1106" s="120"/>
      <c r="O1106" s="120"/>
      <c r="P1106" s="120"/>
    </row>
    <row r="1107" hidden="1">
      <c r="A1107" s="118" t="s">
        <v>4505</v>
      </c>
      <c r="B1107" s="120"/>
      <c r="C1107" s="118" t="s">
        <v>4505</v>
      </c>
      <c r="D1107" s="120"/>
      <c r="E1107" s="88" t="s">
        <v>38</v>
      </c>
      <c r="F1107" s="120"/>
      <c r="G1107" s="118" t="s">
        <v>4506</v>
      </c>
      <c r="H1107" s="118" t="s">
        <v>4507</v>
      </c>
      <c r="I1107" s="118" t="s">
        <v>4508</v>
      </c>
      <c r="J1107" s="122" t="s">
        <v>74</v>
      </c>
      <c r="K1107" s="120"/>
      <c r="L1107" s="120"/>
      <c r="M1107" s="120"/>
      <c r="N1107" s="129" t="s">
        <v>4509</v>
      </c>
      <c r="O1107" s="120"/>
      <c r="P1107" s="120"/>
    </row>
    <row r="1108">
      <c r="A1108" s="118" t="s">
        <v>4510</v>
      </c>
      <c r="B1108" s="120"/>
      <c r="C1108" s="118" t="s">
        <v>4510</v>
      </c>
      <c r="D1108" s="120"/>
      <c r="E1108" s="118" t="s">
        <v>42</v>
      </c>
      <c r="F1108" s="120"/>
      <c r="G1108" s="118" t="s">
        <v>4511</v>
      </c>
      <c r="H1108" s="118" t="s">
        <v>4512</v>
      </c>
      <c r="I1108" s="118" t="s">
        <v>4513</v>
      </c>
      <c r="J1108" s="128" t="s">
        <v>714</v>
      </c>
      <c r="K1108" s="120"/>
      <c r="L1108" s="120"/>
      <c r="M1108" s="120"/>
      <c r="N1108" s="129" t="s">
        <v>4514</v>
      </c>
      <c r="O1108" s="120"/>
      <c r="P1108" s="120"/>
    </row>
    <row r="1109">
      <c r="A1109" s="118" t="s">
        <v>3357</v>
      </c>
      <c r="B1109" s="120"/>
      <c r="C1109" s="118" t="s">
        <v>3357</v>
      </c>
      <c r="D1109" s="120"/>
      <c r="E1109" s="118" t="s">
        <v>42</v>
      </c>
      <c r="F1109" s="120"/>
      <c r="G1109" s="118" t="s">
        <v>3358</v>
      </c>
      <c r="H1109" s="118" t="s">
        <v>3359</v>
      </c>
      <c r="I1109" s="118" t="s">
        <v>3360</v>
      </c>
      <c r="J1109" s="128" t="s">
        <v>714</v>
      </c>
      <c r="K1109" s="120"/>
      <c r="L1109" s="120"/>
      <c r="M1109" s="120"/>
      <c r="N1109" s="129" t="s">
        <v>4515</v>
      </c>
      <c r="O1109" s="120"/>
      <c r="P1109" s="120"/>
    </row>
    <row r="1110">
      <c r="A1110" s="118" t="s">
        <v>4516</v>
      </c>
      <c r="B1110" s="120"/>
      <c r="C1110" s="118" t="s">
        <v>4516</v>
      </c>
      <c r="D1110" s="120"/>
      <c r="E1110" s="118" t="s">
        <v>42</v>
      </c>
      <c r="F1110" s="120"/>
      <c r="G1110" s="118" t="s">
        <v>4517</v>
      </c>
      <c r="H1110" s="118" t="s">
        <v>4518</v>
      </c>
      <c r="I1110" s="118" t="s">
        <v>4519</v>
      </c>
      <c r="J1110" s="128" t="s">
        <v>714</v>
      </c>
      <c r="K1110" s="120"/>
      <c r="L1110" s="120"/>
      <c r="M1110" s="120"/>
      <c r="N1110" s="129" t="s">
        <v>4520</v>
      </c>
      <c r="O1110" s="120"/>
      <c r="P1110" s="120"/>
    </row>
    <row r="1111">
      <c r="A1111" s="118" t="s">
        <v>4521</v>
      </c>
      <c r="B1111" s="120"/>
      <c r="C1111" s="118" t="s">
        <v>4521</v>
      </c>
      <c r="D1111" s="120"/>
      <c r="E1111" s="118" t="s">
        <v>42</v>
      </c>
      <c r="F1111" s="120"/>
      <c r="G1111" s="118" t="s">
        <v>4522</v>
      </c>
      <c r="H1111" s="118" t="s">
        <v>4523</v>
      </c>
      <c r="I1111" s="148" t="s">
        <v>4524</v>
      </c>
      <c r="J1111" s="128" t="s">
        <v>714</v>
      </c>
      <c r="K1111" s="120"/>
      <c r="L1111" s="120"/>
      <c r="M1111" s="120"/>
      <c r="N1111" s="129" t="s">
        <v>4525</v>
      </c>
      <c r="O1111" s="120"/>
      <c r="P1111" s="120"/>
    </row>
    <row r="1112">
      <c r="A1112" s="118" t="s">
        <v>4526</v>
      </c>
      <c r="B1112" s="120"/>
      <c r="C1112" s="118" t="s">
        <v>4526</v>
      </c>
      <c r="D1112" s="120"/>
      <c r="E1112" s="88" t="s">
        <v>31</v>
      </c>
      <c r="F1112" s="120"/>
      <c r="G1112" s="118" t="s">
        <v>4527</v>
      </c>
      <c r="H1112" s="118" t="s">
        <v>4528</v>
      </c>
      <c r="I1112" s="118" t="s">
        <v>4529</v>
      </c>
      <c r="J1112" s="128" t="s">
        <v>714</v>
      </c>
      <c r="K1112" s="120"/>
      <c r="L1112" s="120"/>
      <c r="M1112" s="120"/>
      <c r="N1112" s="129" t="s">
        <v>4530</v>
      </c>
      <c r="O1112" s="120"/>
      <c r="P1112" s="120"/>
    </row>
    <row r="1113">
      <c r="A1113" s="118" t="s">
        <v>4531</v>
      </c>
      <c r="B1113" s="120"/>
      <c r="C1113" s="118" t="s">
        <v>4531</v>
      </c>
      <c r="D1113" s="120"/>
      <c r="E1113" s="88" t="s">
        <v>31</v>
      </c>
      <c r="F1113" s="120"/>
      <c r="G1113" s="145" t="s">
        <v>4532</v>
      </c>
      <c r="H1113" s="118" t="s">
        <v>4140</v>
      </c>
      <c r="I1113" s="124" t="s">
        <v>4141</v>
      </c>
      <c r="J1113" s="128" t="s">
        <v>714</v>
      </c>
      <c r="K1113" s="120"/>
      <c r="L1113" s="120"/>
      <c r="M1113" s="120"/>
      <c r="N1113" s="129" t="s">
        <v>4533</v>
      </c>
      <c r="O1113" s="120"/>
      <c r="P1113" s="120"/>
    </row>
    <row r="1114">
      <c r="A1114" s="118" t="s">
        <v>4534</v>
      </c>
      <c r="B1114" s="120"/>
      <c r="C1114" s="118" t="s">
        <v>4534</v>
      </c>
      <c r="D1114" s="120"/>
      <c r="E1114" s="118" t="s">
        <v>47</v>
      </c>
      <c r="F1114" s="120"/>
      <c r="G1114" s="145" t="s">
        <v>4535</v>
      </c>
      <c r="H1114" s="145" t="s">
        <v>4536</v>
      </c>
      <c r="I1114" s="118" t="s">
        <v>4537</v>
      </c>
      <c r="J1114" s="128" t="s">
        <v>714</v>
      </c>
      <c r="K1114" s="120"/>
      <c r="L1114" s="120"/>
      <c r="M1114" s="120"/>
      <c r="N1114" s="129" t="s">
        <v>4538</v>
      </c>
      <c r="O1114" s="120"/>
      <c r="P1114" s="120"/>
    </row>
    <row r="1115">
      <c r="A1115" s="118" t="s">
        <v>3337</v>
      </c>
      <c r="B1115" s="120"/>
      <c r="C1115" s="118" t="s">
        <v>3337</v>
      </c>
      <c r="D1115" s="120"/>
      <c r="E1115" s="118" t="s">
        <v>42</v>
      </c>
      <c r="F1115" s="120"/>
      <c r="G1115" s="145" t="s">
        <v>4539</v>
      </c>
      <c r="H1115" s="118" t="s">
        <v>4540</v>
      </c>
      <c r="I1115" s="124" t="s">
        <v>4541</v>
      </c>
      <c r="J1115" s="128" t="s">
        <v>714</v>
      </c>
      <c r="K1115" s="120"/>
      <c r="L1115" s="120"/>
      <c r="M1115" s="120"/>
      <c r="N1115" s="129" t="s">
        <v>4542</v>
      </c>
      <c r="O1115" s="120"/>
      <c r="P1115" s="120"/>
    </row>
    <row r="1116">
      <c r="A1116" s="118" t="s">
        <v>4543</v>
      </c>
      <c r="B1116" s="120"/>
      <c r="C1116" s="118" t="s">
        <v>4543</v>
      </c>
      <c r="D1116" s="120"/>
      <c r="E1116" s="118" t="s">
        <v>47</v>
      </c>
      <c r="F1116" s="120"/>
      <c r="G1116" s="145" t="s">
        <v>4544</v>
      </c>
      <c r="H1116" s="118" t="s">
        <v>4545</v>
      </c>
      <c r="I1116" s="148" t="s">
        <v>4546</v>
      </c>
      <c r="J1116" s="128" t="s">
        <v>714</v>
      </c>
      <c r="K1116" s="120"/>
      <c r="L1116" s="120"/>
      <c r="M1116" s="120"/>
      <c r="N1116" s="129" t="s">
        <v>4547</v>
      </c>
      <c r="O1116" s="120"/>
      <c r="P1116" s="120"/>
    </row>
    <row r="1117">
      <c r="A1117" s="118" t="s">
        <v>4548</v>
      </c>
      <c r="B1117" s="120"/>
      <c r="C1117" s="118" t="s">
        <v>4548</v>
      </c>
      <c r="D1117" s="120"/>
      <c r="E1117" s="118" t="s">
        <v>47</v>
      </c>
      <c r="F1117" s="120"/>
      <c r="G1117" s="118" t="s">
        <v>4549</v>
      </c>
      <c r="H1117" s="118" t="s">
        <v>4550</v>
      </c>
      <c r="I1117" s="148" t="s">
        <v>4551</v>
      </c>
      <c r="J1117" s="128" t="s">
        <v>714</v>
      </c>
      <c r="K1117" s="120"/>
      <c r="L1117" s="120"/>
      <c r="M1117" s="120"/>
      <c r="N1117" s="129" t="s">
        <v>4552</v>
      </c>
      <c r="O1117" s="120"/>
      <c r="P1117" s="120"/>
    </row>
    <row r="1118">
      <c r="A1118" s="118" t="s">
        <v>4553</v>
      </c>
      <c r="B1118" s="120"/>
      <c r="C1118" s="118" t="s">
        <v>4553</v>
      </c>
      <c r="D1118" s="120"/>
      <c r="E1118" s="118" t="s">
        <v>47</v>
      </c>
      <c r="F1118" s="120"/>
      <c r="G1118" s="118" t="s">
        <v>4554</v>
      </c>
      <c r="H1118" s="118" t="s">
        <v>4555</v>
      </c>
      <c r="I1118" s="118" t="s">
        <v>4556</v>
      </c>
      <c r="J1118" s="128" t="s">
        <v>714</v>
      </c>
      <c r="K1118" s="120"/>
      <c r="L1118" s="120"/>
      <c r="M1118" s="120"/>
      <c r="N1118" s="129" t="s">
        <v>4557</v>
      </c>
      <c r="O1118" s="120"/>
      <c r="P1118" s="120"/>
    </row>
    <row r="1119" hidden="1">
      <c r="A1119" s="118" t="s">
        <v>4558</v>
      </c>
      <c r="B1119" s="120"/>
      <c r="C1119" s="118" t="s">
        <v>4558</v>
      </c>
      <c r="D1119" s="120"/>
      <c r="E1119" s="118" t="s">
        <v>47</v>
      </c>
      <c r="F1119" s="120"/>
      <c r="G1119" s="145" t="s">
        <v>4559</v>
      </c>
      <c r="H1119" s="118" t="s">
        <v>4560</v>
      </c>
      <c r="I1119" s="118" t="s">
        <v>4561</v>
      </c>
      <c r="J1119" s="122" t="s">
        <v>74</v>
      </c>
      <c r="K1119" s="118" t="s">
        <v>25</v>
      </c>
      <c r="L1119" s="118" t="s">
        <v>25</v>
      </c>
      <c r="M1119" s="120"/>
      <c r="N1119" s="129" t="s">
        <v>4562</v>
      </c>
      <c r="O1119" s="120"/>
      <c r="P1119" s="120"/>
    </row>
    <row r="1120" hidden="1">
      <c r="A1120" s="118" t="s">
        <v>4563</v>
      </c>
      <c r="B1120" s="120"/>
      <c r="C1120" s="118" t="s">
        <v>4563</v>
      </c>
      <c r="D1120" s="120"/>
      <c r="E1120" s="118" t="s">
        <v>47</v>
      </c>
      <c r="F1120" s="120"/>
      <c r="G1120" s="118" t="s">
        <v>4564</v>
      </c>
      <c r="H1120" s="118" t="s">
        <v>4565</v>
      </c>
      <c r="I1120" s="118" t="s">
        <v>4151</v>
      </c>
      <c r="J1120" s="122" t="s">
        <v>74</v>
      </c>
      <c r="K1120" s="118" t="s">
        <v>25</v>
      </c>
      <c r="L1120" s="118" t="s">
        <v>25</v>
      </c>
      <c r="M1120" s="120"/>
      <c r="N1120" s="129" t="s">
        <v>4566</v>
      </c>
      <c r="O1120" s="120"/>
      <c r="P1120" s="120"/>
    </row>
    <row r="1121" hidden="1">
      <c r="A1121" s="118" t="s">
        <v>4567</v>
      </c>
      <c r="B1121" s="120"/>
      <c r="C1121" s="118" t="s">
        <v>4567</v>
      </c>
      <c r="D1121" s="120"/>
      <c r="E1121" s="118" t="s">
        <v>47</v>
      </c>
      <c r="F1121" s="120"/>
      <c r="G1121" s="145" t="s">
        <v>4568</v>
      </c>
      <c r="H1121" s="118" t="s">
        <v>4569</v>
      </c>
      <c r="I1121" s="118" t="s">
        <v>4570</v>
      </c>
      <c r="J1121" s="122" t="s">
        <v>74</v>
      </c>
      <c r="K1121" s="120"/>
      <c r="L1121" s="120"/>
      <c r="M1121" s="120"/>
      <c r="N1121" s="129" t="s">
        <v>4571</v>
      </c>
      <c r="O1121" s="120"/>
      <c r="P1121" s="120"/>
    </row>
    <row r="1122">
      <c r="A1122" s="118" t="s">
        <v>4572</v>
      </c>
      <c r="B1122" s="120"/>
      <c r="C1122" s="118" t="s">
        <v>4572</v>
      </c>
      <c r="D1122" s="120"/>
      <c r="E1122" s="118" t="s">
        <v>4573</v>
      </c>
      <c r="F1122" s="120"/>
      <c r="G1122" s="118" t="s">
        <v>4574</v>
      </c>
      <c r="H1122" s="118" t="s">
        <v>4575</v>
      </c>
      <c r="I1122" s="118" t="s">
        <v>4576</v>
      </c>
      <c r="J1122" s="128" t="s">
        <v>714</v>
      </c>
      <c r="K1122" s="120"/>
      <c r="L1122" s="120"/>
      <c r="M1122" s="120"/>
      <c r="N1122" s="129" t="s">
        <v>4577</v>
      </c>
      <c r="O1122" s="120"/>
      <c r="P1122" s="120"/>
    </row>
    <row r="1123">
      <c r="A1123" s="118" t="s">
        <v>4578</v>
      </c>
      <c r="B1123" s="120"/>
      <c r="C1123" s="118" t="s">
        <v>4578</v>
      </c>
      <c r="D1123" s="120"/>
      <c r="E1123" s="118" t="s">
        <v>4573</v>
      </c>
      <c r="F1123" s="120"/>
      <c r="G1123" s="118" t="s">
        <v>4579</v>
      </c>
      <c r="H1123" s="118" t="s">
        <v>4580</v>
      </c>
      <c r="I1123" s="118" t="s">
        <v>4581</v>
      </c>
      <c r="J1123" s="128" t="s">
        <v>714</v>
      </c>
      <c r="K1123" s="120"/>
      <c r="L1123" s="120"/>
      <c r="M1123" s="120"/>
      <c r="N1123" s="129" t="s">
        <v>4582</v>
      </c>
      <c r="O1123" s="120"/>
      <c r="P1123" s="120"/>
    </row>
    <row r="1124">
      <c r="A1124" s="118" t="s">
        <v>4583</v>
      </c>
      <c r="B1124" s="120"/>
      <c r="C1124" s="118" t="s">
        <v>4583</v>
      </c>
      <c r="D1124" s="120"/>
      <c r="E1124" s="88" t="s">
        <v>35</v>
      </c>
      <c r="F1124" s="120"/>
      <c r="G1124" s="118" t="s">
        <v>4584</v>
      </c>
      <c r="H1124" s="118" t="s">
        <v>4585</v>
      </c>
      <c r="I1124" s="118" t="s">
        <v>4586</v>
      </c>
      <c r="J1124" s="128" t="s">
        <v>714</v>
      </c>
      <c r="K1124" s="120"/>
      <c r="L1124" s="120"/>
      <c r="M1124" s="120"/>
      <c r="N1124" s="129" t="s">
        <v>4587</v>
      </c>
      <c r="O1124" s="120"/>
      <c r="P1124" s="120"/>
    </row>
    <row r="1125" hidden="1">
      <c r="A1125" s="118" t="s">
        <v>4588</v>
      </c>
      <c r="B1125" s="120"/>
      <c r="C1125" s="118" t="s">
        <v>4588</v>
      </c>
      <c r="D1125" s="120"/>
      <c r="E1125" s="118" t="s">
        <v>4589</v>
      </c>
      <c r="F1125" s="120"/>
      <c r="G1125" s="118" t="s">
        <v>4590</v>
      </c>
      <c r="H1125" s="118" t="s">
        <v>4150</v>
      </c>
      <c r="I1125" s="118" t="s">
        <v>4591</v>
      </c>
      <c r="J1125" s="122" t="s">
        <v>74</v>
      </c>
      <c r="K1125" s="120"/>
      <c r="L1125" s="120"/>
      <c r="M1125" s="120"/>
      <c r="N1125" s="129" t="s">
        <v>4592</v>
      </c>
      <c r="O1125" s="120"/>
      <c r="P1125" s="120"/>
    </row>
    <row r="1126" hidden="1">
      <c r="A1126" s="118" t="s">
        <v>4593</v>
      </c>
      <c r="B1126" s="120"/>
      <c r="C1126" s="118" t="s">
        <v>4594</v>
      </c>
      <c r="D1126" s="120"/>
      <c r="E1126" s="88" t="s">
        <v>31</v>
      </c>
      <c r="F1126" s="120"/>
      <c r="G1126" s="118" t="s">
        <v>4595</v>
      </c>
      <c r="H1126" s="118" t="s">
        <v>4596</v>
      </c>
      <c r="I1126" s="124" t="s">
        <v>4597</v>
      </c>
      <c r="J1126" s="122" t="s">
        <v>74</v>
      </c>
      <c r="K1126" s="120"/>
      <c r="L1126" s="120"/>
      <c r="M1126" s="120"/>
      <c r="N1126" s="129" t="s">
        <v>4598</v>
      </c>
      <c r="O1126" s="120"/>
      <c r="P1126" s="120"/>
    </row>
    <row r="1127" hidden="1">
      <c r="A1127" s="170"/>
      <c r="B1127" s="171"/>
      <c r="C1127" s="171"/>
      <c r="D1127" s="171"/>
      <c r="E1127" s="171"/>
      <c r="F1127" s="171"/>
      <c r="G1127" s="171"/>
      <c r="H1127" s="171"/>
      <c r="I1127" s="171"/>
      <c r="J1127" s="171"/>
      <c r="K1127" s="171"/>
      <c r="L1127" s="171"/>
      <c r="M1127" s="171"/>
      <c r="N1127" s="171"/>
      <c r="O1127" s="171"/>
      <c r="P1127" s="171"/>
    </row>
    <row r="1128" hidden="1">
      <c r="A1128" s="170"/>
      <c r="B1128" s="171"/>
      <c r="C1128" s="171"/>
      <c r="D1128" s="171"/>
      <c r="E1128" s="171"/>
      <c r="F1128" s="171"/>
      <c r="G1128" s="171"/>
      <c r="H1128" s="171"/>
      <c r="I1128" s="171"/>
      <c r="J1128" s="171"/>
      <c r="K1128" s="171"/>
      <c r="L1128" s="171"/>
      <c r="M1128" s="171"/>
      <c r="N1128" s="171"/>
      <c r="O1128" s="171"/>
      <c r="P1128" s="171"/>
    </row>
    <row r="1129" hidden="1">
      <c r="A1129" s="170"/>
      <c r="B1129" s="171"/>
      <c r="C1129" s="171"/>
      <c r="D1129" s="171"/>
      <c r="E1129" s="171"/>
      <c r="F1129" s="171"/>
      <c r="G1129" s="171"/>
      <c r="H1129" s="171"/>
      <c r="I1129" s="171"/>
      <c r="J1129" s="171"/>
      <c r="K1129" s="171"/>
      <c r="L1129" s="171"/>
      <c r="M1129" s="171"/>
      <c r="N1129" s="171"/>
      <c r="O1129" s="171"/>
      <c r="P1129" s="171"/>
    </row>
    <row r="1130" hidden="1">
      <c r="A1130" s="170"/>
      <c r="B1130" s="171"/>
      <c r="C1130" s="171"/>
      <c r="D1130" s="171"/>
      <c r="E1130" s="171"/>
      <c r="F1130" s="171"/>
      <c r="G1130" s="171"/>
      <c r="H1130" s="171"/>
      <c r="I1130" s="171"/>
      <c r="J1130" s="171"/>
      <c r="K1130" s="171"/>
      <c r="L1130" s="171"/>
      <c r="M1130" s="171"/>
      <c r="N1130" s="171"/>
      <c r="O1130" s="171"/>
      <c r="P1130" s="171"/>
    </row>
    <row r="1131" hidden="1">
      <c r="A1131" s="170"/>
      <c r="B1131" s="171"/>
      <c r="C1131" s="171"/>
      <c r="D1131" s="171"/>
      <c r="E1131" s="171"/>
      <c r="F1131" s="171"/>
      <c r="G1131" s="171"/>
      <c r="H1131" s="171"/>
      <c r="I1131" s="171"/>
      <c r="J1131" s="171"/>
      <c r="K1131" s="171"/>
      <c r="L1131" s="171"/>
      <c r="M1131" s="171"/>
      <c r="N1131" s="171"/>
      <c r="O1131" s="171"/>
      <c r="P1131" s="171"/>
    </row>
    <row r="1132" hidden="1">
      <c r="A1132" s="170"/>
      <c r="B1132" s="171"/>
      <c r="C1132" s="171"/>
      <c r="D1132" s="171"/>
      <c r="E1132" s="171"/>
      <c r="F1132" s="171"/>
      <c r="G1132" s="171"/>
      <c r="H1132" s="171"/>
      <c r="I1132" s="171"/>
      <c r="J1132" s="171"/>
      <c r="K1132" s="171"/>
      <c r="L1132" s="171"/>
      <c r="M1132" s="171"/>
      <c r="N1132" s="171"/>
      <c r="O1132" s="171"/>
      <c r="P1132" s="171"/>
    </row>
    <row r="1133" hidden="1">
      <c r="A1133" s="170"/>
      <c r="B1133" s="171"/>
      <c r="C1133" s="171"/>
      <c r="D1133" s="171"/>
      <c r="E1133" s="171"/>
      <c r="F1133" s="171"/>
      <c r="G1133" s="171"/>
      <c r="H1133" s="171"/>
      <c r="I1133" s="171"/>
      <c r="J1133" s="171"/>
      <c r="K1133" s="171"/>
      <c r="L1133" s="171"/>
      <c r="M1133" s="171"/>
      <c r="N1133" s="171"/>
      <c r="O1133" s="171"/>
      <c r="P1133" s="171"/>
    </row>
    <row r="1134" hidden="1">
      <c r="A1134" s="170"/>
      <c r="B1134" s="171"/>
      <c r="C1134" s="171"/>
      <c r="D1134" s="171"/>
      <c r="E1134" s="171"/>
      <c r="F1134" s="171"/>
      <c r="G1134" s="171"/>
      <c r="H1134" s="171"/>
      <c r="I1134" s="171"/>
      <c r="J1134" s="171"/>
      <c r="K1134" s="171"/>
      <c r="L1134" s="171"/>
      <c r="M1134" s="171"/>
      <c r="N1134" s="171"/>
      <c r="O1134" s="171"/>
      <c r="P1134" s="171"/>
    </row>
    <row r="1135" hidden="1">
      <c r="A1135" s="170"/>
      <c r="B1135" s="171"/>
      <c r="C1135" s="171"/>
      <c r="D1135" s="171"/>
      <c r="E1135" s="171"/>
      <c r="F1135" s="171"/>
      <c r="G1135" s="171"/>
      <c r="H1135" s="171"/>
      <c r="I1135" s="171"/>
      <c r="J1135" s="171"/>
      <c r="K1135" s="171"/>
      <c r="L1135" s="171"/>
      <c r="M1135" s="171"/>
      <c r="N1135" s="171"/>
      <c r="O1135" s="171"/>
      <c r="P1135" s="171"/>
    </row>
    <row r="1136" hidden="1">
      <c r="A1136" s="170"/>
      <c r="B1136" s="171"/>
      <c r="C1136" s="171"/>
      <c r="D1136" s="171"/>
      <c r="E1136" s="171"/>
      <c r="F1136" s="171"/>
      <c r="G1136" s="171"/>
      <c r="H1136" s="171"/>
      <c r="I1136" s="171"/>
      <c r="J1136" s="171"/>
      <c r="K1136" s="171"/>
      <c r="L1136" s="171"/>
      <c r="M1136" s="171"/>
      <c r="N1136" s="171"/>
      <c r="O1136" s="171"/>
      <c r="P1136" s="171"/>
    </row>
    <row r="1137" hidden="1">
      <c r="A1137" s="170"/>
      <c r="B1137" s="171"/>
      <c r="C1137" s="171"/>
      <c r="D1137" s="171"/>
      <c r="E1137" s="171"/>
      <c r="F1137" s="171"/>
      <c r="G1137" s="171"/>
      <c r="H1137" s="171"/>
      <c r="I1137" s="171"/>
      <c r="J1137" s="171"/>
      <c r="K1137" s="171"/>
      <c r="L1137" s="171"/>
      <c r="M1137" s="171"/>
      <c r="N1137" s="171"/>
      <c r="O1137" s="171"/>
      <c r="P1137" s="171"/>
    </row>
    <row r="1138" hidden="1">
      <c r="A1138" s="170"/>
      <c r="B1138" s="171"/>
      <c r="C1138" s="171"/>
      <c r="D1138" s="171"/>
      <c r="E1138" s="171"/>
      <c r="F1138" s="171"/>
      <c r="G1138" s="171"/>
      <c r="H1138" s="171"/>
      <c r="I1138" s="171"/>
      <c r="J1138" s="171"/>
      <c r="K1138" s="171"/>
      <c r="L1138" s="171"/>
      <c r="M1138" s="171"/>
      <c r="N1138" s="171"/>
      <c r="O1138" s="171"/>
      <c r="P1138" s="171"/>
    </row>
    <row r="1139" hidden="1">
      <c r="A1139" s="170"/>
      <c r="B1139" s="171"/>
      <c r="C1139" s="171"/>
      <c r="D1139" s="171"/>
      <c r="E1139" s="171"/>
      <c r="F1139" s="171"/>
      <c r="G1139" s="171"/>
      <c r="H1139" s="171"/>
      <c r="I1139" s="171"/>
      <c r="J1139" s="171"/>
      <c r="K1139" s="171"/>
      <c r="L1139" s="171"/>
      <c r="M1139" s="171"/>
      <c r="N1139" s="171"/>
      <c r="O1139" s="171"/>
      <c r="P1139" s="171"/>
    </row>
    <row r="1140" hidden="1">
      <c r="A1140" s="170"/>
      <c r="B1140" s="171"/>
      <c r="C1140" s="171"/>
      <c r="D1140" s="171"/>
      <c r="E1140" s="171"/>
      <c r="F1140" s="171"/>
      <c r="G1140" s="171"/>
      <c r="H1140" s="171"/>
      <c r="I1140" s="171"/>
      <c r="J1140" s="171"/>
      <c r="K1140" s="171"/>
      <c r="L1140" s="171"/>
      <c r="M1140" s="171"/>
      <c r="N1140" s="171"/>
      <c r="O1140" s="171"/>
      <c r="P1140" s="171"/>
    </row>
    <row r="1141" hidden="1">
      <c r="A1141" s="170"/>
      <c r="B1141" s="171"/>
      <c r="C1141" s="171"/>
      <c r="D1141" s="171"/>
      <c r="E1141" s="171"/>
      <c r="F1141" s="171"/>
      <c r="G1141" s="171"/>
      <c r="H1141" s="171"/>
      <c r="I1141" s="171"/>
      <c r="J1141" s="171"/>
      <c r="K1141" s="171"/>
      <c r="L1141" s="171"/>
      <c r="M1141" s="171"/>
      <c r="N1141" s="171"/>
      <c r="O1141" s="171"/>
      <c r="P1141" s="171"/>
    </row>
    <row r="1142" hidden="1">
      <c r="A1142" s="170"/>
      <c r="B1142" s="171"/>
      <c r="C1142" s="171"/>
      <c r="D1142" s="171"/>
      <c r="E1142" s="171"/>
      <c r="F1142" s="171"/>
      <c r="G1142" s="171"/>
      <c r="H1142" s="171"/>
      <c r="I1142" s="171"/>
      <c r="J1142" s="171"/>
      <c r="K1142" s="171"/>
      <c r="L1142" s="171"/>
      <c r="M1142" s="171"/>
      <c r="N1142" s="171"/>
      <c r="O1142" s="171"/>
      <c r="P1142" s="171"/>
    </row>
    <row r="1143" hidden="1">
      <c r="A1143" s="170"/>
      <c r="B1143" s="171"/>
      <c r="C1143" s="171"/>
      <c r="D1143" s="171"/>
      <c r="E1143" s="171"/>
      <c r="F1143" s="171"/>
      <c r="G1143" s="171"/>
      <c r="H1143" s="171"/>
      <c r="I1143" s="171"/>
      <c r="J1143" s="171"/>
      <c r="K1143" s="171"/>
      <c r="L1143" s="171"/>
      <c r="M1143" s="171"/>
      <c r="N1143" s="171"/>
      <c r="O1143" s="171"/>
      <c r="P1143" s="171"/>
    </row>
    <row r="1144" hidden="1">
      <c r="A1144" s="170"/>
      <c r="B1144" s="171"/>
      <c r="C1144" s="171"/>
      <c r="D1144" s="171"/>
      <c r="E1144" s="171"/>
      <c r="F1144" s="171"/>
      <c r="G1144" s="171"/>
      <c r="H1144" s="171"/>
      <c r="I1144" s="171"/>
      <c r="J1144" s="171"/>
      <c r="K1144" s="171"/>
      <c r="L1144" s="171"/>
      <c r="M1144" s="171"/>
      <c r="N1144" s="171"/>
      <c r="O1144" s="171"/>
      <c r="P1144" s="171"/>
    </row>
    <row r="1145" hidden="1">
      <c r="A1145" s="170"/>
      <c r="B1145" s="171"/>
      <c r="C1145" s="171"/>
      <c r="D1145" s="171"/>
      <c r="E1145" s="171"/>
      <c r="F1145" s="171"/>
      <c r="G1145" s="171"/>
      <c r="H1145" s="171"/>
      <c r="I1145" s="171"/>
      <c r="J1145" s="171"/>
      <c r="K1145" s="171"/>
      <c r="L1145" s="171"/>
      <c r="M1145" s="171"/>
      <c r="N1145" s="171"/>
      <c r="O1145" s="171"/>
      <c r="P1145" s="171"/>
    </row>
    <row r="1146" hidden="1">
      <c r="A1146" s="170"/>
      <c r="B1146" s="171"/>
      <c r="C1146" s="171"/>
      <c r="D1146" s="171"/>
      <c r="E1146" s="171"/>
      <c r="F1146" s="171"/>
      <c r="G1146" s="171"/>
      <c r="H1146" s="171"/>
      <c r="I1146" s="171"/>
      <c r="J1146" s="171"/>
      <c r="K1146" s="171"/>
      <c r="L1146" s="171"/>
      <c r="M1146" s="171"/>
      <c r="N1146" s="171"/>
      <c r="O1146" s="171"/>
      <c r="P1146" s="171"/>
    </row>
    <row r="1147" hidden="1">
      <c r="A1147" s="170"/>
      <c r="B1147" s="171"/>
      <c r="C1147" s="171"/>
      <c r="D1147" s="171"/>
      <c r="E1147" s="171"/>
      <c r="F1147" s="171"/>
      <c r="G1147" s="171"/>
      <c r="H1147" s="171"/>
      <c r="I1147" s="171"/>
      <c r="J1147" s="171"/>
      <c r="K1147" s="171"/>
      <c r="L1147" s="171"/>
      <c r="M1147" s="171"/>
      <c r="N1147" s="171"/>
      <c r="O1147" s="171"/>
      <c r="P1147" s="171"/>
    </row>
    <row r="1148" hidden="1">
      <c r="A1148" s="170"/>
      <c r="B1148" s="171"/>
      <c r="C1148" s="171"/>
      <c r="D1148" s="171"/>
      <c r="E1148" s="171"/>
      <c r="F1148" s="171"/>
      <c r="G1148" s="171"/>
      <c r="H1148" s="171"/>
      <c r="I1148" s="171"/>
      <c r="J1148" s="171"/>
      <c r="K1148" s="171"/>
      <c r="L1148" s="171"/>
      <c r="M1148" s="171"/>
      <c r="N1148" s="171"/>
      <c r="O1148" s="171"/>
      <c r="P1148" s="171"/>
    </row>
    <row r="1149" hidden="1">
      <c r="A1149" s="170"/>
      <c r="B1149" s="171"/>
      <c r="C1149" s="171"/>
      <c r="D1149" s="171"/>
      <c r="E1149" s="171"/>
      <c r="F1149" s="171"/>
      <c r="G1149" s="171"/>
      <c r="H1149" s="171"/>
      <c r="I1149" s="171"/>
      <c r="J1149" s="171"/>
      <c r="K1149" s="171"/>
      <c r="L1149" s="171"/>
      <c r="M1149" s="171"/>
      <c r="N1149" s="171"/>
      <c r="O1149" s="171"/>
      <c r="P1149" s="171"/>
    </row>
    <row r="1150" hidden="1">
      <c r="A1150" s="170"/>
      <c r="B1150" s="171"/>
      <c r="C1150" s="171"/>
      <c r="D1150" s="171"/>
      <c r="E1150" s="171"/>
      <c r="F1150" s="171"/>
      <c r="G1150" s="171"/>
      <c r="H1150" s="171"/>
      <c r="I1150" s="171"/>
      <c r="J1150" s="171"/>
      <c r="K1150" s="171"/>
      <c r="L1150" s="171"/>
      <c r="M1150" s="171"/>
      <c r="N1150" s="171"/>
      <c r="O1150" s="171"/>
      <c r="P1150" s="171"/>
    </row>
    <row r="1151" hidden="1">
      <c r="A1151" s="170"/>
      <c r="B1151" s="171"/>
      <c r="C1151" s="171"/>
      <c r="D1151" s="171"/>
      <c r="E1151" s="171"/>
      <c r="F1151" s="171"/>
      <c r="G1151" s="171"/>
      <c r="H1151" s="171"/>
      <c r="I1151" s="171"/>
      <c r="J1151" s="171"/>
      <c r="K1151" s="171"/>
      <c r="L1151" s="171"/>
      <c r="M1151" s="171"/>
      <c r="N1151" s="171"/>
      <c r="O1151" s="171"/>
      <c r="P1151" s="171"/>
    </row>
    <row r="1152" hidden="1">
      <c r="A1152" s="170"/>
      <c r="B1152" s="171"/>
      <c r="C1152" s="171"/>
      <c r="D1152" s="171"/>
      <c r="E1152" s="171"/>
      <c r="F1152" s="171"/>
      <c r="G1152" s="171"/>
      <c r="H1152" s="171"/>
      <c r="I1152" s="171"/>
      <c r="J1152" s="171"/>
      <c r="K1152" s="171"/>
      <c r="L1152" s="171"/>
      <c r="M1152" s="171"/>
      <c r="N1152" s="171"/>
      <c r="O1152" s="171"/>
      <c r="P1152" s="171"/>
    </row>
    <row r="1153" hidden="1">
      <c r="A1153" s="170"/>
      <c r="B1153" s="171"/>
      <c r="C1153" s="171"/>
      <c r="D1153" s="171"/>
      <c r="E1153" s="171"/>
      <c r="F1153" s="171"/>
      <c r="G1153" s="171"/>
      <c r="H1153" s="171"/>
      <c r="I1153" s="171"/>
      <c r="J1153" s="171"/>
      <c r="K1153" s="171"/>
      <c r="L1153" s="171"/>
      <c r="M1153" s="171"/>
      <c r="N1153" s="171"/>
      <c r="O1153" s="171"/>
      <c r="P1153" s="171"/>
    </row>
    <row r="1154" hidden="1">
      <c r="A1154" s="170"/>
      <c r="B1154" s="171"/>
      <c r="C1154" s="171"/>
      <c r="D1154" s="171"/>
      <c r="E1154" s="171"/>
      <c r="F1154" s="171"/>
      <c r="G1154" s="171"/>
      <c r="H1154" s="171"/>
      <c r="I1154" s="171"/>
      <c r="J1154" s="171"/>
      <c r="K1154" s="171"/>
      <c r="L1154" s="171"/>
      <c r="M1154" s="171"/>
      <c r="N1154" s="171"/>
      <c r="O1154" s="171"/>
      <c r="P1154" s="171"/>
    </row>
    <row r="1155" hidden="1">
      <c r="A1155" s="170"/>
      <c r="B1155" s="171"/>
      <c r="C1155" s="171"/>
      <c r="D1155" s="171"/>
      <c r="E1155" s="171"/>
      <c r="F1155" s="171"/>
      <c r="G1155" s="171"/>
      <c r="H1155" s="171"/>
      <c r="I1155" s="171"/>
      <c r="J1155" s="171"/>
      <c r="K1155" s="171"/>
      <c r="L1155" s="171"/>
      <c r="M1155" s="171"/>
      <c r="N1155" s="171"/>
      <c r="O1155" s="171"/>
      <c r="P1155" s="171"/>
    </row>
    <row r="1156" hidden="1">
      <c r="A1156" s="170"/>
      <c r="B1156" s="171"/>
      <c r="C1156" s="171"/>
      <c r="D1156" s="171"/>
      <c r="E1156" s="171"/>
      <c r="F1156" s="171"/>
      <c r="G1156" s="171"/>
      <c r="H1156" s="171"/>
      <c r="I1156" s="171"/>
      <c r="J1156" s="171"/>
      <c r="K1156" s="171"/>
      <c r="L1156" s="171"/>
      <c r="M1156" s="171"/>
      <c r="N1156" s="171"/>
      <c r="O1156" s="171"/>
      <c r="P1156" s="171"/>
    </row>
    <row r="1157" hidden="1">
      <c r="A1157" s="170"/>
      <c r="B1157" s="171"/>
      <c r="C1157" s="171"/>
      <c r="D1157" s="171"/>
      <c r="E1157" s="171"/>
      <c r="F1157" s="171"/>
      <c r="G1157" s="171"/>
      <c r="H1157" s="171"/>
      <c r="I1157" s="171"/>
      <c r="J1157" s="171"/>
      <c r="K1157" s="171"/>
      <c r="L1157" s="171"/>
      <c r="M1157" s="171"/>
      <c r="N1157" s="171"/>
      <c r="O1157" s="171"/>
      <c r="P1157" s="171"/>
    </row>
    <row r="1158" hidden="1">
      <c r="A1158" s="170"/>
      <c r="B1158" s="171"/>
      <c r="C1158" s="171"/>
      <c r="D1158" s="171"/>
      <c r="E1158" s="171"/>
      <c r="F1158" s="171"/>
      <c r="G1158" s="171"/>
      <c r="H1158" s="171"/>
      <c r="I1158" s="171"/>
      <c r="J1158" s="171"/>
      <c r="K1158" s="171"/>
      <c r="L1158" s="171"/>
      <c r="M1158" s="171"/>
      <c r="N1158" s="171"/>
      <c r="O1158" s="171"/>
      <c r="P1158" s="171"/>
    </row>
    <row r="1159" hidden="1">
      <c r="A1159" s="170"/>
      <c r="B1159" s="171"/>
      <c r="C1159" s="171"/>
      <c r="D1159" s="171"/>
      <c r="E1159" s="171"/>
      <c r="F1159" s="171"/>
      <c r="G1159" s="171"/>
      <c r="H1159" s="171"/>
      <c r="I1159" s="171"/>
      <c r="J1159" s="171"/>
      <c r="K1159" s="171"/>
      <c r="L1159" s="171"/>
      <c r="M1159" s="171"/>
      <c r="N1159" s="171"/>
      <c r="O1159" s="171"/>
      <c r="P1159" s="171"/>
    </row>
    <row r="1160" hidden="1">
      <c r="A1160" s="170"/>
      <c r="B1160" s="171"/>
      <c r="C1160" s="171"/>
      <c r="D1160" s="171"/>
      <c r="E1160" s="171"/>
      <c r="F1160" s="171"/>
      <c r="G1160" s="171"/>
      <c r="H1160" s="171"/>
      <c r="I1160" s="171"/>
      <c r="J1160" s="171"/>
      <c r="K1160" s="171"/>
      <c r="L1160" s="171"/>
      <c r="M1160" s="171"/>
      <c r="N1160" s="171"/>
      <c r="O1160" s="171"/>
      <c r="P1160" s="171"/>
    </row>
    <row r="1161" hidden="1">
      <c r="A1161" s="170"/>
      <c r="B1161" s="171"/>
      <c r="C1161" s="171"/>
      <c r="D1161" s="171"/>
      <c r="E1161" s="171"/>
      <c r="F1161" s="171"/>
      <c r="G1161" s="171"/>
      <c r="H1161" s="171"/>
      <c r="I1161" s="171"/>
      <c r="J1161" s="171"/>
      <c r="K1161" s="171"/>
      <c r="L1161" s="171"/>
      <c r="M1161" s="171"/>
      <c r="N1161" s="171"/>
      <c r="O1161" s="171"/>
      <c r="P1161" s="171"/>
    </row>
    <row r="1162" hidden="1">
      <c r="A1162" s="170"/>
      <c r="B1162" s="171"/>
      <c r="C1162" s="171"/>
      <c r="D1162" s="171"/>
      <c r="E1162" s="171"/>
      <c r="F1162" s="171"/>
      <c r="G1162" s="171"/>
      <c r="H1162" s="171"/>
      <c r="I1162" s="171"/>
      <c r="J1162" s="171"/>
      <c r="K1162" s="171"/>
      <c r="L1162" s="171"/>
      <c r="M1162" s="171"/>
      <c r="N1162" s="171"/>
      <c r="O1162" s="171"/>
      <c r="P1162" s="171"/>
    </row>
    <row r="1163" hidden="1">
      <c r="A1163" s="170"/>
      <c r="B1163" s="171"/>
      <c r="C1163" s="171"/>
      <c r="D1163" s="171"/>
      <c r="E1163" s="171"/>
      <c r="F1163" s="171"/>
      <c r="G1163" s="171"/>
      <c r="H1163" s="171"/>
      <c r="I1163" s="171"/>
      <c r="J1163" s="171"/>
      <c r="K1163" s="171"/>
      <c r="L1163" s="171"/>
      <c r="M1163" s="171"/>
      <c r="N1163" s="171"/>
      <c r="O1163" s="171"/>
      <c r="P1163" s="171"/>
    </row>
    <row r="1164" hidden="1">
      <c r="A1164" s="170"/>
      <c r="B1164" s="171"/>
      <c r="C1164" s="171"/>
      <c r="D1164" s="171"/>
      <c r="E1164" s="171"/>
      <c r="F1164" s="171"/>
      <c r="G1164" s="171"/>
      <c r="H1164" s="171"/>
      <c r="I1164" s="171"/>
      <c r="J1164" s="171"/>
      <c r="K1164" s="171"/>
      <c r="L1164" s="171"/>
      <c r="M1164" s="171"/>
      <c r="N1164" s="171"/>
      <c r="O1164" s="171"/>
      <c r="P1164" s="171"/>
    </row>
    <row r="1165" hidden="1">
      <c r="A1165" s="170"/>
      <c r="B1165" s="171"/>
      <c r="C1165" s="171"/>
      <c r="D1165" s="171"/>
      <c r="E1165" s="171"/>
      <c r="F1165" s="171"/>
      <c r="G1165" s="171"/>
      <c r="H1165" s="171"/>
      <c r="I1165" s="171"/>
      <c r="J1165" s="171"/>
      <c r="K1165" s="171"/>
      <c r="L1165" s="171"/>
      <c r="M1165" s="171"/>
      <c r="N1165" s="171"/>
      <c r="O1165" s="171"/>
      <c r="P1165" s="171"/>
    </row>
    <row r="1166" hidden="1">
      <c r="A1166" s="170"/>
      <c r="B1166" s="171"/>
      <c r="C1166" s="171"/>
      <c r="D1166" s="171"/>
      <c r="E1166" s="171"/>
      <c r="F1166" s="171"/>
      <c r="G1166" s="171"/>
      <c r="H1166" s="171"/>
      <c r="I1166" s="171"/>
      <c r="J1166" s="171"/>
      <c r="K1166" s="171"/>
      <c r="L1166" s="171"/>
      <c r="M1166" s="171"/>
      <c r="N1166" s="171"/>
      <c r="O1166" s="171"/>
      <c r="P1166" s="171"/>
    </row>
    <row r="1167" hidden="1">
      <c r="A1167" s="172"/>
      <c r="B1167" s="173"/>
      <c r="C1167" s="173"/>
      <c r="D1167" s="173"/>
      <c r="E1167" s="173"/>
      <c r="F1167" s="173"/>
      <c r="G1167" s="173"/>
      <c r="H1167" s="173"/>
      <c r="I1167" s="173"/>
      <c r="J1167" s="173"/>
      <c r="K1167" s="173"/>
      <c r="L1167" s="173"/>
      <c r="M1167" s="173"/>
      <c r="N1167" s="173"/>
      <c r="O1167" s="173"/>
      <c r="P1167" s="173"/>
    </row>
    <row r="1168" hidden="1">
      <c r="A1168" s="172"/>
      <c r="B1168" s="173"/>
      <c r="C1168" s="173"/>
      <c r="D1168" s="173"/>
      <c r="E1168" s="173"/>
      <c r="F1168" s="173"/>
      <c r="G1168" s="173"/>
      <c r="H1168" s="173"/>
      <c r="I1168" s="173"/>
      <c r="J1168" s="173"/>
      <c r="K1168" s="173"/>
      <c r="L1168" s="173"/>
      <c r="M1168" s="173"/>
      <c r="N1168" s="173"/>
      <c r="O1168" s="173"/>
      <c r="P1168" s="173"/>
    </row>
    <row r="1169" hidden="1">
      <c r="A1169" s="172"/>
      <c r="B1169" s="173"/>
      <c r="C1169" s="173"/>
      <c r="D1169" s="173"/>
      <c r="E1169" s="173"/>
      <c r="F1169" s="173"/>
      <c r="G1169" s="173"/>
      <c r="H1169" s="173"/>
      <c r="I1169" s="173"/>
      <c r="J1169" s="173"/>
      <c r="K1169" s="173"/>
      <c r="L1169" s="173"/>
      <c r="M1169" s="173"/>
      <c r="N1169" s="173"/>
      <c r="O1169" s="173"/>
      <c r="P1169" s="173"/>
    </row>
    <row r="1170" hidden="1">
      <c r="A1170" s="172"/>
      <c r="B1170" s="173"/>
      <c r="C1170" s="173"/>
      <c r="D1170" s="173"/>
      <c r="E1170" s="173"/>
      <c r="F1170" s="173"/>
      <c r="G1170" s="173"/>
      <c r="H1170" s="173"/>
      <c r="I1170" s="173"/>
      <c r="J1170" s="173"/>
      <c r="K1170" s="173"/>
      <c r="L1170" s="173"/>
      <c r="M1170" s="173"/>
      <c r="N1170" s="173"/>
      <c r="O1170" s="173"/>
      <c r="P1170" s="173"/>
    </row>
    <row r="1171" hidden="1">
      <c r="A1171" s="172"/>
      <c r="B1171" s="173"/>
      <c r="C1171" s="173"/>
      <c r="D1171" s="173"/>
      <c r="E1171" s="173"/>
      <c r="F1171" s="173"/>
      <c r="G1171" s="173"/>
      <c r="H1171" s="173"/>
      <c r="I1171" s="173"/>
      <c r="J1171" s="173"/>
      <c r="K1171" s="173"/>
      <c r="L1171" s="173"/>
      <c r="M1171" s="173"/>
      <c r="N1171" s="173"/>
      <c r="O1171" s="173"/>
      <c r="P1171" s="173"/>
    </row>
    <row r="1172" hidden="1">
      <c r="A1172" s="172"/>
      <c r="B1172" s="173"/>
      <c r="C1172" s="173"/>
      <c r="D1172" s="173"/>
      <c r="E1172" s="173"/>
      <c r="F1172" s="173"/>
      <c r="G1172" s="173"/>
      <c r="H1172" s="173"/>
      <c r="I1172" s="173"/>
      <c r="J1172" s="173"/>
      <c r="K1172" s="173"/>
      <c r="L1172" s="173"/>
      <c r="M1172" s="173"/>
      <c r="N1172" s="173"/>
      <c r="O1172" s="173"/>
      <c r="P1172" s="173"/>
    </row>
    <row r="1173" hidden="1">
      <c r="A1173" s="172"/>
      <c r="B1173" s="173"/>
      <c r="C1173" s="173"/>
      <c r="D1173" s="173"/>
      <c r="E1173" s="173"/>
      <c r="F1173" s="173"/>
      <c r="G1173" s="173"/>
      <c r="H1173" s="173"/>
      <c r="I1173" s="173"/>
      <c r="J1173" s="173"/>
      <c r="K1173" s="173"/>
      <c r="L1173" s="173"/>
      <c r="M1173" s="173"/>
      <c r="N1173" s="173"/>
      <c r="O1173" s="173"/>
      <c r="P1173" s="173"/>
    </row>
    <row r="1174" hidden="1">
      <c r="A1174" s="172"/>
      <c r="B1174" s="173"/>
      <c r="C1174" s="173"/>
      <c r="D1174" s="173"/>
      <c r="E1174" s="173"/>
      <c r="F1174" s="173"/>
      <c r="G1174" s="173"/>
      <c r="H1174" s="173"/>
      <c r="I1174" s="173"/>
      <c r="J1174" s="173"/>
      <c r="K1174" s="173"/>
      <c r="L1174" s="173"/>
      <c r="M1174" s="173"/>
      <c r="N1174" s="173"/>
      <c r="O1174" s="173"/>
      <c r="P1174" s="173"/>
    </row>
    <row r="1175" hidden="1">
      <c r="A1175" s="172"/>
      <c r="B1175" s="173"/>
      <c r="C1175" s="173"/>
      <c r="D1175" s="173"/>
      <c r="E1175" s="173"/>
      <c r="F1175" s="173"/>
      <c r="G1175" s="173"/>
      <c r="H1175" s="173"/>
      <c r="I1175" s="173"/>
      <c r="J1175" s="173"/>
      <c r="K1175" s="173"/>
      <c r="L1175" s="173"/>
      <c r="M1175" s="173"/>
      <c r="N1175" s="173"/>
      <c r="O1175" s="173"/>
      <c r="P1175" s="173"/>
    </row>
    <row r="1176" hidden="1">
      <c r="A1176" s="172"/>
      <c r="B1176" s="173"/>
      <c r="C1176" s="173"/>
      <c r="D1176" s="173"/>
      <c r="E1176" s="173"/>
      <c r="F1176" s="173"/>
      <c r="G1176" s="173"/>
      <c r="H1176" s="173"/>
      <c r="I1176" s="173"/>
      <c r="J1176" s="173"/>
      <c r="K1176" s="173"/>
      <c r="L1176" s="173"/>
      <c r="M1176" s="173"/>
      <c r="N1176" s="173"/>
      <c r="O1176" s="173"/>
      <c r="P1176" s="173"/>
    </row>
    <row r="1177" hidden="1">
      <c r="A1177" s="172"/>
      <c r="B1177" s="173"/>
      <c r="C1177" s="173"/>
      <c r="D1177" s="173"/>
      <c r="E1177" s="173"/>
      <c r="F1177" s="173"/>
      <c r="G1177" s="173"/>
      <c r="H1177" s="173"/>
      <c r="I1177" s="173"/>
      <c r="J1177" s="173"/>
      <c r="K1177" s="173"/>
      <c r="L1177" s="173"/>
      <c r="M1177" s="173"/>
      <c r="N1177" s="173"/>
      <c r="O1177" s="173"/>
      <c r="P1177" s="173"/>
    </row>
    <row r="1178" hidden="1">
      <c r="A1178" s="172"/>
      <c r="B1178" s="173"/>
      <c r="C1178" s="173"/>
      <c r="D1178" s="173"/>
      <c r="E1178" s="173"/>
      <c r="F1178" s="173"/>
      <c r="G1178" s="173"/>
      <c r="H1178" s="173"/>
      <c r="I1178" s="173"/>
      <c r="J1178" s="173"/>
      <c r="K1178" s="173"/>
      <c r="L1178" s="173"/>
      <c r="M1178" s="173"/>
      <c r="N1178" s="173"/>
      <c r="O1178" s="173"/>
      <c r="P1178" s="173"/>
    </row>
    <row r="1179" hidden="1">
      <c r="A1179" s="172"/>
      <c r="B1179" s="173"/>
      <c r="C1179" s="173"/>
      <c r="D1179" s="173"/>
      <c r="E1179" s="173"/>
      <c r="F1179" s="173"/>
      <c r="G1179" s="173"/>
      <c r="H1179" s="173"/>
      <c r="I1179" s="173"/>
      <c r="J1179" s="173"/>
      <c r="K1179" s="173"/>
      <c r="L1179" s="173"/>
      <c r="M1179" s="173"/>
      <c r="N1179" s="173"/>
      <c r="O1179" s="173"/>
      <c r="P1179" s="173"/>
    </row>
    <row r="1180" hidden="1">
      <c r="A1180" s="172"/>
      <c r="B1180" s="173"/>
      <c r="C1180" s="173"/>
      <c r="D1180" s="173"/>
      <c r="E1180" s="173"/>
      <c r="F1180" s="173"/>
      <c r="G1180" s="173"/>
      <c r="H1180" s="173"/>
      <c r="I1180" s="173"/>
      <c r="J1180" s="173"/>
      <c r="K1180" s="173"/>
      <c r="L1180" s="173"/>
      <c r="M1180" s="173"/>
      <c r="N1180" s="173"/>
      <c r="O1180" s="173"/>
      <c r="P1180" s="173"/>
    </row>
    <row r="1181" hidden="1">
      <c r="A1181" s="172"/>
      <c r="B1181" s="173"/>
      <c r="C1181" s="173"/>
      <c r="D1181" s="173"/>
      <c r="E1181" s="173"/>
      <c r="F1181" s="173"/>
      <c r="G1181" s="173"/>
      <c r="H1181" s="173"/>
      <c r="I1181" s="173"/>
      <c r="J1181" s="173"/>
      <c r="K1181" s="173"/>
      <c r="L1181" s="173"/>
      <c r="M1181" s="173"/>
      <c r="N1181" s="173"/>
      <c r="O1181" s="173"/>
      <c r="P1181" s="173"/>
    </row>
    <row r="1182" hidden="1">
      <c r="A1182" s="172"/>
      <c r="B1182" s="173"/>
      <c r="C1182" s="173"/>
      <c r="D1182" s="173"/>
      <c r="E1182" s="173"/>
      <c r="F1182" s="173"/>
      <c r="G1182" s="173"/>
      <c r="H1182" s="173"/>
      <c r="I1182" s="173"/>
      <c r="J1182" s="173"/>
      <c r="K1182" s="173"/>
      <c r="L1182" s="173"/>
      <c r="M1182" s="173"/>
      <c r="N1182" s="173"/>
      <c r="O1182" s="173"/>
      <c r="P1182" s="173"/>
    </row>
    <row r="1183" hidden="1">
      <c r="A1183" s="172"/>
      <c r="B1183" s="173"/>
      <c r="C1183" s="173"/>
      <c r="D1183" s="173"/>
      <c r="E1183" s="173"/>
      <c r="F1183" s="173"/>
      <c r="G1183" s="173"/>
      <c r="H1183" s="173"/>
      <c r="I1183" s="173"/>
      <c r="J1183" s="173"/>
      <c r="K1183" s="173"/>
      <c r="L1183" s="173"/>
      <c r="M1183" s="173"/>
      <c r="N1183" s="173"/>
      <c r="O1183" s="173"/>
      <c r="P1183" s="173"/>
    </row>
    <row r="1184" hidden="1">
      <c r="A1184" s="172"/>
      <c r="B1184" s="173"/>
      <c r="C1184" s="173"/>
      <c r="D1184" s="173"/>
      <c r="E1184" s="173"/>
      <c r="F1184" s="173"/>
      <c r="G1184" s="173"/>
      <c r="H1184" s="173"/>
      <c r="I1184" s="173"/>
      <c r="J1184" s="173"/>
      <c r="K1184" s="173"/>
      <c r="L1184" s="173"/>
      <c r="M1184" s="173"/>
      <c r="N1184" s="173"/>
      <c r="O1184" s="173"/>
      <c r="P1184" s="173"/>
    </row>
    <row r="1185" hidden="1">
      <c r="A1185" s="172"/>
      <c r="B1185" s="173"/>
      <c r="C1185" s="173"/>
      <c r="D1185" s="173"/>
      <c r="E1185" s="173"/>
      <c r="F1185" s="173"/>
      <c r="G1185" s="173"/>
      <c r="H1185" s="173"/>
      <c r="I1185" s="173"/>
      <c r="J1185" s="173"/>
      <c r="K1185" s="173"/>
      <c r="L1185" s="173"/>
      <c r="M1185" s="173"/>
      <c r="N1185" s="173"/>
      <c r="O1185" s="173"/>
      <c r="P1185" s="173"/>
    </row>
    <row r="1186" hidden="1">
      <c r="A1186" s="172"/>
      <c r="B1186" s="173"/>
      <c r="C1186" s="173"/>
      <c r="D1186" s="173"/>
      <c r="E1186" s="173"/>
      <c r="F1186" s="173"/>
      <c r="G1186" s="173"/>
      <c r="H1186" s="173"/>
      <c r="I1186" s="173"/>
      <c r="J1186" s="173"/>
      <c r="K1186" s="173"/>
      <c r="L1186" s="173"/>
      <c r="M1186" s="173"/>
      <c r="N1186" s="173"/>
      <c r="O1186" s="173"/>
      <c r="P1186" s="173"/>
    </row>
    <row r="1187" hidden="1">
      <c r="A1187" s="172"/>
      <c r="B1187" s="173"/>
      <c r="C1187" s="173"/>
      <c r="D1187" s="173"/>
      <c r="E1187" s="173"/>
      <c r="F1187" s="173"/>
      <c r="G1187" s="173"/>
      <c r="H1187" s="173"/>
      <c r="I1187" s="173"/>
      <c r="J1187" s="173"/>
      <c r="K1187" s="173"/>
      <c r="L1187" s="173"/>
      <c r="M1187" s="173"/>
      <c r="N1187" s="173"/>
      <c r="O1187" s="173"/>
      <c r="P1187" s="173"/>
    </row>
    <row r="1188" hidden="1">
      <c r="A1188" s="172"/>
      <c r="B1188" s="173"/>
      <c r="C1188" s="173"/>
      <c r="D1188" s="173"/>
      <c r="E1188" s="173"/>
      <c r="F1188" s="173"/>
      <c r="G1188" s="173"/>
      <c r="H1188" s="173"/>
      <c r="I1188" s="173"/>
      <c r="J1188" s="173"/>
      <c r="K1188" s="173"/>
      <c r="L1188" s="173"/>
      <c r="M1188" s="173"/>
      <c r="N1188" s="173"/>
      <c r="O1188" s="173"/>
      <c r="P1188" s="173"/>
    </row>
    <row r="1189" hidden="1">
      <c r="A1189" s="172"/>
      <c r="B1189" s="173"/>
      <c r="C1189" s="173"/>
      <c r="D1189" s="173"/>
      <c r="E1189" s="173"/>
      <c r="F1189" s="173"/>
      <c r="G1189" s="173"/>
      <c r="H1189" s="173"/>
      <c r="I1189" s="173"/>
      <c r="J1189" s="173"/>
      <c r="K1189" s="173"/>
      <c r="L1189" s="173"/>
      <c r="M1189" s="173"/>
      <c r="N1189" s="173"/>
      <c r="O1189" s="173"/>
      <c r="P1189" s="173"/>
    </row>
    <row r="1190" hidden="1">
      <c r="A1190" s="172"/>
      <c r="B1190" s="173"/>
      <c r="C1190" s="173"/>
      <c r="D1190" s="173"/>
      <c r="E1190" s="173"/>
      <c r="F1190" s="173"/>
      <c r="G1190" s="173"/>
      <c r="H1190" s="173"/>
      <c r="I1190" s="173"/>
      <c r="J1190" s="173"/>
      <c r="K1190" s="173"/>
      <c r="L1190" s="173"/>
      <c r="M1190" s="173"/>
      <c r="N1190" s="173"/>
      <c r="O1190" s="173"/>
      <c r="P1190" s="173"/>
    </row>
    <row r="1191" hidden="1">
      <c r="A1191" s="172"/>
      <c r="B1191" s="173"/>
      <c r="C1191" s="173"/>
      <c r="D1191" s="173"/>
      <c r="E1191" s="173"/>
      <c r="F1191" s="173"/>
      <c r="G1191" s="173"/>
      <c r="H1191" s="173"/>
      <c r="I1191" s="173"/>
      <c r="J1191" s="173"/>
      <c r="K1191" s="173"/>
      <c r="L1191" s="173"/>
      <c r="M1191" s="173"/>
      <c r="N1191" s="173"/>
      <c r="O1191" s="173"/>
      <c r="P1191" s="173"/>
    </row>
    <row r="1192" hidden="1">
      <c r="A1192" s="172"/>
      <c r="B1192" s="173"/>
      <c r="C1192" s="173"/>
      <c r="D1192" s="173"/>
      <c r="E1192" s="173"/>
      <c r="F1192" s="173"/>
      <c r="G1192" s="173"/>
      <c r="H1192" s="173"/>
      <c r="I1192" s="173"/>
      <c r="J1192" s="173"/>
      <c r="K1192" s="173"/>
      <c r="L1192" s="173"/>
      <c r="M1192" s="173"/>
      <c r="N1192" s="173"/>
      <c r="O1192" s="173"/>
      <c r="P1192" s="173"/>
    </row>
    <row r="1193" hidden="1">
      <c r="A1193" s="172"/>
      <c r="B1193" s="173"/>
      <c r="C1193" s="173"/>
      <c r="D1193" s="173"/>
      <c r="E1193" s="173"/>
      <c r="F1193" s="173"/>
      <c r="G1193" s="173"/>
      <c r="H1193" s="173"/>
      <c r="I1193" s="173"/>
      <c r="J1193" s="173"/>
      <c r="K1193" s="173"/>
      <c r="L1193" s="173"/>
      <c r="M1193" s="173"/>
      <c r="N1193" s="173"/>
      <c r="O1193" s="173"/>
      <c r="P1193" s="173"/>
    </row>
    <row r="1194" hidden="1">
      <c r="A1194" s="172"/>
      <c r="B1194" s="173"/>
      <c r="C1194" s="173"/>
      <c r="D1194" s="173"/>
      <c r="E1194" s="173"/>
      <c r="F1194" s="173"/>
      <c r="G1194" s="173"/>
      <c r="H1194" s="173"/>
      <c r="I1194" s="173"/>
      <c r="J1194" s="173"/>
      <c r="K1194" s="173"/>
      <c r="L1194" s="173"/>
      <c r="M1194" s="173"/>
      <c r="N1194" s="173"/>
      <c r="O1194" s="173"/>
      <c r="P1194" s="173"/>
    </row>
    <row r="1195" hidden="1">
      <c r="A1195" s="172"/>
      <c r="B1195" s="173"/>
      <c r="C1195" s="173"/>
      <c r="D1195" s="173"/>
      <c r="E1195" s="173"/>
      <c r="F1195" s="173"/>
      <c r="G1195" s="173"/>
      <c r="H1195" s="173"/>
      <c r="I1195" s="173"/>
      <c r="J1195" s="173"/>
      <c r="K1195" s="173"/>
      <c r="L1195" s="173"/>
      <c r="M1195" s="173"/>
      <c r="N1195" s="173"/>
      <c r="O1195" s="173"/>
      <c r="P1195" s="173"/>
    </row>
    <row r="1196" hidden="1">
      <c r="A1196" s="172"/>
      <c r="B1196" s="173"/>
      <c r="C1196" s="173"/>
      <c r="D1196" s="173"/>
      <c r="E1196" s="173"/>
      <c r="F1196" s="173"/>
      <c r="G1196" s="173"/>
      <c r="H1196" s="173"/>
      <c r="I1196" s="173"/>
      <c r="J1196" s="173"/>
      <c r="K1196" s="173"/>
      <c r="L1196" s="173"/>
      <c r="M1196" s="173"/>
      <c r="N1196" s="173"/>
      <c r="O1196" s="173"/>
      <c r="P1196" s="173"/>
    </row>
    <row r="1197" hidden="1">
      <c r="A1197" s="172"/>
      <c r="B1197" s="173"/>
      <c r="C1197" s="173"/>
      <c r="D1197" s="173"/>
      <c r="E1197" s="173"/>
      <c r="F1197" s="173"/>
      <c r="G1197" s="173"/>
      <c r="H1197" s="173"/>
      <c r="I1197" s="173"/>
      <c r="J1197" s="173"/>
      <c r="K1197" s="173"/>
      <c r="L1197" s="173"/>
      <c r="M1197" s="173"/>
      <c r="N1197" s="173"/>
      <c r="O1197" s="173"/>
      <c r="P1197" s="173"/>
    </row>
    <row r="1198" hidden="1">
      <c r="A1198" s="172"/>
      <c r="B1198" s="173"/>
      <c r="C1198" s="173"/>
      <c r="D1198" s="173"/>
      <c r="E1198" s="173"/>
      <c r="F1198" s="173"/>
      <c r="G1198" s="173"/>
      <c r="H1198" s="173"/>
      <c r="I1198" s="173"/>
      <c r="J1198" s="173"/>
      <c r="K1198" s="173"/>
      <c r="L1198" s="173"/>
      <c r="M1198" s="173"/>
      <c r="N1198" s="173"/>
      <c r="O1198" s="173"/>
      <c r="P1198" s="173"/>
    </row>
    <row r="1199" hidden="1">
      <c r="A1199" s="172"/>
      <c r="B1199" s="173"/>
      <c r="C1199" s="173"/>
      <c r="D1199" s="173"/>
      <c r="E1199" s="173"/>
      <c r="F1199" s="173"/>
      <c r="G1199" s="173"/>
      <c r="H1199" s="173"/>
      <c r="I1199" s="173"/>
      <c r="J1199" s="173"/>
      <c r="K1199" s="173"/>
      <c r="L1199" s="173"/>
      <c r="M1199" s="173"/>
      <c r="N1199" s="173"/>
      <c r="O1199" s="173"/>
      <c r="P1199" s="173"/>
    </row>
    <row r="1200" hidden="1">
      <c r="A1200" s="172"/>
      <c r="B1200" s="173"/>
      <c r="C1200" s="173"/>
      <c r="D1200" s="173"/>
      <c r="E1200" s="173"/>
      <c r="F1200" s="173"/>
      <c r="G1200" s="173"/>
      <c r="H1200" s="173"/>
      <c r="I1200" s="173"/>
      <c r="J1200" s="173"/>
      <c r="K1200" s="173"/>
      <c r="L1200" s="173"/>
      <c r="M1200" s="173"/>
      <c r="N1200" s="173"/>
      <c r="O1200" s="173"/>
      <c r="P1200" s="173"/>
    </row>
    <row r="1201" hidden="1">
      <c r="A1201" s="172"/>
      <c r="B1201" s="173"/>
      <c r="C1201" s="173"/>
      <c r="D1201" s="173"/>
      <c r="E1201" s="173"/>
      <c r="F1201" s="173"/>
      <c r="G1201" s="173"/>
      <c r="H1201" s="173"/>
      <c r="I1201" s="173"/>
      <c r="J1201" s="173"/>
      <c r="K1201" s="173"/>
      <c r="L1201" s="173"/>
      <c r="M1201" s="173"/>
      <c r="N1201" s="173"/>
      <c r="O1201" s="173"/>
      <c r="P1201" s="173"/>
    </row>
    <row r="1202" hidden="1">
      <c r="A1202" s="172"/>
      <c r="B1202" s="173"/>
      <c r="C1202" s="173"/>
      <c r="D1202" s="173"/>
      <c r="E1202" s="173"/>
      <c r="F1202" s="173"/>
      <c r="G1202" s="173"/>
      <c r="H1202" s="173"/>
      <c r="I1202" s="173"/>
      <c r="J1202" s="173"/>
      <c r="K1202" s="173"/>
      <c r="L1202" s="173"/>
      <c r="M1202" s="173"/>
      <c r="N1202" s="173"/>
      <c r="O1202" s="173"/>
      <c r="P1202" s="173"/>
    </row>
    <row r="1203" hidden="1">
      <c r="A1203" s="172"/>
      <c r="B1203" s="173"/>
      <c r="C1203" s="173"/>
      <c r="D1203" s="173"/>
      <c r="E1203" s="173"/>
      <c r="F1203" s="173"/>
      <c r="G1203" s="173"/>
      <c r="H1203" s="173"/>
      <c r="I1203" s="173"/>
      <c r="J1203" s="173"/>
      <c r="K1203" s="173"/>
      <c r="L1203" s="173"/>
      <c r="M1203" s="173"/>
      <c r="N1203" s="173"/>
      <c r="O1203" s="173"/>
      <c r="P1203" s="173"/>
    </row>
    <row r="1204" hidden="1">
      <c r="A1204" s="172"/>
      <c r="B1204" s="173"/>
      <c r="C1204" s="173"/>
      <c r="D1204" s="173"/>
      <c r="E1204" s="173"/>
      <c r="F1204" s="173"/>
      <c r="G1204" s="173"/>
      <c r="H1204" s="173"/>
      <c r="I1204" s="173"/>
      <c r="J1204" s="173"/>
      <c r="K1204" s="173"/>
      <c r="L1204" s="173"/>
      <c r="M1204" s="173"/>
      <c r="N1204" s="173"/>
      <c r="O1204" s="173"/>
      <c r="P1204" s="173"/>
    </row>
    <row r="1205" hidden="1">
      <c r="A1205" s="172"/>
      <c r="B1205" s="173"/>
      <c r="C1205" s="173"/>
      <c r="D1205" s="173"/>
      <c r="E1205" s="173"/>
      <c r="F1205" s="173"/>
      <c r="G1205" s="173"/>
      <c r="H1205" s="173"/>
      <c r="I1205" s="173"/>
      <c r="J1205" s="173"/>
      <c r="K1205" s="173"/>
      <c r="L1205" s="173"/>
      <c r="M1205" s="173"/>
      <c r="N1205" s="173"/>
      <c r="O1205" s="173"/>
      <c r="P1205" s="173"/>
    </row>
    <row r="1206" hidden="1">
      <c r="A1206" s="172"/>
      <c r="B1206" s="173"/>
      <c r="C1206" s="173"/>
      <c r="D1206" s="173"/>
      <c r="E1206" s="173"/>
      <c r="F1206" s="173"/>
      <c r="G1206" s="173"/>
      <c r="H1206" s="173"/>
      <c r="I1206" s="173"/>
      <c r="J1206" s="173"/>
      <c r="K1206" s="173"/>
      <c r="L1206" s="173"/>
      <c r="M1206" s="173"/>
      <c r="N1206" s="173"/>
      <c r="O1206" s="173"/>
      <c r="P1206" s="173"/>
    </row>
    <row r="1207" hidden="1">
      <c r="A1207" s="172"/>
      <c r="B1207" s="173"/>
      <c r="C1207" s="173"/>
      <c r="D1207" s="173"/>
      <c r="E1207" s="173"/>
      <c r="F1207" s="173"/>
      <c r="G1207" s="173"/>
      <c r="H1207" s="173"/>
      <c r="I1207" s="173"/>
      <c r="J1207" s="173"/>
      <c r="K1207" s="173"/>
      <c r="L1207" s="173"/>
      <c r="M1207" s="173"/>
      <c r="N1207" s="173"/>
      <c r="O1207" s="173"/>
      <c r="P1207" s="173"/>
    </row>
    <row r="1208" hidden="1">
      <c r="A1208" s="172"/>
      <c r="B1208" s="173"/>
      <c r="C1208" s="173"/>
      <c r="D1208" s="173"/>
      <c r="E1208" s="173"/>
      <c r="F1208" s="173"/>
      <c r="G1208" s="173"/>
      <c r="H1208" s="173"/>
      <c r="I1208" s="173"/>
      <c r="J1208" s="173"/>
      <c r="K1208" s="173"/>
      <c r="L1208" s="173"/>
      <c r="M1208" s="173"/>
      <c r="N1208" s="173"/>
      <c r="O1208" s="173"/>
      <c r="P1208" s="173"/>
    </row>
    <row r="1209" hidden="1">
      <c r="A1209" s="172"/>
      <c r="B1209" s="173"/>
      <c r="C1209" s="173"/>
      <c r="D1209" s="173"/>
      <c r="E1209" s="173"/>
      <c r="F1209" s="173"/>
      <c r="G1209" s="173"/>
      <c r="H1209" s="173"/>
      <c r="I1209" s="173"/>
      <c r="J1209" s="173"/>
      <c r="K1209" s="173"/>
      <c r="L1209" s="173"/>
      <c r="M1209" s="173"/>
      <c r="N1209" s="173"/>
      <c r="O1209" s="173"/>
      <c r="P1209" s="173"/>
    </row>
    <row r="1210" hidden="1">
      <c r="A1210" s="172"/>
      <c r="B1210" s="173"/>
      <c r="C1210" s="173"/>
      <c r="D1210" s="173"/>
      <c r="E1210" s="173"/>
      <c r="F1210" s="173"/>
      <c r="G1210" s="173"/>
      <c r="H1210" s="173"/>
      <c r="I1210" s="173"/>
      <c r="J1210" s="173"/>
      <c r="K1210" s="173"/>
      <c r="L1210" s="173"/>
      <c r="M1210" s="173"/>
      <c r="N1210" s="173"/>
      <c r="O1210" s="173"/>
      <c r="P1210" s="173"/>
    </row>
    <row r="1211" hidden="1">
      <c r="A1211" s="172"/>
      <c r="B1211" s="173"/>
      <c r="C1211" s="173"/>
      <c r="D1211" s="173"/>
      <c r="E1211" s="173"/>
      <c r="F1211" s="173"/>
      <c r="G1211" s="173"/>
      <c r="H1211" s="173"/>
      <c r="I1211" s="173"/>
      <c r="J1211" s="173"/>
      <c r="K1211" s="173"/>
      <c r="L1211" s="173"/>
      <c r="M1211" s="173"/>
      <c r="N1211" s="173"/>
      <c r="O1211" s="173"/>
      <c r="P1211" s="173"/>
    </row>
    <row r="1212" hidden="1">
      <c r="A1212" s="172"/>
      <c r="B1212" s="173"/>
      <c r="C1212" s="173"/>
      <c r="D1212" s="173"/>
      <c r="E1212" s="173"/>
      <c r="F1212" s="173"/>
      <c r="G1212" s="173"/>
      <c r="H1212" s="173"/>
      <c r="I1212" s="173"/>
      <c r="J1212" s="173"/>
      <c r="K1212" s="173"/>
      <c r="L1212" s="173"/>
      <c r="M1212" s="173"/>
      <c r="N1212" s="173"/>
      <c r="O1212" s="173"/>
      <c r="P1212" s="173"/>
    </row>
    <row r="1213" hidden="1">
      <c r="A1213" s="172"/>
      <c r="B1213" s="173"/>
      <c r="C1213" s="173"/>
      <c r="D1213" s="173"/>
      <c r="E1213" s="173"/>
      <c r="F1213" s="173"/>
      <c r="G1213" s="173"/>
      <c r="H1213" s="173"/>
      <c r="I1213" s="173"/>
      <c r="J1213" s="173"/>
      <c r="K1213" s="173"/>
      <c r="L1213" s="173"/>
      <c r="M1213" s="173"/>
      <c r="N1213" s="173"/>
      <c r="O1213" s="173"/>
      <c r="P1213" s="173"/>
    </row>
    <row r="1214" hidden="1">
      <c r="A1214" s="172"/>
      <c r="B1214" s="173"/>
      <c r="C1214" s="173"/>
      <c r="D1214" s="173"/>
      <c r="E1214" s="173"/>
      <c r="F1214" s="173"/>
      <c r="G1214" s="173"/>
      <c r="H1214" s="173"/>
      <c r="I1214" s="173"/>
      <c r="J1214" s="173"/>
      <c r="K1214" s="173"/>
      <c r="L1214" s="173"/>
      <c r="M1214" s="173"/>
      <c r="N1214" s="173"/>
      <c r="O1214" s="173"/>
      <c r="P1214" s="173"/>
    </row>
    <row r="1215" hidden="1">
      <c r="A1215" s="172"/>
      <c r="B1215" s="173"/>
      <c r="C1215" s="173"/>
      <c r="D1215" s="173"/>
      <c r="E1215" s="173"/>
      <c r="F1215" s="173"/>
      <c r="G1215" s="173"/>
      <c r="H1215" s="173"/>
      <c r="I1215" s="173"/>
      <c r="J1215" s="173"/>
      <c r="K1215" s="173"/>
      <c r="L1215" s="173"/>
      <c r="M1215" s="173"/>
      <c r="N1215" s="173"/>
      <c r="O1215" s="173"/>
      <c r="P1215" s="173"/>
    </row>
    <row r="1216" hidden="1">
      <c r="A1216" s="172"/>
      <c r="B1216" s="173"/>
      <c r="C1216" s="173"/>
      <c r="D1216" s="173"/>
      <c r="E1216" s="173"/>
      <c r="F1216" s="173"/>
      <c r="G1216" s="173"/>
      <c r="H1216" s="173"/>
      <c r="I1216" s="173"/>
      <c r="J1216" s="173"/>
      <c r="K1216" s="173"/>
      <c r="L1216" s="173"/>
      <c r="M1216" s="173"/>
      <c r="N1216" s="173"/>
      <c r="O1216" s="173"/>
      <c r="P1216" s="173"/>
    </row>
    <row r="1217" hidden="1">
      <c r="A1217" s="172"/>
      <c r="B1217" s="173"/>
      <c r="C1217" s="173"/>
      <c r="D1217" s="173"/>
      <c r="E1217" s="173"/>
      <c r="F1217" s="173"/>
      <c r="G1217" s="173"/>
      <c r="H1217" s="173"/>
      <c r="I1217" s="173"/>
      <c r="J1217" s="173"/>
      <c r="K1217" s="173"/>
      <c r="L1217" s="173"/>
      <c r="M1217" s="173"/>
      <c r="N1217" s="173"/>
      <c r="O1217" s="173"/>
      <c r="P1217" s="173"/>
    </row>
    <row r="1218" hidden="1">
      <c r="A1218" s="172"/>
      <c r="B1218" s="173"/>
      <c r="C1218" s="173"/>
      <c r="D1218" s="173"/>
      <c r="E1218" s="173"/>
      <c r="F1218" s="173"/>
      <c r="G1218" s="173"/>
      <c r="H1218" s="173"/>
      <c r="I1218" s="173"/>
      <c r="J1218" s="173"/>
      <c r="K1218" s="173"/>
      <c r="L1218" s="173"/>
      <c r="M1218" s="173"/>
      <c r="N1218" s="173"/>
      <c r="O1218" s="173"/>
      <c r="P1218" s="173"/>
    </row>
    <row r="1219" hidden="1">
      <c r="A1219" s="172"/>
      <c r="B1219" s="173"/>
      <c r="C1219" s="173"/>
      <c r="D1219" s="173"/>
      <c r="E1219" s="173"/>
      <c r="F1219" s="173"/>
      <c r="G1219" s="173"/>
      <c r="H1219" s="173"/>
      <c r="I1219" s="173"/>
      <c r="J1219" s="173"/>
      <c r="K1219" s="173"/>
      <c r="L1219" s="173"/>
      <c r="M1219" s="173"/>
      <c r="N1219" s="173"/>
      <c r="O1219" s="173"/>
      <c r="P1219" s="173"/>
    </row>
    <row r="1220" hidden="1">
      <c r="A1220" s="172"/>
      <c r="B1220" s="173"/>
      <c r="C1220" s="173"/>
      <c r="D1220" s="173"/>
      <c r="E1220" s="173"/>
      <c r="F1220" s="173"/>
      <c r="G1220" s="173"/>
      <c r="H1220" s="173"/>
      <c r="I1220" s="173"/>
      <c r="J1220" s="173"/>
      <c r="K1220" s="173"/>
      <c r="L1220" s="173"/>
      <c r="M1220" s="173"/>
      <c r="N1220" s="173"/>
      <c r="O1220" s="173"/>
      <c r="P1220" s="173"/>
    </row>
    <row r="1221" hidden="1">
      <c r="A1221" s="172"/>
      <c r="B1221" s="173"/>
      <c r="C1221" s="173"/>
      <c r="D1221" s="173"/>
      <c r="E1221" s="173"/>
      <c r="F1221" s="173"/>
      <c r="G1221" s="173"/>
      <c r="H1221" s="173"/>
      <c r="I1221" s="173"/>
      <c r="J1221" s="173"/>
      <c r="K1221" s="173"/>
      <c r="L1221" s="173"/>
      <c r="M1221" s="173"/>
      <c r="N1221" s="173"/>
      <c r="O1221" s="173"/>
      <c r="P1221" s="173"/>
    </row>
    <row r="1222" hidden="1">
      <c r="A1222" s="172"/>
      <c r="B1222" s="173"/>
      <c r="C1222" s="173"/>
      <c r="D1222" s="173"/>
      <c r="E1222" s="173"/>
      <c r="F1222" s="173"/>
      <c r="G1222" s="173"/>
      <c r="H1222" s="173"/>
      <c r="I1222" s="173"/>
      <c r="J1222" s="173"/>
      <c r="K1222" s="173"/>
      <c r="L1222" s="173"/>
      <c r="M1222" s="173"/>
      <c r="N1222" s="173"/>
      <c r="O1222" s="173"/>
      <c r="P1222" s="173"/>
    </row>
    <row r="1223" hidden="1">
      <c r="A1223" s="172"/>
      <c r="B1223" s="173"/>
      <c r="C1223" s="173"/>
      <c r="D1223" s="173"/>
      <c r="E1223" s="173"/>
      <c r="F1223" s="173"/>
      <c r="G1223" s="173"/>
      <c r="H1223" s="173"/>
      <c r="I1223" s="173"/>
      <c r="J1223" s="173"/>
      <c r="K1223" s="173"/>
      <c r="L1223" s="173"/>
      <c r="M1223" s="173"/>
      <c r="N1223" s="173"/>
      <c r="O1223" s="173"/>
      <c r="P1223" s="173"/>
    </row>
    <row r="1224" hidden="1">
      <c r="A1224" s="172"/>
      <c r="B1224" s="173"/>
      <c r="C1224" s="173"/>
      <c r="D1224" s="173"/>
      <c r="E1224" s="173"/>
      <c r="F1224" s="173"/>
      <c r="G1224" s="173"/>
      <c r="H1224" s="173"/>
      <c r="I1224" s="173"/>
      <c r="J1224" s="173"/>
      <c r="K1224" s="173"/>
      <c r="L1224" s="173"/>
      <c r="M1224" s="173"/>
      <c r="N1224" s="173"/>
      <c r="O1224" s="173"/>
      <c r="P1224" s="173"/>
    </row>
    <row r="1225" hidden="1">
      <c r="A1225" s="172"/>
      <c r="B1225" s="173"/>
      <c r="C1225" s="173"/>
      <c r="D1225" s="173"/>
      <c r="E1225" s="173"/>
      <c r="F1225" s="173"/>
      <c r="G1225" s="173"/>
      <c r="H1225" s="173"/>
      <c r="I1225" s="173"/>
      <c r="J1225" s="173"/>
      <c r="K1225" s="173"/>
      <c r="L1225" s="173"/>
      <c r="M1225" s="173"/>
      <c r="N1225" s="173"/>
      <c r="O1225" s="173"/>
      <c r="P1225" s="173"/>
    </row>
    <row r="1226" hidden="1">
      <c r="A1226" s="172"/>
      <c r="B1226" s="173"/>
      <c r="C1226" s="173"/>
      <c r="D1226" s="173"/>
      <c r="E1226" s="173"/>
      <c r="F1226" s="173"/>
      <c r="G1226" s="173"/>
      <c r="H1226" s="173"/>
      <c r="I1226" s="173"/>
      <c r="J1226" s="173"/>
      <c r="K1226" s="173"/>
      <c r="L1226" s="173"/>
      <c r="M1226" s="173"/>
      <c r="N1226" s="173"/>
      <c r="O1226" s="173"/>
      <c r="P1226" s="173"/>
    </row>
    <row r="1227" hidden="1">
      <c r="A1227" s="172"/>
      <c r="B1227" s="173"/>
      <c r="C1227" s="173"/>
      <c r="D1227" s="173"/>
      <c r="E1227" s="173"/>
      <c r="F1227" s="173"/>
      <c r="G1227" s="173"/>
      <c r="H1227" s="173"/>
      <c r="I1227" s="173"/>
      <c r="J1227" s="173"/>
      <c r="K1227" s="173"/>
      <c r="L1227" s="173"/>
      <c r="M1227" s="173"/>
      <c r="N1227" s="173"/>
      <c r="O1227" s="173"/>
      <c r="P1227" s="173"/>
    </row>
    <row r="1228" hidden="1">
      <c r="A1228" s="172"/>
      <c r="B1228" s="173"/>
      <c r="C1228" s="173"/>
      <c r="D1228" s="173"/>
      <c r="E1228" s="173"/>
      <c r="F1228" s="173"/>
      <c r="G1228" s="173"/>
      <c r="H1228" s="173"/>
      <c r="I1228" s="173"/>
      <c r="J1228" s="173"/>
      <c r="K1228" s="173"/>
      <c r="L1228" s="173"/>
      <c r="M1228" s="173"/>
      <c r="N1228" s="173"/>
      <c r="O1228" s="173"/>
      <c r="P1228" s="173"/>
    </row>
    <row r="1229" hidden="1">
      <c r="A1229" s="172"/>
      <c r="B1229" s="173"/>
      <c r="C1229" s="173"/>
      <c r="D1229" s="173"/>
      <c r="E1229" s="173"/>
      <c r="F1229" s="173"/>
      <c r="G1229" s="173"/>
      <c r="H1229" s="173"/>
      <c r="I1229" s="173"/>
      <c r="J1229" s="173"/>
      <c r="K1229" s="173"/>
      <c r="L1229" s="173"/>
      <c r="M1229" s="173"/>
      <c r="N1229" s="173"/>
      <c r="O1229" s="173"/>
      <c r="P1229" s="173"/>
    </row>
    <row r="1230" hidden="1">
      <c r="A1230" s="172"/>
      <c r="B1230" s="173"/>
      <c r="C1230" s="173"/>
      <c r="D1230" s="173"/>
      <c r="E1230" s="173"/>
      <c r="F1230" s="173"/>
      <c r="G1230" s="173"/>
      <c r="H1230" s="173"/>
      <c r="I1230" s="173"/>
      <c r="J1230" s="173"/>
      <c r="K1230" s="173"/>
      <c r="L1230" s="173"/>
      <c r="M1230" s="173"/>
      <c r="N1230" s="173"/>
      <c r="O1230" s="173"/>
      <c r="P1230" s="173"/>
    </row>
    <row r="1231" hidden="1">
      <c r="A1231" s="172"/>
      <c r="B1231" s="173"/>
      <c r="C1231" s="173"/>
      <c r="D1231" s="173"/>
      <c r="E1231" s="173"/>
      <c r="F1231" s="173"/>
      <c r="G1231" s="173"/>
      <c r="H1231" s="173"/>
      <c r="I1231" s="173"/>
      <c r="J1231" s="173"/>
      <c r="K1231" s="173"/>
      <c r="L1231" s="173"/>
      <c r="M1231" s="173"/>
      <c r="N1231" s="173"/>
      <c r="O1231" s="173"/>
      <c r="P1231" s="173"/>
    </row>
    <row r="1232" hidden="1">
      <c r="A1232" s="172"/>
      <c r="B1232" s="173"/>
      <c r="C1232" s="173"/>
      <c r="D1232" s="173"/>
      <c r="E1232" s="173"/>
      <c r="F1232" s="173"/>
      <c r="G1232" s="173"/>
      <c r="H1232" s="173"/>
      <c r="I1232" s="173"/>
      <c r="J1232" s="173"/>
      <c r="K1232" s="173"/>
      <c r="L1232" s="173"/>
      <c r="M1232" s="173"/>
      <c r="N1232" s="173"/>
      <c r="O1232" s="173"/>
      <c r="P1232" s="173"/>
    </row>
    <row r="1233" hidden="1">
      <c r="A1233" s="172"/>
      <c r="B1233" s="173"/>
      <c r="C1233" s="173"/>
      <c r="D1233" s="173"/>
      <c r="E1233" s="173"/>
      <c r="F1233" s="173"/>
      <c r="G1233" s="173"/>
      <c r="H1233" s="173"/>
      <c r="I1233" s="173"/>
      <c r="J1233" s="173"/>
      <c r="K1233" s="173"/>
      <c r="L1233" s="173"/>
      <c r="M1233" s="173"/>
      <c r="N1233" s="173"/>
      <c r="O1233" s="173"/>
      <c r="P1233" s="173"/>
    </row>
    <row r="1234" hidden="1">
      <c r="A1234" s="172"/>
      <c r="B1234" s="173"/>
      <c r="C1234" s="173"/>
      <c r="D1234" s="173"/>
      <c r="E1234" s="173"/>
      <c r="F1234" s="173"/>
      <c r="G1234" s="173"/>
      <c r="H1234" s="173"/>
      <c r="I1234" s="173"/>
      <c r="J1234" s="173"/>
      <c r="K1234" s="173"/>
      <c r="L1234" s="173"/>
      <c r="M1234" s="173"/>
      <c r="N1234" s="173"/>
      <c r="O1234" s="173"/>
      <c r="P1234" s="173"/>
    </row>
    <row r="1235" hidden="1">
      <c r="A1235" s="172"/>
      <c r="B1235" s="173"/>
      <c r="C1235" s="173"/>
      <c r="D1235" s="173"/>
      <c r="E1235" s="173"/>
      <c r="F1235" s="173"/>
      <c r="G1235" s="173"/>
      <c r="H1235" s="173"/>
      <c r="I1235" s="173"/>
      <c r="J1235" s="173"/>
      <c r="K1235" s="173"/>
      <c r="L1235" s="173"/>
      <c r="M1235" s="173"/>
      <c r="N1235" s="173"/>
      <c r="O1235" s="173"/>
      <c r="P1235" s="173"/>
    </row>
    <row r="1236" hidden="1">
      <c r="A1236" s="172"/>
      <c r="B1236" s="173"/>
      <c r="C1236" s="173"/>
      <c r="D1236" s="173"/>
      <c r="E1236" s="173"/>
      <c r="F1236" s="173"/>
      <c r="G1236" s="173"/>
      <c r="H1236" s="173"/>
      <c r="I1236" s="173"/>
      <c r="J1236" s="173"/>
      <c r="K1236" s="173"/>
      <c r="L1236" s="173"/>
      <c r="M1236" s="173"/>
      <c r="N1236" s="173"/>
      <c r="O1236" s="173"/>
      <c r="P1236" s="173"/>
    </row>
    <row r="1237" hidden="1">
      <c r="A1237" s="172"/>
      <c r="B1237" s="173"/>
      <c r="C1237" s="173"/>
      <c r="D1237" s="173"/>
      <c r="E1237" s="173"/>
      <c r="F1237" s="173"/>
      <c r="G1237" s="173"/>
      <c r="H1237" s="173"/>
      <c r="I1237" s="173"/>
      <c r="J1237" s="173"/>
      <c r="K1237" s="173"/>
      <c r="L1237" s="173"/>
      <c r="M1237" s="173"/>
      <c r="N1237" s="173"/>
      <c r="O1237" s="173"/>
      <c r="P1237" s="173"/>
    </row>
    <row r="1238" hidden="1">
      <c r="A1238" s="172"/>
      <c r="B1238" s="173"/>
      <c r="C1238" s="173"/>
      <c r="D1238" s="173"/>
      <c r="E1238" s="173"/>
      <c r="F1238" s="173"/>
      <c r="G1238" s="173"/>
      <c r="H1238" s="173"/>
      <c r="I1238" s="173"/>
      <c r="J1238" s="173"/>
      <c r="K1238" s="173"/>
      <c r="L1238" s="173"/>
      <c r="M1238" s="173"/>
      <c r="N1238" s="173"/>
      <c r="O1238" s="173"/>
      <c r="P1238" s="173"/>
    </row>
    <row r="1239" hidden="1">
      <c r="A1239" s="172"/>
      <c r="B1239" s="173"/>
      <c r="C1239" s="173"/>
      <c r="D1239" s="173"/>
      <c r="E1239" s="173"/>
      <c r="F1239" s="173"/>
      <c r="G1239" s="173"/>
      <c r="H1239" s="173"/>
      <c r="I1239" s="173"/>
      <c r="J1239" s="173"/>
      <c r="K1239" s="173"/>
      <c r="L1239" s="173"/>
      <c r="M1239" s="173"/>
      <c r="N1239" s="173"/>
      <c r="O1239" s="173"/>
      <c r="P1239" s="173"/>
    </row>
    <row r="1240" hidden="1">
      <c r="A1240" s="172"/>
      <c r="B1240" s="173"/>
      <c r="C1240" s="173"/>
      <c r="D1240" s="173"/>
      <c r="E1240" s="173"/>
      <c r="F1240" s="173"/>
      <c r="G1240" s="173"/>
      <c r="H1240" s="173"/>
      <c r="I1240" s="173"/>
      <c r="J1240" s="173"/>
      <c r="K1240" s="173"/>
      <c r="L1240" s="173"/>
      <c r="M1240" s="173"/>
      <c r="N1240" s="173"/>
      <c r="O1240" s="173"/>
      <c r="P1240" s="173"/>
    </row>
    <row r="1241" hidden="1">
      <c r="A1241" s="172"/>
      <c r="B1241" s="173"/>
      <c r="C1241" s="173"/>
      <c r="D1241" s="173"/>
      <c r="E1241" s="173"/>
      <c r="F1241" s="173"/>
      <c r="G1241" s="173"/>
      <c r="H1241" s="173"/>
      <c r="I1241" s="173"/>
      <c r="J1241" s="173"/>
      <c r="K1241" s="173"/>
      <c r="L1241" s="173"/>
      <c r="M1241" s="173"/>
      <c r="N1241" s="173"/>
      <c r="O1241" s="173"/>
      <c r="P1241" s="173"/>
    </row>
    <row r="1242" hidden="1">
      <c r="A1242" s="172"/>
      <c r="B1242" s="173"/>
      <c r="C1242" s="173"/>
      <c r="D1242" s="173"/>
      <c r="E1242" s="173"/>
      <c r="F1242" s="173"/>
      <c r="G1242" s="173"/>
      <c r="H1242" s="173"/>
      <c r="I1242" s="173"/>
      <c r="J1242" s="173"/>
      <c r="K1242" s="173"/>
      <c r="L1242" s="173"/>
      <c r="M1242" s="173"/>
      <c r="N1242" s="173"/>
      <c r="O1242" s="173"/>
      <c r="P1242" s="173"/>
    </row>
    <row r="1243" hidden="1">
      <c r="A1243" s="172"/>
      <c r="B1243" s="173"/>
      <c r="C1243" s="173"/>
      <c r="D1243" s="173"/>
      <c r="E1243" s="173"/>
      <c r="F1243" s="173"/>
      <c r="G1243" s="173"/>
      <c r="H1243" s="173"/>
      <c r="I1243" s="173"/>
      <c r="J1243" s="173"/>
      <c r="K1243" s="173"/>
      <c r="L1243" s="173"/>
      <c r="M1243" s="173"/>
      <c r="N1243" s="173"/>
      <c r="O1243" s="173"/>
      <c r="P1243" s="173"/>
    </row>
    <row r="1244" hidden="1">
      <c r="A1244" s="172"/>
      <c r="B1244" s="173"/>
      <c r="C1244" s="173"/>
      <c r="D1244" s="173"/>
      <c r="E1244" s="173"/>
      <c r="F1244" s="173"/>
      <c r="G1244" s="173"/>
      <c r="H1244" s="173"/>
      <c r="I1244" s="173"/>
      <c r="J1244" s="173"/>
      <c r="K1244" s="173"/>
      <c r="L1244" s="173"/>
      <c r="M1244" s="173"/>
      <c r="N1244" s="173"/>
      <c r="O1244" s="173"/>
      <c r="P1244" s="173"/>
    </row>
    <row r="1245" hidden="1">
      <c r="A1245" s="172"/>
      <c r="B1245" s="173"/>
      <c r="C1245" s="173"/>
      <c r="D1245" s="173"/>
      <c r="E1245" s="173"/>
      <c r="F1245" s="173"/>
      <c r="G1245" s="173"/>
      <c r="H1245" s="173"/>
      <c r="I1245" s="173"/>
      <c r="J1245" s="173"/>
      <c r="K1245" s="173"/>
      <c r="L1245" s="173"/>
      <c r="M1245" s="173"/>
      <c r="N1245" s="173"/>
      <c r="O1245" s="173"/>
      <c r="P1245" s="173"/>
    </row>
    <row r="1246" hidden="1">
      <c r="A1246" s="172"/>
      <c r="B1246" s="173"/>
      <c r="C1246" s="173"/>
      <c r="D1246" s="173"/>
      <c r="E1246" s="173"/>
      <c r="F1246" s="173"/>
      <c r="G1246" s="173"/>
      <c r="H1246" s="173"/>
      <c r="I1246" s="173"/>
      <c r="J1246" s="173"/>
      <c r="K1246" s="173"/>
      <c r="L1246" s="173"/>
      <c r="M1246" s="173"/>
      <c r="N1246" s="173"/>
      <c r="O1246" s="173"/>
      <c r="P1246" s="173"/>
    </row>
    <row r="1247" hidden="1">
      <c r="A1247" s="172"/>
      <c r="B1247" s="173"/>
      <c r="C1247" s="173"/>
      <c r="D1247" s="173"/>
      <c r="E1247" s="173"/>
      <c r="F1247" s="173"/>
      <c r="G1247" s="173"/>
      <c r="H1247" s="173"/>
      <c r="I1247" s="173"/>
      <c r="J1247" s="173"/>
      <c r="K1247" s="173"/>
      <c r="L1247" s="173"/>
      <c r="M1247" s="173"/>
      <c r="N1247" s="173"/>
      <c r="O1247" s="173"/>
      <c r="P1247" s="173"/>
    </row>
    <row r="1248" hidden="1">
      <c r="A1248" s="172"/>
      <c r="B1248" s="173"/>
      <c r="C1248" s="173"/>
      <c r="D1248" s="173"/>
      <c r="E1248" s="173"/>
      <c r="F1248" s="173"/>
      <c r="G1248" s="173"/>
      <c r="H1248" s="173"/>
      <c r="I1248" s="173"/>
      <c r="J1248" s="173"/>
      <c r="K1248" s="173"/>
      <c r="L1248" s="173"/>
      <c r="M1248" s="173"/>
      <c r="N1248" s="173"/>
      <c r="O1248" s="173"/>
      <c r="P1248" s="173"/>
    </row>
    <row r="1249" hidden="1">
      <c r="A1249" s="172"/>
      <c r="B1249" s="173"/>
      <c r="C1249" s="173"/>
      <c r="D1249" s="173"/>
      <c r="E1249" s="173"/>
      <c r="F1249" s="173"/>
      <c r="G1249" s="173"/>
      <c r="H1249" s="173"/>
      <c r="I1249" s="173"/>
      <c r="J1249" s="173"/>
      <c r="K1249" s="173"/>
      <c r="L1249" s="173"/>
      <c r="M1249" s="173"/>
      <c r="N1249" s="173"/>
      <c r="O1249" s="173"/>
      <c r="P1249" s="173"/>
    </row>
    <row r="1250" hidden="1">
      <c r="A1250" s="172"/>
      <c r="B1250" s="173"/>
      <c r="C1250" s="173"/>
      <c r="D1250" s="173"/>
      <c r="E1250" s="173"/>
      <c r="F1250" s="173"/>
      <c r="G1250" s="173"/>
      <c r="H1250" s="173"/>
      <c r="I1250" s="173"/>
      <c r="J1250" s="173"/>
      <c r="K1250" s="173"/>
      <c r="L1250" s="173"/>
      <c r="M1250" s="173"/>
      <c r="N1250" s="173"/>
      <c r="O1250" s="173"/>
      <c r="P1250" s="173"/>
    </row>
    <row r="1251" hidden="1">
      <c r="A1251" s="172"/>
      <c r="B1251" s="173"/>
      <c r="C1251" s="173"/>
      <c r="D1251" s="173"/>
      <c r="E1251" s="173"/>
      <c r="F1251" s="173"/>
      <c r="G1251" s="173"/>
      <c r="H1251" s="173"/>
      <c r="I1251" s="173"/>
      <c r="J1251" s="173"/>
      <c r="K1251" s="173"/>
      <c r="L1251" s="173"/>
      <c r="M1251" s="173"/>
      <c r="N1251" s="173"/>
      <c r="O1251" s="173"/>
      <c r="P1251" s="173"/>
    </row>
    <row r="1252" hidden="1">
      <c r="A1252" s="172"/>
      <c r="B1252" s="173"/>
      <c r="C1252" s="173"/>
      <c r="D1252" s="173"/>
      <c r="E1252" s="173"/>
      <c r="F1252" s="173"/>
      <c r="G1252" s="173"/>
      <c r="H1252" s="173"/>
      <c r="I1252" s="173"/>
      <c r="J1252" s="173"/>
      <c r="K1252" s="173"/>
      <c r="L1252" s="173"/>
      <c r="M1252" s="173"/>
      <c r="N1252" s="173"/>
      <c r="O1252" s="173"/>
      <c r="P1252" s="173"/>
    </row>
    <row r="1253" hidden="1">
      <c r="A1253" s="172"/>
      <c r="B1253" s="173"/>
      <c r="C1253" s="173"/>
      <c r="D1253" s="173"/>
      <c r="E1253" s="173"/>
      <c r="F1253" s="173"/>
      <c r="G1253" s="173"/>
      <c r="H1253" s="173"/>
      <c r="I1253" s="173"/>
      <c r="J1253" s="173"/>
      <c r="K1253" s="173"/>
      <c r="L1253" s="173"/>
      <c r="M1253" s="173"/>
      <c r="N1253" s="173"/>
      <c r="O1253" s="173"/>
      <c r="P1253" s="173"/>
    </row>
    <row r="1254" hidden="1">
      <c r="A1254" s="172"/>
      <c r="B1254" s="173"/>
      <c r="C1254" s="173"/>
      <c r="D1254" s="173"/>
      <c r="E1254" s="173"/>
      <c r="F1254" s="173"/>
      <c r="G1254" s="173"/>
      <c r="H1254" s="173"/>
      <c r="I1254" s="173"/>
      <c r="J1254" s="173"/>
      <c r="K1254" s="173"/>
      <c r="L1254" s="173"/>
      <c r="M1254" s="173"/>
      <c r="N1254" s="173"/>
      <c r="O1254" s="173"/>
      <c r="P1254" s="173"/>
    </row>
    <row r="1255" hidden="1">
      <c r="A1255" s="172"/>
      <c r="B1255" s="173"/>
      <c r="C1255" s="173"/>
      <c r="D1255" s="173"/>
      <c r="E1255" s="173"/>
      <c r="F1255" s="173"/>
      <c r="G1255" s="173"/>
      <c r="H1255" s="173"/>
      <c r="I1255" s="173"/>
      <c r="J1255" s="173"/>
      <c r="K1255" s="173"/>
      <c r="L1255" s="173"/>
      <c r="M1255" s="173"/>
      <c r="N1255" s="173"/>
      <c r="O1255" s="173"/>
      <c r="P1255" s="173"/>
    </row>
    <row r="1256" hidden="1">
      <c r="A1256" s="172"/>
      <c r="B1256" s="173"/>
      <c r="C1256" s="173"/>
      <c r="D1256" s="173"/>
      <c r="E1256" s="173"/>
      <c r="F1256" s="173"/>
      <c r="G1256" s="173"/>
      <c r="H1256" s="173"/>
      <c r="I1256" s="173"/>
      <c r="J1256" s="173"/>
      <c r="K1256" s="173"/>
      <c r="L1256" s="173"/>
      <c r="M1256" s="173"/>
      <c r="N1256" s="173"/>
      <c r="O1256" s="173"/>
      <c r="P1256" s="173"/>
    </row>
    <row r="1257" hidden="1">
      <c r="A1257" s="172"/>
      <c r="B1257" s="173"/>
      <c r="C1257" s="173"/>
      <c r="D1257" s="173"/>
      <c r="E1257" s="173"/>
      <c r="F1257" s="173"/>
      <c r="G1257" s="173"/>
      <c r="H1257" s="173"/>
      <c r="I1257" s="173"/>
      <c r="J1257" s="173"/>
      <c r="K1257" s="173"/>
      <c r="L1257" s="173"/>
      <c r="M1257" s="173"/>
      <c r="N1257" s="173"/>
      <c r="O1257" s="173"/>
      <c r="P1257" s="173"/>
    </row>
    <row r="1258" hidden="1">
      <c r="A1258" s="172"/>
      <c r="B1258" s="173"/>
      <c r="C1258" s="173"/>
      <c r="D1258" s="173"/>
      <c r="E1258" s="173"/>
      <c r="F1258" s="173"/>
      <c r="G1258" s="173"/>
      <c r="H1258" s="173"/>
      <c r="I1258" s="173"/>
      <c r="J1258" s="173"/>
      <c r="K1258" s="173"/>
      <c r="L1258" s="173"/>
      <c r="M1258" s="173"/>
      <c r="N1258" s="173"/>
      <c r="O1258" s="173"/>
      <c r="P1258" s="173"/>
    </row>
    <row r="1259" hidden="1">
      <c r="A1259" s="172"/>
      <c r="B1259" s="173"/>
      <c r="C1259" s="173"/>
      <c r="D1259" s="173"/>
      <c r="E1259" s="173"/>
      <c r="F1259" s="173"/>
      <c r="G1259" s="173"/>
      <c r="H1259" s="173"/>
      <c r="I1259" s="173"/>
      <c r="J1259" s="173"/>
      <c r="K1259" s="173"/>
      <c r="L1259" s="173"/>
      <c r="M1259" s="173"/>
      <c r="N1259" s="173"/>
      <c r="O1259" s="173"/>
      <c r="P1259" s="173"/>
    </row>
    <row r="1260" hidden="1">
      <c r="A1260" s="172"/>
      <c r="B1260" s="173"/>
      <c r="C1260" s="173"/>
      <c r="D1260" s="173"/>
      <c r="E1260" s="173"/>
      <c r="F1260" s="173"/>
      <c r="G1260" s="173"/>
      <c r="H1260" s="173"/>
      <c r="I1260" s="173"/>
      <c r="J1260" s="173"/>
      <c r="K1260" s="173"/>
      <c r="L1260" s="173"/>
      <c r="M1260" s="173"/>
      <c r="N1260" s="173"/>
      <c r="O1260" s="173"/>
      <c r="P1260" s="173"/>
    </row>
    <row r="1261" hidden="1">
      <c r="A1261" s="172"/>
      <c r="B1261" s="173"/>
      <c r="C1261" s="173"/>
      <c r="D1261" s="173"/>
      <c r="E1261" s="173"/>
      <c r="F1261" s="173"/>
      <c r="G1261" s="173"/>
      <c r="H1261" s="173"/>
      <c r="I1261" s="173"/>
      <c r="J1261" s="173"/>
      <c r="K1261" s="173"/>
      <c r="L1261" s="173"/>
      <c r="M1261" s="173"/>
      <c r="N1261" s="173"/>
      <c r="O1261" s="173"/>
      <c r="P1261" s="173"/>
    </row>
    <row r="1262" hidden="1">
      <c r="A1262" s="172"/>
      <c r="B1262" s="173"/>
      <c r="C1262" s="173"/>
      <c r="D1262" s="173"/>
      <c r="E1262" s="173"/>
      <c r="F1262" s="173"/>
      <c r="G1262" s="173"/>
      <c r="H1262" s="173"/>
      <c r="I1262" s="173"/>
      <c r="J1262" s="173"/>
      <c r="K1262" s="173"/>
      <c r="L1262" s="173"/>
      <c r="M1262" s="173"/>
      <c r="N1262" s="173"/>
      <c r="O1262" s="173"/>
      <c r="P1262" s="173"/>
    </row>
    <row r="1263" hidden="1">
      <c r="A1263" s="172"/>
      <c r="B1263" s="173"/>
      <c r="C1263" s="173"/>
      <c r="D1263" s="173"/>
      <c r="E1263" s="173"/>
      <c r="F1263" s="173"/>
      <c r="G1263" s="173"/>
      <c r="H1263" s="173"/>
      <c r="I1263" s="173"/>
      <c r="J1263" s="173"/>
      <c r="K1263" s="173"/>
      <c r="L1263" s="173"/>
      <c r="M1263" s="173"/>
      <c r="N1263" s="173"/>
      <c r="O1263" s="173"/>
      <c r="P1263" s="173"/>
    </row>
    <row r="1264" hidden="1">
      <c r="A1264" s="172"/>
      <c r="B1264" s="173"/>
      <c r="C1264" s="173"/>
      <c r="D1264" s="173"/>
      <c r="E1264" s="173"/>
      <c r="F1264" s="173"/>
      <c r="G1264" s="173"/>
      <c r="H1264" s="173"/>
      <c r="I1264" s="173"/>
      <c r="J1264" s="173"/>
      <c r="K1264" s="173"/>
      <c r="L1264" s="173"/>
      <c r="M1264" s="173"/>
      <c r="N1264" s="173"/>
      <c r="O1264" s="173"/>
      <c r="P1264" s="173"/>
    </row>
    <row r="1265" hidden="1">
      <c r="A1265" s="172"/>
      <c r="B1265" s="173"/>
      <c r="C1265" s="173"/>
      <c r="D1265" s="173"/>
      <c r="E1265" s="173"/>
      <c r="F1265" s="173"/>
      <c r="G1265" s="173"/>
      <c r="H1265" s="173"/>
      <c r="I1265" s="173"/>
      <c r="J1265" s="173"/>
      <c r="K1265" s="173"/>
      <c r="L1265" s="173"/>
      <c r="M1265" s="173"/>
      <c r="N1265" s="173"/>
      <c r="O1265" s="173"/>
      <c r="P1265" s="173"/>
    </row>
    <row r="1266" hidden="1">
      <c r="A1266" s="172"/>
      <c r="B1266" s="173"/>
      <c r="C1266" s="173"/>
      <c r="D1266" s="173"/>
      <c r="E1266" s="173"/>
      <c r="F1266" s="173"/>
      <c r="G1266" s="173"/>
      <c r="H1266" s="173"/>
      <c r="I1266" s="173"/>
      <c r="J1266" s="173"/>
      <c r="K1266" s="173"/>
      <c r="L1266" s="173"/>
      <c r="M1266" s="173"/>
      <c r="N1266" s="173"/>
      <c r="O1266" s="173"/>
      <c r="P1266" s="173"/>
    </row>
    <row r="1267" hidden="1">
      <c r="A1267" s="172"/>
      <c r="B1267" s="173"/>
      <c r="C1267" s="173"/>
      <c r="D1267" s="173"/>
      <c r="E1267" s="173"/>
      <c r="F1267" s="173"/>
      <c r="G1267" s="173"/>
      <c r="H1267" s="173"/>
      <c r="I1267" s="173"/>
      <c r="J1267" s="173"/>
      <c r="K1267" s="173"/>
      <c r="L1267" s="173"/>
      <c r="M1267" s="173"/>
      <c r="N1267" s="173"/>
      <c r="O1267" s="173"/>
      <c r="P1267" s="173"/>
    </row>
    <row r="1268" hidden="1">
      <c r="A1268" s="172"/>
      <c r="B1268" s="173"/>
      <c r="C1268" s="173"/>
      <c r="D1268" s="173"/>
      <c r="E1268" s="173"/>
      <c r="F1268" s="173"/>
      <c r="G1268" s="173"/>
      <c r="H1268" s="173"/>
      <c r="I1268" s="173"/>
      <c r="J1268" s="173"/>
      <c r="K1268" s="173"/>
      <c r="L1268" s="173"/>
      <c r="M1268" s="173"/>
      <c r="N1268" s="173"/>
      <c r="O1268" s="173"/>
      <c r="P1268" s="173"/>
    </row>
    <row r="1269" hidden="1">
      <c r="A1269" s="172"/>
      <c r="B1269" s="173"/>
      <c r="C1269" s="173"/>
      <c r="D1269" s="173"/>
      <c r="E1269" s="173"/>
      <c r="F1269" s="173"/>
      <c r="G1269" s="173"/>
      <c r="H1269" s="173"/>
      <c r="I1269" s="173"/>
      <c r="J1269" s="173"/>
      <c r="K1269" s="173"/>
      <c r="L1269" s="173"/>
      <c r="M1269" s="173"/>
      <c r="N1269" s="173"/>
      <c r="O1269" s="173"/>
      <c r="P1269" s="173"/>
    </row>
    <row r="1270" hidden="1">
      <c r="A1270" s="172"/>
      <c r="B1270" s="173"/>
      <c r="C1270" s="173"/>
      <c r="D1270" s="173"/>
      <c r="E1270" s="173"/>
      <c r="F1270" s="173"/>
      <c r="G1270" s="173"/>
      <c r="H1270" s="173"/>
      <c r="I1270" s="173"/>
      <c r="J1270" s="173"/>
      <c r="K1270" s="173"/>
      <c r="L1270" s="173"/>
      <c r="M1270" s="173"/>
      <c r="N1270" s="173"/>
      <c r="O1270" s="173"/>
      <c r="P1270" s="173"/>
    </row>
    <row r="1271" hidden="1">
      <c r="A1271" s="172"/>
      <c r="B1271" s="173"/>
      <c r="C1271" s="173"/>
      <c r="D1271" s="173"/>
      <c r="E1271" s="173"/>
      <c r="F1271" s="173"/>
      <c r="G1271" s="173"/>
      <c r="H1271" s="173"/>
      <c r="I1271" s="173"/>
      <c r="J1271" s="173"/>
      <c r="K1271" s="173"/>
      <c r="L1271" s="173"/>
      <c r="M1271" s="173"/>
      <c r="N1271" s="173"/>
      <c r="O1271" s="173"/>
      <c r="P1271" s="173"/>
    </row>
    <row r="1272" hidden="1">
      <c r="A1272" s="172"/>
      <c r="B1272" s="173"/>
      <c r="C1272" s="173"/>
      <c r="D1272" s="173"/>
      <c r="E1272" s="173"/>
      <c r="F1272" s="173"/>
      <c r="G1272" s="173"/>
      <c r="H1272" s="173"/>
      <c r="I1272" s="173"/>
      <c r="J1272" s="173"/>
      <c r="K1272" s="173"/>
      <c r="L1272" s="173"/>
      <c r="M1272" s="173"/>
      <c r="N1272" s="173"/>
      <c r="O1272" s="173"/>
      <c r="P1272" s="173"/>
    </row>
    <row r="1273" hidden="1">
      <c r="A1273" s="172"/>
      <c r="B1273" s="173"/>
      <c r="C1273" s="173"/>
      <c r="D1273" s="173"/>
      <c r="E1273" s="173"/>
      <c r="F1273" s="173"/>
      <c r="G1273" s="173"/>
      <c r="H1273" s="173"/>
      <c r="I1273" s="173"/>
      <c r="J1273" s="173"/>
      <c r="K1273" s="173"/>
      <c r="L1273" s="173"/>
      <c r="M1273" s="173"/>
      <c r="N1273" s="173"/>
      <c r="O1273" s="173"/>
      <c r="P1273" s="173"/>
    </row>
    <row r="1274" hidden="1">
      <c r="A1274" s="172"/>
      <c r="B1274" s="173"/>
      <c r="C1274" s="173"/>
      <c r="D1274" s="173"/>
      <c r="E1274" s="173"/>
      <c r="F1274" s="173"/>
      <c r="G1274" s="173"/>
      <c r="H1274" s="173"/>
      <c r="I1274" s="173"/>
      <c r="J1274" s="173"/>
      <c r="K1274" s="173"/>
      <c r="L1274" s="173"/>
      <c r="M1274" s="173"/>
      <c r="N1274" s="173"/>
      <c r="O1274" s="173"/>
      <c r="P1274" s="173"/>
    </row>
    <row r="1275" hidden="1">
      <c r="A1275" s="172"/>
      <c r="B1275" s="173"/>
      <c r="C1275" s="173"/>
      <c r="D1275" s="173"/>
      <c r="E1275" s="173"/>
      <c r="F1275" s="173"/>
      <c r="G1275" s="173"/>
      <c r="H1275" s="173"/>
      <c r="I1275" s="173"/>
      <c r="J1275" s="173"/>
      <c r="K1275" s="173"/>
      <c r="L1275" s="173"/>
      <c r="M1275" s="173"/>
      <c r="N1275" s="173"/>
      <c r="O1275" s="173"/>
      <c r="P1275" s="173"/>
    </row>
    <row r="1276" hidden="1">
      <c r="A1276" s="172"/>
      <c r="B1276" s="173"/>
      <c r="C1276" s="173"/>
      <c r="D1276" s="173"/>
      <c r="E1276" s="173"/>
      <c r="F1276" s="173"/>
      <c r="G1276" s="173"/>
      <c r="H1276" s="173"/>
      <c r="I1276" s="173"/>
      <c r="J1276" s="173"/>
      <c r="K1276" s="173"/>
      <c r="L1276" s="173"/>
      <c r="M1276" s="173"/>
      <c r="N1276" s="173"/>
      <c r="O1276" s="173"/>
      <c r="P1276" s="173"/>
    </row>
    <row r="1277" hidden="1">
      <c r="A1277" s="172"/>
      <c r="B1277" s="173"/>
      <c r="C1277" s="173"/>
      <c r="D1277" s="173"/>
      <c r="E1277" s="173"/>
      <c r="F1277" s="173"/>
      <c r="G1277" s="173"/>
      <c r="H1277" s="173"/>
      <c r="I1277" s="173"/>
      <c r="J1277" s="173"/>
      <c r="K1277" s="173"/>
      <c r="L1277" s="173"/>
      <c r="M1277" s="173"/>
      <c r="N1277" s="173"/>
      <c r="O1277" s="173"/>
      <c r="P1277" s="173"/>
    </row>
    <row r="1278" hidden="1">
      <c r="A1278" s="172"/>
      <c r="B1278" s="173"/>
      <c r="C1278" s="173"/>
      <c r="D1278" s="173"/>
      <c r="E1278" s="173"/>
      <c r="F1278" s="173"/>
      <c r="G1278" s="173"/>
      <c r="H1278" s="173"/>
      <c r="I1278" s="173"/>
      <c r="J1278" s="173"/>
      <c r="K1278" s="173"/>
      <c r="L1278" s="173"/>
      <c r="M1278" s="173"/>
      <c r="N1278" s="173"/>
      <c r="O1278" s="173"/>
      <c r="P1278" s="173"/>
    </row>
    <row r="1279" hidden="1">
      <c r="A1279" s="172"/>
      <c r="B1279" s="173"/>
      <c r="C1279" s="173"/>
      <c r="D1279" s="173"/>
      <c r="E1279" s="173"/>
      <c r="F1279" s="173"/>
      <c r="G1279" s="173"/>
      <c r="H1279" s="173"/>
      <c r="I1279" s="173"/>
      <c r="J1279" s="173"/>
      <c r="K1279" s="173"/>
      <c r="L1279" s="173"/>
      <c r="M1279" s="173"/>
      <c r="N1279" s="173"/>
      <c r="O1279" s="173"/>
      <c r="P1279" s="173"/>
    </row>
    <row r="1280" hidden="1">
      <c r="A1280" s="172"/>
      <c r="B1280" s="173"/>
      <c r="C1280" s="173"/>
      <c r="D1280" s="173"/>
      <c r="E1280" s="173"/>
      <c r="F1280" s="173"/>
      <c r="G1280" s="173"/>
      <c r="H1280" s="173"/>
      <c r="I1280" s="173"/>
      <c r="J1280" s="173"/>
      <c r="K1280" s="173"/>
      <c r="L1280" s="173"/>
      <c r="M1280" s="173"/>
      <c r="N1280" s="173"/>
      <c r="O1280" s="173"/>
      <c r="P1280" s="173"/>
    </row>
    <row r="1281" hidden="1">
      <c r="A1281" s="172"/>
      <c r="B1281" s="173"/>
      <c r="C1281" s="173"/>
      <c r="D1281" s="173"/>
      <c r="E1281" s="173"/>
      <c r="F1281" s="173"/>
      <c r="G1281" s="173"/>
      <c r="H1281" s="173"/>
      <c r="I1281" s="173"/>
      <c r="J1281" s="173"/>
      <c r="K1281" s="173"/>
      <c r="L1281" s="173"/>
      <c r="M1281" s="173"/>
      <c r="N1281" s="173"/>
      <c r="O1281" s="173"/>
      <c r="P1281" s="173"/>
    </row>
    <row r="1282" hidden="1">
      <c r="A1282" s="172"/>
      <c r="B1282" s="173"/>
      <c r="C1282" s="173"/>
      <c r="D1282" s="173"/>
      <c r="E1282" s="173"/>
      <c r="F1282" s="173"/>
      <c r="G1282" s="173"/>
      <c r="H1282" s="173"/>
      <c r="I1282" s="173"/>
      <c r="J1282" s="173"/>
      <c r="K1282" s="173"/>
      <c r="L1282" s="173"/>
      <c r="M1282" s="173"/>
      <c r="N1282" s="173"/>
      <c r="O1282" s="173"/>
      <c r="P1282" s="173"/>
    </row>
    <row r="1283" hidden="1">
      <c r="A1283" s="172"/>
      <c r="B1283" s="173"/>
      <c r="C1283" s="173"/>
      <c r="D1283" s="173"/>
      <c r="E1283" s="173"/>
      <c r="F1283" s="173"/>
      <c r="G1283" s="173"/>
      <c r="H1283" s="173"/>
      <c r="I1283" s="173"/>
      <c r="J1283" s="173"/>
      <c r="K1283" s="173"/>
      <c r="L1283" s="173"/>
      <c r="M1283" s="173"/>
      <c r="N1283" s="173"/>
      <c r="O1283" s="173"/>
      <c r="P1283" s="173"/>
    </row>
    <row r="1284" hidden="1">
      <c r="A1284" s="172"/>
      <c r="B1284" s="173"/>
      <c r="C1284" s="173"/>
      <c r="D1284" s="173"/>
      <c r="E1284" s="173"/>
      <c r="F1284" s="173"/>
      <c r="G1284" s="173"/>
      <c r="H1284" s="173"/>
      <c r="I1284" s="173"/>
      <c r="J1284" s="173"/>
      <c r="K1284" s="173"/>
      <c r="L1284" s="173"/>
      <c r="M1284" s="173"/>
      <c r="N1284" s="173"/>
      <c r="O1284" s="173"/>
      <c r="P1284" s="173"/>
    </row>
    <row r="1285" hidden="1">
      <c r="A1285" s="172"/>
      <c r="B1285" s="173"/>
      <c r="C1285" s="173"/>
      <c r="D1285" s="173"/>
      <c r="E1285" s="173"/>
      <c r="F1285" s="173"/>
      <c r="G1285" s="173"/>
      <c r="H1285" s="173"/>
      <c r="I1285" s="173"/>
      <c r="J1285" s="173"/>
      <c r="K1285" s="173"/>
      <c r="L1285" s="173"/>
      <c r="M1285" s="173"/>
      <c r="N1285" s="173"/>
      <c r="O1285" s="173"/>
      <c r="P1285" s="173"/>
    </row>
    <row r="1286" hidden="1">
      <c r="A1286" s="172"/>
      <c r="B1286" s="173"/>
      <c r="C1286" s="173"/>
      <c r="D1286" s="173"/>
      <c r="E1286" s="173"/>
      <c r="F1286" s="173"/>
      <c r="G1286" s="173"/>
      <c r="H1286" s="173"/>
      <c r="I1286" s="173"/>
      <c r="J1286" s="173"/>
      <c r="K1286" s="173"/>
      <c r="L1286" s="173"/>
      <c r="M1286" s="173"/>
      <c r="N1286" s="173"/>
      <c r="O1286" s="173"/>
      <c r="P1286" s="173"/>
    </row>
    <row r="1287" hidden="1">
      <c r="A1287" s="172"/>
      <c r="B1287" s="173"/>
      <c r="C1287" s="173"/>
      <c r="D1287" s="173"/>
      <c r="E1287" s="173"/>
      <c r="F1287" s="173"/>
      <c r="G1287" s="173"/>
      <c r="H1287" s="173"/>
      <c r="I1287" s="173"/>
      <c r="J1287" s="173"/>
      <c r="K1287" s="173"/>
      <c r="L1287" s="173"/>
      <c r="M1287" s="173"/>
      <c r="N1287" s="173"/>
      <c r="O1287" s="173"/>
      <c r="P1287" s="173"/>
    </row>
    <row r="1288" hidden="1">
      <c r="A1288" s="172"/>
      <c r="B1288" s="173"/>
      <c r="C1288" s="173"/>
      <c r="D1288" s="173"/>
      <c r="E1288" s="173"/>
      <c r="F1288" s="173"/>
      <c r="G1288" s="173"/>
      <c r="H1288" s="173"/>
      <c r="I1288" s="173"/>
      <c r="J1288" s="173"/>
      <c r="K1288" s="173"/>
      <c r="L1288" s="173"/>
      <c r="M1288" s="173"/>
      <c r="N1288" s="173"/>
      <c r="O1288" s="173"/>
      <c r="P1288" s="173"/>
    </row>
    <row r="1289" hidden="1">
      <c r="A1289" s="172"/>
      <c r="B1289" s="173"/>
      <c r="C1289" s="173"/>
      <c r="D1289" s="173"/>
      <c r="E1289" s="173"/>
      <c r="F1289" s="173"/>
      <c r="G1289" s="173"/>
      <c r="H1289" s="173"/>
      <c r="I1289" s="173"/>
      <c r="J1289" s="173"/>
      <c r="K1289" s="173"/>
      <c r="L1289" s="173"/>
      <c r="M1289" s="173"/>
      <c r="N1289" s="173"/>
      <c r="O1289" s="173"/>
      <c r="P1289" s="173"/>
    </row>
    <row r="1290" hidden="1">
      <c r="A1290" s="172"/>
      <c r="B1290" s="173"/>
      <c r="C1290" s="173"/>
      <c r="D1290" s="173"/>
      <c r="E1290" s="173"/>
      <c r="F1290" s="173"/>
      <c r="G1290" s="173"/>
      <c r="H1290" s="173"/>
      <c r="I1290" s="173"/>
      <c r="J1290" s="173"/>
      <c r="K1290" s="173"/>
      <c r="L1290" s="173"/>
      <c r="M1290" s="173"/>
      <c r="N1290" s="173"/>
      <c r="O1290" s="173"/>
      <c r="P1290" s="173"/>
    </row>
    <row r="1291" hidden="1">
      <c r="A1291" s="172"/>
      <c r="B1291" s="173"/>
      <c r="C1291" s="173"/>
      <c r="D1291" s="173"/>
      <c r="E1291" s="173"/>
      <c r="F1291" s="173"/>
      <c r="G1291" s="173"/>
      <c r="H1291" s="173"/>
      <c r="I1291" s="173"/>
      <c r="J1291" s="173"/>
      <c r="K1291" s="173"/>
      <c r="L1291" s="173"/>
      <c r="M1291" s="173"/>
      <c r="N1291" s="173"/>
      <c r="O1291" s="173"/>
      <c r="P1291" s="173"/>
    </row>
    <row r="1292" hidden="1">
      <c r="A1292" s="172"/>
      <c r="B1292" s="173"/>
      <c r="C1292" s="173"/>
      <c r="D1292" s="173"/>
      <c r="E1292" s="173"/>
      <c r="F1292" s="173"/>
      <c r="G1292" s="173"/>
      <c r="H1292" s="173"/>
      <c r="I1292" s="173"/>
      <c r="J1292" s="173"/>
      <c r="K1292" s="173"/>
      <c r="L1292" s="173"/>
      <c r="M1292" s="173"/>
      <c r="N1292" s="173"/>
      <c r="O1292" s="173"/>
      <c r="P1292" s="173"/>
    </row>
    <row r="1293" hidden="1">
      <c r="A1293" s="172"/>
      <c r="B1293" s="173"/>
      <c r="C1293" s="173"/>
      <c r="D1293" s="173"/>
      <c r="E1293" s="173"/>
      <c r="F1293" s="173"/>
      <c r="G1293" s="173"/>
      <c r="H1293" s="173"/>
      <c r="I1293" s="173"/>
      <c r="J1293" s="173"/>
      <c r="K1293" s="173"/>
      <c r="L1293" s="173"/>
      <c r="M1293" s="173"/>
      <c r="N1293" s="173"/>
      <c r="O1293" s="173"/>
      <c r="P1293" s="173"/>
    </row>
    <row r="1294" hidden="1">
      <c r="A1294" s="172"/>
      <c r="B1294" s="173"/>
      <c r="C1294" s="173"/>
      <c r="D1294" s="173"/>
      <c r="E1294" s="173"/>
      <c r="F1294" s="173"/>
      <c r="G1294" s="173"/>
      <c r="H1294" s="173"/>
      <c r="I1294" s="173"/>
      <c r="J1294" s="173"/>
      <c r="K1294" s="173"/>
      <c r="L1294" s="173"/>
      <c r="M1294" s="173"/>
      <c r="N1294" s="173"/>
      <c r="O1294" s="173"/>
      <c r="P1294" s="173"/>
    </row>
    <row r="1295" hidden="1">
      <c r="A1295" s="172"/>
      <c r="B1295" s="173"/>
      <c r="C1295" s="173"/>
      <c r="D1295" s="173"/>
      <c r="E1295" s="173"/>
      <c r="F1295" s="173"/>
      <c r="G1295" s="173"/>
      <c r="H1295" s="173"/>
      <c r="I1295" s="173"/>
      <c r="J1295" s="173"/>
      <c r="K1295" s="173"/>
      <c r="L1295" s="173"/>
      <c r="M1295" s="173"/>
      <c r="N1295" s="173"/>
      <c r="O1295" s="173"/>
      <c r="P1295" s="173"/>
    </row>
    <row r="1296" hidden="1">
      <c r="A1296" s="172"/>
      <c r="B1296" s="173"/>
      <c r="C1296" s="173"/>
      <c r="D1296" s="173"/>
      <c r="E1296" s="173"/>
      <c r="F1296" s="173"/>
      <c r="G1296" s="173"/>
      <c r="H1296" s="173"/>
      <c r="I1296" s="173"/>
      <c r="J1296" s="173"/>
      <c r="K1296" s="173"/>
      <c r="L1296" s="173"/>
      <c r="M1296" s="173"/>
      <c r="N1296" s="173"/>
      <c r="O1296" s="173"/>
      <c r="P1296" s="173"/>
    </row>
    <row r="1297" hidden="1">
      <c r="A1297" s="172"/>
      <c r="B1297" s="173"/>
      <c r="C1297" s="173"/>
      <c r="D1297" s="173"/>
      <c r="E1297" s="173"/>
      <c r="F1297" s="173"/>
      <c r="G1297" s="173"/>
      <c r="H1297" s="173"/>
      <c r="I1297" s="173"/>
      <c r="J1297" s="173"/>
      <c r="K1297" s="173"/>
      <c r="L1297" s="173"/>
      <c r="M1297" s="173"/>
      <c r="N1297" s="173"/>
      <c r="O1297" s="173"/>
      <c r="P1297" s="173"/>
    </row>
    <row r="1298" hidden="1">
      <c r="A1298" s="172"/>
      <c r="B1298" s="173"/>
      <c r="C1298" s="173"/>
      <c r="D1298" s="173"/>
      <c r="E1298" s="173"/>
      <c r="F1298" s="173"/>
      <c r="G1298" s="173"/>
      <c r="H1298" s="173"/>
      <c r="I1298" s="173"/>
      <c r="J1298" s="173"/>
      <c r="K1298" s="173"/>
      <c r="L1298" s="173"/>
      <c r="M1298" s="173"/>
      <c r="N1298" s="173"/>
      <c r="O1298" s="173"/>
      <c r="P1298" s="173"/>
    </row>
    <row r="1299" hidden="1">
      <c r="A1299" s="172"/>
      <c r="B1299" s="173"/>
      <c r="C1299" s="173"/>
      <c r="D1299" s="173"/>
      <c r="E1299" s="173"/>
      <c r="F1299" s="173"/>
      <c r="G1299" s="173"/>
      <c r="H1299" s="173"/>
      <c r="I1299" s="173"/>
      <c r="J1299" s="173"/>
      <c r="K1299" s="173"/>
      <c r="L1299" s="173"/>
      <c r="M1299" s="173"/>
      <c r="N1299" s="173"/>
      <c r="O1299" s="173"/>
      <c r="P1299" s="173"/>
    </row>
    <row r="1300" hidden="1">
      <c r="A1300" s="172"/>
      <c r="B1300" s="173"/>
      <c r="C1300" s="173"/>
      <c r="D1300" s="173"/>
      <c r="E1300" s="173"/>
      <c r="F1300" s="173"/>
      <c r="G1300" s="173"/>
      <c r="H1300" s="173"/>
      <c r="I1300" s="173"/>
      <c r="J1300" s="173"/>
      <c r="K1300" s="173"/>
      <c r="L1300" s="173"/>
      <c r="M1300" s="173"/>
      <c r="N1300" s="173"/>
      <c r="O1300" s="173"/>
      <c r="P1300" s="173"/>
    </row>
    <row r="1301" hidden="1">
      <c r="A1301" s="172"/>
      <c r="B1301" s="173"/>
      <c r="C1301" s="173"/>
      <c r="D1301" s="173"/>
      <c r="E1301" s="173"/>
      <c r="F1301" s="173"/>
      <c r="G1301" s="173"/>
      <c r="H1301" s="173"/>
      <c r="I1301" s="173"/>
      <c r="J1301" s="173"/>
      <c r="K1301" s="173"/>
      <c r="L1301" s="173"/>
      <c r="M1301" s="173"/>
      <c r="N1301" s="173"/>
      <c r="O1301" s="173"/>
      <c r="P1301" s="173"/>
    </row>
    <row r="1302" hidden="1">
      <c r="A1302" s="172"/>
      <c r="B1302" s="173"/>
      <c r="C1302" s="173"/>
      <c r="D1302" s="173"/>
      <c r="E1302" s="173"/>
      <c r="F1302" s="173"/>
      <c r="G1302" s="173"/>
      <c r="H1302" s="173"/>
      <c r="I1302" s="173"/>
      <c r="J1302" s="173"/>
      <c r="K1302" s="173"/>
      <c r="L1302" s="173"/>
      <c r="M1302" s="173"/>
      <c r="N1302" s="173"/>
      <c r="O1302" s="173"/>
      <c r="P1302" s="173"/>
    </row>
    <row r="1303" hidden="1">
      <c r="A1303" s="172"/>
      <c r="B1303" s="173"/>
      <c r="C1303" s="173"/>
      <c r="D1303" s="173"/>
      <c r="E1303" s="173"/>
      <c r="F1303" s="173"/>
      <c r="G1303" s="173"/>
      <c r="H1303" s="173"/>
      <c r="I1303" s="173"/>
      <c r="J1303" s="173"/>
      <c r="K1303" s="173"/>
      <c r="L1303" s="173"/>
      <c r="M1303" s="173"/>
      <c r="N1303" s="173"/>
      <c r="O1303" s="173"/>
      <c r="P1303" s="173"/>
    </row>
    <row r="1304" hidden="1">
      <c r="A1304" s="172"/>
      <c r="B1304" s="173"/>
      <c r="C1304" s="173"/>
      <c r="D1304" s="173"/>
      <c r="E1304" s="173"/>
      <c r="F1304" s="173"/>
      <c r="G1304" s="173"/>
      <c r="H1304" s="173"/>
      <c r="I1304" s="173"/>
      <c r="J1304" s="173"/>
      <c r="K1304" s="173"/>
      <c r="L1304" s="173"/>
      <c r="M1304" s="173"/>
      <c r="N1304" s="173"/>
      <c r="O1304" s="173"/>
      <c r="P1304" s="173"/>
    </row>
    <row r="1305" hidden="1">
      <c r="A1305" s="172"/>
      <c r="B1305" s="173"/>
      <c r="C1305" s="173"/>
      <c r="D1305" s="173"/>
      <c r="E1305" s="173"/>
      <c r="F1305" s="173"/>
      <c r="G1305" s="173"/>
      <c r="H1305" s="173"/>
      <c r="I1305" s="173"/>
      <c r="J1305" s="173"/>
      <c r="K1305" s="173"/>
      <c r="L1305" s="173"/>
      <c r="M1305" s="173"/>
      <c r="N1305" s="173"/>
      <c r="O1305" s="173"/>
      <c r="P1305" s="173"/>
    </row>
    <row r="1306" hidden="1">
      <c r="A1306" s="172"/>
      <c r="B1306" s="173"/>
      <c r="C1306" s="173"/>
      <c r="D1306" s="173"/>
      <c r="E1306" s="173"/>
      <c r="F1306" s="173"/>
      <c r="G1306" s="173"/>
      <c r="H1306" s="173"/>
      <c r="I1306" s="173"/>
      <c r="J1306" s="173"/>
      <c r="K1306" s="173"/>
      <c r="L1306" s="173"/>
      <c r="M1306" s="173"/>
      <c r="N1306" s="173"/>
      <c r="O1306" s="173"/>
      <c r="P1306" s="173"/>
    </row>
    <row r="1307" hidden="1">
      <c r="A1307" s="172"/>
      <c r="B1307" s="173"/>
      <c r="C1307" s="173"/>
      <c r="D1307" s="173"/>
      <c r="E1307" s="173"/>
      <c r="F1307" s="173"/>
      <c r="G1307" s="173"/>
      <c r="H1307" s="173"/>
      <c r="I1307" s="173"/>
      <c r="J1307" s="173"/>
      <c r="K1307" s="173"/>
      <c r="L1307" s="173"/>
      <c r="M1307" s="173"/>
      <c r="N1307" s="173"/>
      <c r="O1307" s="173"/>
      <c r="P1307" s="173"/>
    </row>
    <row r="1308" hidden="1">
      <c r="A1308" s="172"/>
      <c r="B1308" s="173"/>
      <c r="C1308" s="173"/>
      <c r="D1308" s="173"/>
      <c r="E1308" s="173"/>
      <c r="F1308" s="173"/>
      <c r="G1308" s="173"/>
      <c r="H1308" s="173"/>
      <c r="I1308" s="173"/>
      <c r="J1308" s="173"/>
      <c r="K1308" s="173"/>
      <c r="L1308" s="173"/>
      <c r="M1308" s="173"/>
      <c r="N1308" s="173"/>
      <c r="O1308" s="173"/>
      <c r="P1308" s="173"/>
    </row>
    <row r="1309" hidden="1">
      <c r="A1309" s="172"/>
      <c r="B1309" s="173"/>
      <c r="C1309" s="173"/>
      <c r="D1309" s="173"/>
      <c r="E1309" s="173"/>
      <c r="F1309" s="173"/>
      <c r="G1309" s="173"/>
      <c r="H1309" s="173"/>
      <c r="I1309" s="173"/>
      <c r="J1309" s="173"/>
      <c r="K1309" s="173"/>
      <c r="L1309" s="173"/>
      <c r="M1309" s="173"/>
      <c r="N1309" s="173"/>
      <c r="O1309" s="173"/>
      <c r="P1309" s="173"/>
    </row>
    <row r="1310" hidden="1">
      <c r="A1310" s="172"/>
      <c r="B1310" s="173"/>
      <c r="C1310" s="173"/>
      <c r="D1310" s="173"/>
      <c r="E1310" s="173"/>
      <c r="F1310" s="173"/>
      <c r="G1310" s="173"/>
      <c r="H1310" s="173"/>
      <c r="I1310" s="173"/>
      <c r="J1310" s="173"/>
      <c r="K1310" s="173"/>
      <c r="L1310" s="173"/>
      <c r="M1310" s="173"/>
      <c r="N1310" s="173"/>
      <c r="O1310" s="173"/>
      <c r="P1310" s="173"/>
    </row>
    <row r="1311" hidden="1">
      <c r="A1311" s="172"/>
      <c r="B1311" s="173"/>
      <c r="C1311" s="173"/>
      <c r="D1311" s="173"/>
      <c r="E1311" s="173"/>
      <c r="F1311" s="173"/>
      <c r="G1311" s="173"/>
      <c r="H1311" s="173"/>
      <c r="I1311" s="173"/>
      <c r="J1311" s="173"/>
      <c r="K1311" s="173"/>
      <c r="L1311" s="173"/>
      <c r="M1311" s="173"/>
      <c r="N1311" s="173"/>
      <c r="O1311" s="173"/>
      <c r="P1311" s="173"/>
    </row>
    <row r="1312" hidden="1">
      <c r="A1312" s="172"/>
      <c r="B1312" s="173"/>
      <c r="C1312" s="173"/>
      <c r="D1312" s="173"/>
      <c r="E1312" s="173"/>
      <c r="F1312" s="173"/>
      <c r="G1312" s="173"/>
      <c r="H1312" s="173"/>
      <c r="I1312" s="173"/>
      <c r="J1312" s="173"/>
      <c r="K1312" s="173"/>
      <c r="L1312" s="173"/>
      <c r="M1312" s="173"/>
      <c r="N1312" s="173"/>
      <c r="O1312" s="173"/>
      <c r="P1312" s="173"/>
    </row>
    <row r="1313" hidden="1">
      <c r="A1313" s="172"/>
      <c r="B1313" s="173"/>
      <c r="C1313" s="173"/>
      <c r="D1313" s="173"/>
      <c r="E1313" s="173"/>
      <c r="F1313" s="173"/>
      <c r="G1313" s="173"/>
      <c r="H1313" s="173"/>
      <c r="I1313" s="173"/>
      <c r="J1313" s="173"/>
      <c r="K1313" s="173"/>
      <c r="L1313" s="173"/>
      <c r="M1313" s="173"/>
      <c r="N1313" s="173"/>
      <c r="O1313" s="173"/>
      <c r="P1313" s="173"/>
    </row>
    <row r="1314" hidden="1">
      <c r="A1314" s="172"/>
      <c r="B1314" s="173"/>
      <c r="C1314" s="173"/>
      <c r="D1314" s="173"/>
      <c r="E1314" s="173"/>
      <c r="F1314" s="173"/>
      <c r="G1314" s="173"/>
      <c r="H1314" s="173"/>
      <c r="I1314" s="173"/>
      <c r="J1314" s="173"/>
      <c r="K1314" s="173"/>
      <c r="L1314" s="173"/>
      <c r="M1314" s="173"/>
      <c r="N1314" s="173"/>
      <c r="O1314" s="173"/>
      <c r="P1314" s="173"/>
    </row>
    <row r="1315" hidden="1">
      <c r="A1315" s="172"/>
      <c r="B1315" s="173"/>
      <c r="C1315" s="173"/>
      <c r="D1315" s="173"/>
      <c r="E1315" s="173"/>
      <c r="F1315" s="173"/>
      <c r="G1315" s="173"/>
      <c r="H1315" s="173"/>
      <c r="I1315" s="173"/>
      <c r="J1315" s="173"/>
      <c r="K1315" s="173"/>
      <c r="L1315" s="173"/>
      <c r="M1315" s="173"/>
      <c r="N1315" s="173"/>
      <c r="O1315" s="173"/>
      <c r="P1315" s="173"/>
    </row>
    <row r="1316" hidden="1">
      <c r="A1316" s="172"/>
      <c r="B1316" s="173"/>
      <c r="C1316" s="173"/>
      <c r="D1316" s="173"/>
      <c r="E1316" s="173"/>
      <c r="F1316" s="173"/>
      <c r="G1316" s="173"/>
      <c r="H1316" s="173"/>
      <c r="I1316" s="173"/>
      <c r="J1316" s="173"/>
      <c r="K1316" s="173"/>
      <c r="L1316" s="173"/>
      <c r="M1316" s="173"/>
      <c r="N1316" s="173"/>
      <c r="O1316" s="173"/>
      <c r="P1316" s="173"/>
    </row>
    <row r="1317" hidden="1">
      <c r="A1317" s="172"/>
      <c r="B1317" s="173"/>
      <c r="C1317" s="173"/>
      <c r="D1317" s="173"/>
      <c r="E1317" s="173"/>
      <c r="F1317" s="173"/>
      <c r="G1317" s="173"/>
      <c r="H1317" s="173"/>
      <c r="I1317" s="173"/>
      <c r="J1317" s="173"/>
      <c r="K1317" s="173"/>
      <c r="L1317" s="173"/>
      <c r="M1317" s="173"/>
      <c r="N1317" s="173"/>
      <c r="O1317" s="173"/>
      <c r="P1317" s="173"/>
    </row>
    <row r="1318" hidden="1">
      <c r="A1318" s="172"/>
      <c r="B1318" s="173"/>
      <c r="C1318" s="173"/>
      <c r="D1318" s="173"/>
      <c r="E1318" s="173"/>
      <c r="F1318" s="173"/>
      <c r="G1318" s="173"/>
      <c r="H1318" s="173"/>
      <c r="I1318" s="173"/>
      <c r="J1318" s="173"/>
      <c r="K1318" s="173"/>
      <c r="L1318" s="173"/>
      <c r="M1318" s="173"/>
      <c r="N1318" s="173"/>
      <c r="O1318" s="173"/>
      <c r="P1318" s="173"/>
    </row>
    <row r="1319" hidden="1">
      <c r="A1319" s="172"/>
      <c r="B1319" s="173"/>
      <c r="C1319" s="173"/>
      <c r="D1319" s="173"/>
      <c r="E1319" s="173"/>
      <c r="F1319" s="173"/>
      <c r="G1319" s="173"/>
      <c r="H1319" s="173"/>
      <c r="I1319" s="173"/>
      <c r="J1319" s="173"/>
      <c r="K1319" s="173"/>
      <c r="L1319" s="173"/>
      <c r="M1319" s="173"/>
      <c r="N1319" s="173"/>
      <c r="O1319" s="173"/>
      <c r="P1319" s="173"/>
    </row>
    <row r="1320" hidden="1">
      <c r="A1320" s="172"/>
      <c r="B1320" s="173"/>
      <c r="C1320" s="173"/>
      <c r="D1320" s="173"/>
      <c r="E1320" s="173"/>
      <c r="F1320" s="173"/>
      <c r="G1320" s="173"/>
      <c r="H1320" s="173"/>
      <c r="I1320" s="173"/>
      <c r="J1320" s="173"/>
      <c r="K1320" s="173"/>
      <c r="L1320" s="173"/>
      <c r="M1320" s="173"/>
      <c r="N1320" s="173"/>
      <c r="O1320" s="173"/>
      <c r="P1320" s="173"/>
    </row>
    <row r="1321" hidden="1">
      <c r="A1321" s="172"/>
      <c r="B1321" s="173"/>
      <c r="C1321" s="173"/>
      <c r="D1321" s="173"/>
      <c r="E1321" s="173"/>
      <c r="F1321" s="173"/>
      <c r="G1321" s="173"/>
      <c r="H1321" s="173"/>
      <c r="I1321" s="173"/>
      <c r="J1321" s="173"/>
      <c r="K1321" s="173"/>
      <c r="L1321" s="173"/>
      <c r="M1321" s="173"/>
      <c r="N1321" s="173"/>
      <c r="O1321" s="173"/>
      <c r="P1321" s="173"/>
    </row>
    <row r="1322" hidden="1">
      <c r="A1322" s="172"/>
      <c r="B1322" s="173"/>
      <c r="C1322" s="173"/>
      <c r="D1322" s="173"/>
      <c r="E1322" s="173"/>
      <c r="F1322" s="173"/>
      <c r="G1322" s="173"/>
      <c r="H1322" s="173"/>
      <c r="I1322" s="173"/>
      <c r="J1322" s="173"/>
      <c r="K1322" s="173"/>
      <c r="L1322" s="173"/>
      <c r="M1322" s="173"/>
      <c r="N1322" s="173"/>
      <c r="O1322" s="173"/>
      <c r="P1322" s="173"/>
    </row>
    <row r="1323" hidden="1">
      <c r="A1323" s="172"/>
      <c r="B1323" s="173"/>
      <c r="C1323" s="173"/>
      <c r="D1323" s="173"/>
      <c r="E1323" s="173"/>
      <c r="F1323" s="173"/>
      <c r="G1323" s="173"/>
      <c r="H1323" s="173"/>
      <c r="I1323" s="173"/>
      <c r="J1323" s="173"/>
      <c r="K1323" s="173"/>
      <c r="L1323" s="173"/>
      <c r="M1323" s="173"/>
      <c r="N1323" s="173"/>
      <c r="O1323" s="173"/>
      <c r="P1323" s="173"/>
    </row>
    <row r="1324" hidden="1">
      <c r="A1324" s="172"/>
      <c r="B1324" s="173"/>
      <c r="C1324" s="173"/>
      <c r="D1324" s="173"/>
      <c r="E1324" s="173"/>
      <c r="F1324" s="173"/>
      <c r="G1324" s="173"/>
      <c r="H1324" s="173"/>
      <c r="I1324" s="173"/>
      <c r="J1324" s="173"/>
      <c r="K1324" s="173"/>
      <c r="L1324" s="173"/>
      <c r="M1324" s="173"/>
      <c r="N1324" s="173"/>
      <c r="O1324" s="173"/>
      <c r="P1324" s="173"/>
    </row>
    <row r="1325" hidden="1">
      <c r="A1325" s="172"/>
      <c r="B1325" s="173"/>
      <c r="C1325" s="173"/>
      <c r="D1325" s="173"/>
      <c r="E1325" s="173"/>
      <c r="F1325" s="173"/>
      <c r="G1325" s="173"/>
      <c r="H1325" s="173"/>
      <c r="I1325" s="173"/>
      <c r="J1325" s="173"/>
      <c r="K1325" s="173"/>
      <c r="L1325" s="173"/>
      <c r="M1325" s="173"/>
      <c r="N1325" s="173"/>
      <c r="O1325" s="173"/>
      <c r="P1325" s="173"/>
    </row>
    <row r="1326" hidden="1">
      <c r="A1326" s="172"/>
      <c r="B1326" s="173"/>
      <c r="C1326" s="173"/>
      <c r="D1326" s="173"/>
      <c r="E1326" s="173"/>
      <c r="F1326" s="173"/>
      <c r="G1326" s="173"/>
      <c r="H1326" s="173"/>
      <c r="I1326" s="173"/>
      <c r="J1326" s="173"/>
      <c r="K1326" s="173"/>
      <c r="L1326" s="173"/>
      <c r="M1326" s="173"/>
      <c r="N1326" s="173"/>
      <c r="O1326" s="173"/>
      <c r="P1326" s="173"/>
    </row>
    <row r="1327" hidden="1">
      <c r="A1327" s="172"/>
      <c r="B1327" s="173"/>
      <c r="C1327" s="173"/>
      <c r="D1327" s="173"/>
      <c r="E1327" s="173"/>
      <c r="F1327" s="173"/>
      <c r="G1327" s="173"/>
      <c r="H1327" s="173"/>
      <c r="I1327" s="173"/>
      <c r="J1327" s="173"/>
      <c r="K1327" s="173"/>
      <c r="L1327" s="173"/>
      <c r="M1327" s="173"/>
      <c r="N1327" s="173"/>
      <c r="O1327" s="173"/>
      <c r="P1327" s="173"/>
    </row>
    <row r="1328" hidden="1">
      <c r="A1328" s="172"/>
      <c r="B1328" s="173"/>
      <c r="C1328" s="173"/>
      <c r="D1328" s="173"/>
      <c r="E1328" s="173"/>
      <c r="F1328" s="173"/>
      <c r="G1328" s="173"/>
      <c r="H1328" s="173"/>
      <c r="I1328" s="173"/>
      <c r="J1328" s="173"/>
      <c r="K1328" s="173"/>
      <c r="L1328" s="173"/>
      <c r="M1328" s="173"/>
      <c r="N1328" s="173"/>
      <c r="O1328" s="173"/>
      <c r="P1328" s="173"/>
    </row>
    <row r="1329" hidden="1">
      <c r="A1329" s="172"/>
      <c r="B1329" s="173"/>
      <c r="C1329" s="173"/>
      <c r="D1329" s="173"/>
      <c r="E1329" s="173"/>
      <c r="F1329" s="173"/>
      <c r="G1329" s="173"/>
      <c r="H1329" s="173"/>
      <c r="I1329" s="173"/>
      <c r="J1329" s="173"/>
      <c r="K1329" s="173"/>
      <c r="L1329" s="173"/>
      <c r="M1329" s="173"/>
      <c r="N1329" s="173"/>
      <c r="O1329" s="173"/>
      <c r="P1329" s="173"/>
    </row>
    <row r="1330" hidden="1">
      <c r="A1330" s="172"/>
      <c r="B1330" s="173"/>
      <c r="C1330" s="173"/>
      <c r="D1330" s="173"/>
      <c r="E1330" s="173"/>
      <c r="F1330" s="173"/>
      <c r="G1330" s="173"/>
      <c r="H1330" s="173"/>
      <c r="I1330" s="173"/>
      <c r="J1330" s="173"/>
      <c r="K1330" s="173"/>
      <c r="L1330" s="173"/>
      <c r="M1330" s="173"/>
      <c r="N1330" s="173"/>
      <c r="O1330" s="173"/>
      <c r="P1330" s="173"/>
    </row>
    <row r="1331" hidden="1">
      <c r="A1331" s="172"/>
      <c r="B1331" s="173"/>
      <c r="C1331" s="173"/>
      <c r="D1331" s="173"/>
      <c r="E1331" s="173"/>
      <c r="F1331" s="173"/>
      <c r="G1331" s="173"/>
      <c r="H1331" s="173"/>
      <c r="I1331" s="173"/>
      <c r="J1331" s="173"/>
      <c r="K1331" s="173"/>
      <c r="L1331" s="173"/>
      <c r="M1331" s="173"/>
      <c r="N1331" s="173"/>
      <c r="O1331" s="173"/>
      <c r="P1331" s="173"/>
    </row>
    <row r="1332" hidden="1">
      <c r="A1332" s="172"/>
      <c r="B1332" s="173"/>
      <c r="C1332" s="173"/>
      <c r="D1332" s="173"/>
      <c r="E1332" s="173"/>
      <c r="F1332" s="173"/>
      <c r="G1332" s="173"/>
      <c r="H1332" s="173"/>
      <c r="I1332" s="173"/>
      <c r="J1332" s="173"/>
      <c r="K1332" s="173"/>
      <c r="L1332" s="173"/>
      <c r="M1332" s="173"/>
      <c r="N1332" s="173"/>
      <c r="O1332" s="173"/>
      <c r="P1332" s="173"/>
    </row>
    <row r="1333" hidden="1">
      <c r="A1333" s="172"/>
      <c r="B1333" s="173"/>
      <c r="C1333" s="173"/>
      <c r="D1333" s="173"/>
      <c r="E1333" s="173"/>
      <c r="F1333" s="173"/>
      <c r="G1333" s="173"/>
      <c r="H1333" s="173"/>
      <c r="I1333" s="173"/>
      <c r="J1333" s="173"/>
      <c r="K1333" s="173"/>
      <c r="L1333" s="173"/>
      <c r="M1333" s="173"/>
      <c r="N1333" s="173"/>
      <c r="O1333" s="173"/>
      <c r="P1333" s="173"/>
    </row>
    <row r="1334" hidden="1">
      <c r="A1334" s="172"/>
      <c r="B1334" s="173"/>
      <c r="C1334" s="173"/>
      <c r="D1334" s="173"/>
      <c r="E1334" s="173"/>
      <c r="F1334" s="173"/>
      <c r="G1334" s="173"/>
      <c r="H1334" s="173"/>
      <c r="I1334" s="173"/>
      <c r="J1334" s="173"/>
      <c r="K1334" s="173"/>
      <c r="L1334" s="173"/>
      <c r="M1334" s="173"/>
      <c r="N1334" s="173"/>
      <c r="O1334" s="173"/>
      <c r="P1334" s="173"/>
    </row>
    <row r="1335" hidden="1">
      <c r="A1335" s="172"/>
      <c r="B1335" s="173"/>
      <c r="C1335" s="173"/>
      <c r="D1335" s="173"/>
      <c r="E1335" s="173"/>
      <c r="F1335" s="173"/>
      <c r="G1335" s="173"/>
      <c r="H1335" s="173"/>
      <c r="I1335" s="173"/>
      <c r="J1335" s="173"/>
      <c r="K1335" s="173"/>
      <c r="L1335" s="173"/>
      <c r="M1335" s="173"/>
      <c r="N1335" s="173"/>
      <c r="O1335" s="173"/>
      <c r="P1335" s="173"/>
    </row>
    <row r="1336" hidden="1">
      <c r="A1336" s="172"/>
      <c r="B1336" s="173"/>
      <c r="C1336" s="173"/>
      <c r="D1336" s="173"/>
      <c r="E1336" s="173"/>
      <c r="F1336" s="173"/>
      <c r="G1336" s="173"/>
      <c r="H1336" s="173"/>
      <c r="I1336" s="173"/>
      <c r="J1336" s="173"/>
      <c r="K1336" s="173"/>
      <c r="L1336" s="173"/>
      <c r="M1336" s="173"/>
      <c r="N1336" s="173"/>
      <c r="O1336" s="173"/>
      <c r="P1336" s="173"/>
    </row>
    <row r="1337" hidden="1">
      <c r="A1337" s="172"/>
      <c r="B1337" s="173"/>
      <c r="C1337" s="173"/>
      <c r="D1337" s="173"/>
      <c r="E1337" s="173"/>
      <c r="F1337" s="173"/>
      <c r="G1337" s="173"/>
      <c r="H1337" s="173"/>
      <c r="I1337" s="173"/>
      <c r="J1337" s="173"/>
      <c r="K1337" s="173"/>
      <c r="L1337" s="173"/>
      <c r="M1337" s="173"/>
      <c r="N1337" s="173"/>
      <c r="O1337" s="173"/>
      <c r="P1337" s="173"/>
    </row>
    <row r="1338" hidden="1">
      <c r="A1338" s="172"/>
      <c r="B1338" s="173"/>
      <c r="C1338" s="173"/>
      <c r="D1338" s="173"/>
      <c r="E1338" s="173"/>
      <c r="F1338" s="173"/>
      <c r="G1338" s="173"/>
      <c r="H1338" s="173"/>
      <c r="I1338" s="173"/>
      <c r="J1338" s="173"/>
      <c r="K1338" s="173"/>
      <c r="L1338" s="173"/>
      <c r="M1338" s="173"/>
      <c r="N1338" s="173"/>
      <c r="O1338" s="173"/>
      <c r="P1338" s="173"/>
    </row>
    <row r="1339" hidden="1">
      <c r="A1339" s="172"/>
      <c r="B1339" s="173"/>
      <c r="C1339" s="173"/>
      <c r="D1339" s="173"/>
      <c r="E1339" s="173"/>
      <c r="F1339" s="173"/>
      <c r="G1339" s="173"/>
      <c r="H1339" s="173"/>
      <c r="I1339" s="173"/>
      <c r="J1339" s="173"/>
      <c r="K1339" s="173"/>
      <c r="L1339" s="173"/>
      <c r="M1339" s="173"/>
      <c r="N1339" s="173"/>
      <c r="O1339" s="173"/>
      <c r="P1339" s="173"/>
    </row>
    <row r="1340" hidden="1">
      <c r="A1340" s="172"/>
      <c r="B1340" s="173"/>
      <c r="C1340" s="173"/>
      <c r="D1340" s="173"/>
      <c r="E1340" s="173"/>
      <c r="F1340" s="173"/>
      <c r="G1340" s="173"/>
      <c r="H1340" s="173"/>
      <c r="I1340" s="173"/>
      <c r="J1340" s="173"/>
      <c r="K1340" s="173"/>
      <c r="L1340" s="173"/>
      <c r="M1340" s="173"/>
      <c r="N1340" s="173"/>
      <c r="O1340" s="173"/>
      <c r="P1340" s="173"/>
    </row>
    <row r="1341" hidden="1">
      <c r="A1341" s="172"/>
      <c r="B1341" s="173"/>
      <c r="C1341" s="173"/>
      <c r="D1341" s="173"/>
      <c r="E1341" s="173"/>
      <c r="F1341" s="173"/>
      <c r="G1341" s="173"/>
      <c r="H1341" s="173"/>
      <c r="I1341" s="173"/>
      <c r="J1341" s="173"/>
      <c r="K1341" s="173"/>
      <c r="L1341" s="173"/>
      <c r="M1341" s="173"/>
      <c r="N1341" s="173"/>
      <c r="O1341" s="173"/>
      <c r="P1341" s="173"/>
    </row>
    <row r="1342" hidden="1">
      <c r="A1342" s="172"/>
      <c r="B1342" s="173"/>
      <c r="C1342" s="173"/>
      <c r="D1342" s="173"/>
      <c r="E1342" s="173"/>
      <c r="F1342" s="173"/>
      <c r="G1342" s="173"/>
      <c r="H1342" s="173"/>
      <c r="I1342" s="173"/>
      <c r="J1342" s="173"/>
      <c r="K1342" s="173"/>
      <c r="L1342" s="173"/>
      <c r="M1342" s="173"/>
      <c r="N1342" s="173"/>
      <c r="O1342" s="173"/>
      <c r="P1342" s="173"/>
    </row>
    <row r="1343" hidden="1">
      <c r="A1343" s="172"/>
      <c r="B1343" s="173"/>
      <c r="C1343" s="173"/>
      <c r="D1343" s="173"/>
      <c r="E1343" s="173"/>
      <c r="F1343" s="173"/>
      <c r="G1343" s="173"/>
      <c r="H1343" s="173"/>
      <c r="I1343" s="173"/>
      <c r="J1343" s="173"/>
      <c r="K1343" s="173"/>
      <c r="L1343" s="173"/>
      <c r="M1343" s="173"/>
      <c r="N1343" s="173"/>
      <c r="O1343" s="173"/>
      <c r="P1343" s="173"/>
    </row>
    <row r="1344" hidden="1">
      <c r="A1344" s="172"/>
      <c r="B1344" s="173"/>
      <c r="C1344" s="173"/>
      <c r="D1344" s="173"/>
      <c r="E1344" s="173"/>
      <c r="F1344" s="173"/>
      <c r="G1344" s="173"/>
      <c r="H1344" s="173"/>
      <c r="I1344" s="173"/>
      <c r="J1344" s="173"/>
      <c r="K1344" s="173"/>
      <c r="L1344" s="173"/>
      <c r="M1344" s="173"/>
      <c r="N1344" s="173"/>
      <c r="O1344" s="173"/>
      <c r="P1344" s="173"/>
    </row>
    <row r="1345" hidden="1">
      <c r="A1345" s="172"/>
      <c r="B1345" s="173"/>
      <c r="C1345" s="173"/>
      <c r="D1345" s="173"/>
      <c r="E1345" s="173"/>
      <c r="F1345" s="173"/>
      <c r="G1345" s="173"/>
      <c r="H1345" s="173"/>
      <c r="I1345" s="173"/>
      <c r="J1345" s="173"/>
      <c r="K1345" s="173"/>
      <c r="L1345" s="173"/>
      <c r="M1345" s="173"/>
      <c r="N1345" s="173"/>
      <c r="O1345" s="173"/>
      <c r="P1345" s="173"/>
    </row>
    <row r="1346" hidden="1">
      <c r="A1346" s="172"/>
      <c r="B1346" s="173"/>
      <c r="C1346" s="173"/>
      <c r="D1346" s="173"/>
      <c r="E1346" s="173"/>
      <c r="F1346" s="173"/>
      <c r="G1346" s="173"/>
      <c r="H1346" s="173"/>
      <c r="I1346" s="173"/>
      <c r="J1346" s="173"/>
      <c r="K1346" s="173"/>
      <c r="L1346" s="173"/>
      <c r="M1346" s="173"/>
      <c r="N1346" s="173"/>
      <c r="O1346" s="173"/>
      <c r="P1346" s="173"/>
    </row>
    <row r="1347" hidden="1">
      <c r="A1347" s="172"/>
      <c r="B1347" s="173"/>
      <c r="C1347" s="173"/>
      <c r="D1347" s="173"/>
      <c r="E1347" s="173"/>
      <c r="F1347" s="173"/>
      <c r="G1347" s="173"/>
      <c r="H1347" s="173"/>
      <c r="I1347" s="173"/>
      <c r="J1347" s="173"/>
      <c r="K1347" s="173"/>
      <c r="L1347" s="173"/>
      <c r="M1347" s="173"/>
      <c r="N1347" s="173"/>
      <c r="O1347" s="173"/>
      <c r="P1347" s="173"/>
    </row>
    <row r="1348" hidden="1">
      <c r="A1348" s="172"/>
      <c r="B1348" s="173"/>
      <c r="C1348" s="173"/>
      <c r="D1348" s="173"/>
      <c r="E1348" s="173"/>
      <c r="F1348" s="173"/>
      <c r="G1348" s="173"/>
      <c r="H1348" s="173"/>
      <c r="I1348" s="173"/>
      <c r="J1348" s="173"/>
      <c r="K1348" s="173"/>
      <c r="L1348" s="173"/>
      <c r="M1348" s="173"/>
      <c r="N1348" s="173"/>
      <c r="O1348" s="173"/>
      <c r="P1348" s="173"/>
    </row>
    <row r="1349" hidden="1">
      <c r="A1349" s="172"/>
      <c r="B1349" s="173"/>
      <c r="C1349" s="173"/>
      <c r="D1349" s="173"/>
      <c r="E1349" s="173"/>
      <c r="F1349" s="173"/>
      <c r="G1349" s="173"/>
      <c r="H1349" s="173"/>
      <c r="I1349" s="173"/>
      <c r="J1349" s="173"/>
      <c r="K1349" s="173"/>
      <c r="L1349" s="173"/>
      <c r="M1349" s="173"/>
      <c r="N1349" s="173"/>
      <c r="O1349" s="173"/>
      <c r="P1349" s="173"/>
    </row>
    <row r="1350" hidden="1">
      <c r="A1350" s="172"/>
      <c r="B1350" s="173"/>
      <c r="C1350" s="173"/>
      <c r="D1350" s="173"/>
      <c r="E1350" s="173"/>
      <c r="F1350" s="173"/>
      <c r="G1350" s="173"/>
      <c r="H1350" s="173"/>
      <c r="I1350" s="173"/>
      <c r="J1350" s="173"/>
      <c r="K1350" s="173"/>
      <c r="L1350" s="173"/>
      <c r="M1350" s="173"/>
      <c r="N1350" s="173"/>
      <c r="O1350" s="173"/>
      <c r="P1350" s="173"/>
    </row>
    <row r="1351" hidden="1">
      <c r="A1351" s="172"/>
      <c r="B1351" s="173"/>
      <c r="C1351" s="173"/>
      <c r="D1351" s="173"/>
      <c r="E1351" s="173"/>
      <c r="F1351" s="173"/>
      <c r="G1351" s="173"/>
      <c r="H1351" s="173"/>
      <c r="I1351" s="173"/>
      <c r="J1351" s="173"/>
      <c r="K1351" s="173"/>
      <c r="L1351" s="173"/>
      <c r="M1351" s="173"/>
      <c r="N1351" s="173"/>
      <c r="O1351" s="173"/>
      <c r="P1351" s="173"/>
    </row>
    <row r="1352" hidden="1">
      <c r="A1352" s="172"/>
      <c r="B1352" s="173"/>
      <c r="C1352" s="173"/>
      <c r="D1352" s="173"/>
      <c r="E1352" s="173"/>
      <c r="F1352" s="173"/>
      <c r="G1352" s="173"/>
      <c r="H1352" s="173"/>
      <c r="I1352" s="173"/>
      <c r="J1352" s="173"/>
      <c r="K1352" s="173"/>
      <c r="L1352" s="173"/>
      <c r="M1352" s="173"/>
      <c r="N1352" s="173"/>
      <c r="O1352" s="173"/>
      <c r="P1352" s="173"/>
    </row>
    <row r="1353" hidden="1">
      <c r="A1353" s="172"/>
      <c r="B1353" s="173"/>
      <c r="C1353" s="173"/>
      <c r="D1353" s="173"/>
      <c r="E1353" s="173"/>
      <c r="F1353" s="173"/>
      <c r="G1353" s="173"/>
      <c r="H1353" s="173"/>
      <c r="I1353" s="173"/>
      <c r="J1353" s="173"/>
      <c r="K1353" s="173"/>
      <c r="L1353" s="173"/>
      <c r="M1353" s="173"/>
      <c r="N1353" s="173"/>
      <c r="O1353" s="173"/>
      <c r="P1353" s="173"/>
    </row>
    <row r="1354" hidden="1">
      <c r="A1354" s="172"/>
      <c r="B1354" s="173"/>
      <c r="C1354" s="173"/>
      <c r="D1354" s="173"/>
      <c r="E1354" s="173"/>
      <c r="F1354" s="173"/>
      <c r="G1354" s="173"/>
      <c r="H1354" s="173"/>
      <c r="I1354" s="173"/>
      <c r="J1354" s="173"/>
      <c r="K1354" s="173"/>
      <c r="L1354" s="173"/>
      <c r="M1354" s="173"/>
      <c r="N1354" s="173"/>
      <c r="O1354" s="173"/>
      <c r="P1354" s="173"/>
    </row>
    <row r="1355" hidden="1">
      <c r="A1355" s="172"/>
      <c r="B1355" s="173"/>
      <c r="C1355" s="173"/>
      <c r="D1355" s="173"/>
      <c r="E1355" s="173"/>
      <c r="F1355" s="173"/>
      <c r="G1355" s="173"/>
      <c r="H1355" s="173"/>
      <c r="I1355" s="173"/>
      <c r="J1355" s="173"/>
      <c r="K1355" s="173"/>
      <c r="L1355" s="173"/>
      <c r="M1355" s="173"/>
      <c r="N1355" s="173"/>
      <c r="O1355" s="173"/>
      <c r="P1355" s="173"/>
    </row>
    <row r="1356" hidden="1">
      <c r="A1356" s="172"/>
      <c r="B1356" s="173"/>
      <c r="C1356" s="173"/>
      <c r="D1356" s="173"/>
      <c r="E1356" s="173"/>
      <c r="F1356" s="173"/>
      <c r="G1356" s="173"/>
      <c r="H1356" s="173"/>
      <c r="I1356" s="173"/>
      <c r="J1356" s="173"/>
      <c r="K1356" s="173"/>
      <c r="L1356" s="173"/>
      <c r="M1356" s="173"/>
      <c r="N1356" s="173"/>
      <c r="O1356" s="173"/>
      <c r="P1356" s="173"/>
    </row>
    <row r="1357" hidden="1">
      <c r="A1357" s="172"/>
      <c r="B1357" s="173"/>
      <c r="C1357" s="173"/>
      <c r="D1357" s="173"/>
      <c r="E1357" s="173"/>
      <c r="F1357" s="173"/>
      <c r="G1357" s="173"/>
      <c r="H1357" s="173"/>
      <c r="I1357" s="173"/>
      <c r="J1357" s="173"/>
      <c r="K1357" s="173"/>
      <c r="L1357" s="173"/>
      <c r="M1357" s="173"/>
      <c r="N1357" s="173"/>
      <c r="O1357" s="173"/>
      <c r="P1357" s="173"/>
    </row>
    <row r="1358" hidden="1">
      <c r="A1358" s="172"/>
      <c r="B1358" s="173"/>
      <c r="C1358" s="173"/>
      <c r="D1358" s="173"/>
      <c r="E1358" s="173"/>
      <c r="F1358" s="173"/>
      <c r="G1358" s="173"/>
      <c r="H1358" s="173"/>
      <c r="I1358" s="173"/>
      <c r="J1358" s="173"/>
      <c r="K1358" s="173"/>
      <c r="L1358" s="173"/>
      <c r="M1358" s="173"/>
      <c r="N1358" s="173"/>
      <c r="O1358" s="173"/>
      <c r="P1358" s="173"/>
    </row>
    <row r="1359" hidden="1">
      <c r="A1359" s="172"/>
      <c r="B1359" s="173"/>
      <c r="C1359" s="173"/>
      <c r="D1359" s="173"/>
      <c r="E1359" s="173"/>
      <c r="F1359" s="173"/>
      <c r="G1359" s="173"/>
      <c r="H1359" s="173"/>
      <c r="I1359" s="173"/>
      <c r="J1359" s="173"/>
      <c r="K1359" s="173"/>
      <c r="L1359" s="173"/>
      <c r="M1359" s="173"/>
      <c r="N1359" s="173"/>
      <c r="O1359" s="173"/>
      <c r="P1359" s="173"/>
    </row>
    <row r="1360" hidden="1">
      <c r="A1360" s="172"/>
      <c r="B1360" s="173"/>
      <c r="C1360" s="173"/>
      <c r="D1360" s="173"/>
      <c r="E1360" s="173"/>
      <c r="F1360" s="173"/>
      <c r="G1360" s="173"/>
      <c r="H1360" s="173"/>
      <c r="I1360" s="173"/>
      <c r="J1360" s="173"/>
      <c r="K1360" s="173"/>
      <c r="L1360" s="173"/>
      <c r="M1360" s="173"/>
      <c r="N1360" s="173"/>
      <c r="O1360" s="173"/>
      <c r="P1360" s="173"/>
    </row>
    <row r="1361" hidden="1">
      <c r="A1361" s="172"/>
      <c r="B1361" s="173"/>
      <c r="C1361" s="173"/>
      <c r="D1361" s="173"/>
      <c r="E1361" s="173"/>
      <c r="F1361" s="173"/>
      <c r="G1361" s="173"/>
      <c r="H1361" s="173"/>
      <c r="I1361" s="173"/>
      <c r="J1361" s="173"/>
      <c r="K1361" s="173"/>
      <c r="L1361" s="173"/>
      <c r="M1361" s="173"/>
      <c r="N1361" s="173"/>
      <c r="O1361" s="173"/>
      <c r="P1361" s="173"/>
    </row>
    <row r="1362" hidden="1">
      <c r="A1362" s="172"/>
      <c r="B1362" s="173"/>
      <c r="C1362" s="173"/>
      <c r="D1362" s="173"/>
      <c r="E1362" s="173"/>
      <c r="F1362" s="173"/>
      <c r="G1362" s="173"/>
      <c r="H1362" s="173"/>
      <c r="I1362" s="173"/>
      <c r="J1362" s="173"/>
      <c r="K1362" s="173"/>
      <c r="L1362" s="173"/>
      <c r="M1362" s="173"/>
      <c r="N1362" s="173"/>
      <c r="O1362" s="173"/>
      <c r="P1362" s="173"/>
    </row>
    <row r="1363" hidden="1">
      <c r="A1363" s="172"/>
      <c r="B1363" s="173"/>
      <c r="C1363" s="173"/>
      <c r="D1363" s="173"/>
      <c r="E1363" s="173"/>
      <c r="F1363" s="173"/>
      <c r="G1363" s="173"/>
      <c r="H1363" s="173"/>
      <c r="I1363" s="173"/>
      <c r="J1363" s="173"/>
      <c r="K1363" s="173"/>
      <c r="L1363" s="173"/>
      <c r="M1363" s="173"/>
      <c r="N1363" s="173"/>
      <c r="O1363" s="173"/>
      <c r="P1363" s="173"/>
    </row>
    <row r="1364" hidden="1">
      <c r="A1364" s="172"/>
      <c r="B1364" s="173"/>
      <c r="C1364" s="173"/>
      <c r="D1364" s="173"/>
      <c r="E1364" s="173"/>
      <c r="F1364" s="173"/>
      <c r="G1364" s="173"/>
      <c r="H1364" s="173"/>
      <c r="I1364" s="173"/>
      <c r="J1364" s="173"/>
      <c r="K1364" s="173"/>
      <c r="L1364" s="173"/>
      <c r="M1364" s="173"/>
      <c r="N1364" s="173"/>
      <c r="O1364" s="173"/>
      <c r="P1364" s="173"/>
    </row>
    <row r="1365" hidden="1">
      <c r="A1365" s="172"/>
      <c r="B1365" s="173"/>
      <c r="C1365" s="173"/>
      <c r="D1365" s="173"/>
      <c r="E1365" s="173"/>
      <c r="F1365" s="173"/>
      <c r="G1365" s="173"/>
      <c r="H1365" s="173"/>
      <c r="I1365" s="173"/>
      <c r="J1365" s="173"/>
      <c r="K1365" s="173"/>
      <c r="L1365" s="173"/>
      <c r="M1365" s="173"/>
      <c r="N1365" s="173"/>
      <c r="O1365" s="173"/>
      <c r="P1365" s="173"/>
    </row>
    <row r="1366" hidden="1">
      <c r="A1366" s="172"/>
      <c r="B1366" s="173"/>
      <c r="C1366" s="173"/>
      <c r="D1366" s="173"/>
      <c r="E1366" s="173"/>
      <c r="F1366" s="173"/>
      <c r="G1366" s="173"/>
      <c r="H1366" s="173"/>
      <c r="I1366" s="173"/>
      <c r="J1366" s="173"/>
      <c r="K1366" s="173"/>
      <c r="L1366" s="173"/>
      <c r="M1366" s="173"/>
      <c r="N1366" s="173"/>
      <c r="O1366" s="173"/>
      <c r="P1366" s="173"/>
    </row>
    <row r="1367" hidden="1">
      <c r="A1367" s="172"/>
      <c r="B1367" s="173"/>
      <c r="C1367" s="173"/>
      <c r="D1367" s="173"/>
      <c r="E1367" s="173"/>
      <c r="F1367" s="173"/>
      <c r="G1367" s="173"/>
      <c r="H1367" s="173"/>
      <c r="I1367" s="173"/>
      <c r="J1367" s="173"/>
      <c r="K1367" s="173"/>
      <c r="L1367" s="173"/>
      <c r="M1367" s="173"/>
      <c r="N1367" s="173"/>
      <c r="O1367" s="173"/>
      <c r="P1367" s="173"/>
    </row>
    <row r="1368" hidden="1">
      <c r="A1368" s="172"/>
      <c r="B1368" s="173"/>
      <c r="C1368" s="173"/>
      <c r="D1368" s="173"/>
      <c r="E1368" s="173"/>
      <c r="F1368" s="173"/>
      <c r="G1368" s="173"/>
      <c r="H1368" s="173"/>
      <c r="I1368" s="173"/>
      <c r="J1368" s="173"/>
      <c r="K1368" s="173"/>
      <c r="L1368" s="173"/>
      <c r="M1368" s="173"/>
      <c r="N1368" s="173"/>
      <c r="O1368" s="173"/>
      <c r="P1368" s="173"/>
    </row>
    <row r="1369" hidden="1">
      <c r="A1369" s="172"/>
      <c r="B1369" s="173"/>
      <c r="C1369" s="173"/>
      <c r="D1369" s="173"/>
      <c r="E1369" s="173"/>
      <c r="F1369" s="173"/>
      <c r="G1369" s="173"/>
      <c r="H1369" s="173"/>
      <c r="I1369" s="173"/>
      <c r="J1369" s="173"/>
      <c r="K1369" s="173"/>
      <c r="L1369" s="173"/>
      <c r="M1369" s="173"/>
      <c r="N1369" s="173"/>
      <c r="O1369" s="173"/>
      <c r="P1369" s="173"/>
    </row>
    <row r="1370" hidden="1">
      <c r="A1370" s="172"/>
      <c r="B1370" s="173"/>
      <c r="C1370" s="173"/>
      <c r="D1370" s="173"/>
      <c r="E1370" s="173"/>
      <c r="F1370" s="173"/>
      <c r="G1370" s="173"/>
      <c r="H1370" s="173"/>
      <c r="I1370" s="173"/>
      <c r="J1370" s="173"/>
      <c r="K1370" s="173"/>
      <c r="L1370" s="173"/>
      <c r="M1370" s="173"/>
      <c r="N1370" s="173"/>
      <c r="O1370" s="173"/>
      <c r="P1370" s="173"/>
    </row>
    <row r="1371" hidden="1">
      <c r="A1371" s="172"/>
      <c r="B1371" s="173"/>
      <c r="C1371" s="173"/>
      <c r="D1371" s="173"/>
      <c r="E1371" s="173"/>
      <c r="F1371" s="173"/>
      <c r="G1371" s="173"/>
      <c r="H1371" s="173"/>
      <c r="I1371" s="173"/>
      <c r="J1371" s="173"/>
      <c r="K1371" s="173"/>
      <c r="L1371" s="173"/>
      <c r="M1371" s="173"/>
      <c r="N1371" s="173"/>
      <c r="O1371" s="173"/>
      <c r="P1371" s="173"/>
    </row>
    <row r="1372" hidden="1">
      <c r="A1372" s="172"/>
      <c r="B1372" s="173"/>
      <c r="C1372" s="173"/>
      <c r="D1372" s="173"/>
      <c r="E1372" s="173"/>
      <c r="F1372" s="173"/>
      <c r="G1372" s="173"/>
      <c r="H1372" s="173"/>
      <c r="I1372" s="173"/>
      <c r="J1372" s="173"/>
      <c r="K1372" s="173"/>
      <c r="L1372" s="173"/>
      <c r="M1372" s="173"/>
      <c r="N1372" s="173"/>
      <c r="O1372" s="173"/>
      <c r="P1372" s="173"/>
    </row>
    <row r="1373" hidden="1">
      <c r="A1373" s="172"/>
      <c r="B1373" s="173"/>
      <c r="C1373" s="173"/>
      <c r="D1373" s="173"/>
      <c r="E1373" s="173"/>
      <c r="F1373" s="173"/>
      <c r="G1373" s="173"/>
      <c r="H1373" s="173"/>
      <c r="I1373" s="173"/>
      <c r="J1373" s="173"/>
      <c r="K1373" s="173"/>
      <c r="L1373" s="173"/>
      <c r="M1373" s="173"/>
      <c r="N1373" s="173"/>
      <c r="O1373" s="173"/>
      <c r="P1373" s="173"/>
    </row>
    <row r="1374" hidden="1">
      <c r="A1374" s="172"/>
      <c r="B1374" s="173"/>
      <c r="C1374" s="173"/>
      <c r="D1374" s="173"/>
      <c r="E1374" s="173"/>
      <c r="F1374" s="173"/>
      <c r="G1374" s="173"/>
      <c r="H1374" s="173"/>
      <c r="I1374" s="173"/>
      <c r="J1374" s="173"/>
      <c r="K1374" s="173"/>
      <c r="L1374" s="173"/>
      <c r="M1374" s="173"/>
      <c r="N1374" s="173"/>
      <c r="O1374" s="173"/>
      <c r="P1374" s="173"/>
    </row>
    <row r="1375" hidden="1">
      <c r="A1375" s="172"/>
      <c r="B1375" s="173"/>
      <c r="C1375" s="173"/>
      <c r="D1375" s="173"/>
      <c r="E1375" s="173"/>
      <c r="F1375" s="173"/>
      <c r="G1375" s="173"/>
      <c r="H1375" s="173"/>
      <c r="I1375" s="173"/>
      <c r="J1375" s="173"/>
      <c r="K1375" s="173"/>
      <c r="L1375" s="173"/>
      <c r="M1375" s="173"/>
      <c r="N1375" s="173"/>
      <c r="O1375" s="173"/>
      <c r="P1375" s="173"/>
    </row>
    <row r="1376" hidden="1">
      <c r="A1376" s="172"/>
      <c r="B1376" s="173"/>
      <c r="C1376" s="173"/>
      <c r="D1376" s="173"/>
      <c r="E1376" s="173"/>
      <c r="F1376" s="173"/>
      <c r="G1376" s="173"/>
      <c r="H1376" s="173"/>
      <c r="I1376" s="173"/>
      <c r="J1376" s="173"/>
      <c r="K1376" s="173"/>
      <c r="L1376" s="173"/>
      <c r="M1376" s="173"/>
      <c r="N1376" s="173"/>
      <c r="O1376" s="173"/>
      <c r="P1376" s="173"/>
    </row>
    <row r="1377" hidden="1">
      <c r="A1377" s="172"/>
      <c r="B1377" s="173"/>
      <c r="C1377" s="173"/>
      <c r="D1377" s="173"/>
      <c r="E1377" s="173"/>
      <c r="F1377" s="173"/>
      <c r="G1377" s="173"/>
      <c r="H1377" s="173"/>
      <c r="I1377" s="173"/>
      <c r="J1377" s="173"/>
      <c r="K1377" s="173"/>
      <c r="L1377" s="173"/>
      <c r="M1377" s="173"/>
      <c r="N1377" s="173"/>
      <c r="O1377" s="173"/>
      <c r="P1377" s="173"/>
    </row>
    <row r="1378" hidden="1">
      <c r="A1378" s="172"/>
      <c r="B1378" s="173"/>
      <c r="C1378" s="173"/>
      <c r="D1378" s="173"/>
      <c r="E1378" s="173"/>
      <c r="F1378" s="173"/>
      <c r="G1378" s="173"/>
      <c r="H1378" s="173"/>
      <c r="I1378" s="173"/>
      <c r="J1378" s="173"/>
      <c r="K1378" s="173"/>
      <c r="L1378" s="173"/>
      <c r="M1378" s="173"/>
      <c r="N1378" s="173"/>
      <c r="O1378" s="173"/>
      <c r="P1378" s="173"/>
    </row>
    <row r="1379" hidden="1">
      <c r="A1379" s="172"/>
      <c r="B1379" s="173"/>
      <c r="C1379" s="173"/>
      <c r="D1379" s="173"/>
      <c r="E1379" s="173"/>
      <c r="F1379" s="173"/>
      <c r="G1379" s="173"/>
      <c r="H1379" s="173"/>
      <c r="I1379" s="173"/>
      <c r="J1379" s="173"/>
      <c r="K1379" s="173"/>
      <c r="L1379" s="173"/>
      <c r="M1379" s="173"/>
      <c r="N1379" s="173"/>
      <c r="O1379" s="173"/>
      <c r="P1379" s="173"/>
    </row>
    <row r="1380" hidden="1">
      <c r="A1380" s="172"/>
      <c r="B1380" s="173"/>
      <c r="C1380" s="173"/>
      <c r="D1380" s="173"/>
      <c r="E1380" s="173"/>
      <c r="F1380" s="173"/>
      <c r="G1380" s="173"/>
      <c r="H1380" s="173"/>
      <c r="I1380" s="173"/>
      <c r="J1380" s="173"/>
      <c r="K1380" s="173"/>
      <c r="L1380" s="173"/>
      <c r="M1380" s="173"/>
      <c r="N1380" s="173"/>
      <c r="O1380" s="173"/>
      <c r="P1380" s="173"/>
    </row>
    <row r="1381" hidden="1">
      <c r="A1381" s="172"/>
      <c r="B1381" s="173"/>
      <c r="C1381" s="173"/>
      <c r="D1381" s="173"/>
      <c r="E1381" s="173"/>
      <c r="F1381" s="173"/>
      <c r="G1381" s="173"/>
      <c r="H1381" s="173"/>
      <c r="I1381" s="173"/>
      <c r="J1381" s="173"/>
      <c r="K1381" s="173"/>
      <c r="L1381" s="173"/>
      <c r="M1381" s="173"/>
      <c r="N1381" s="173"/>
      <c r="O1381" s="173"/>
      <c r="P1381" s="173"/>
    </row>
    <row r="1382" hidden="1">
      <c r="A1382" s="172"/>
      <c r="B1382" s="173"/>
      <c r="C1382" s="173"/>
      <c r="D1382" s="173"/>
      <c r="E1382" s="173"/>
      <c r="F1382" s="173"/>
      <c r="G1382" s="173"/>
      <c r="H1382" s="173"/>
      <c r="I1382" s="173"/>
      <c r="J1382" s="173"/>
      <c r="K1382" s="173"/>
      <c r="L1382" s="173"/>
      <c r="M1382" s="173"/>
      <c r="N1382" s="173"/>
      <c r="O1382" s="173"/>
      <c r="P1382" s="173"/>
    </row>
    <row r="1383" hidden="1">
      <c r="A1383" s="172"/>
      <c r="B1383" s="173"/>
      <c r="C1383" s="173"/>
      <c r="D1383" s="173"/>
      <c r="E1383" s="173"/>
      <c r="F1383" s="173"/>
      <c r="G1383" s="173"/>
      <c r="H1383" s="173"/>
      <c r="I1383" s="173"/>
      <c r="J1383" s="173"/>
      <c r="K1383" s="173"/>
      <c r="L1383" s="173"/>
      <c r="M1383" s="173"/>
      <c r="N1383" s="173"/>
      <c r="O1383" s="173"/>
      <c r="P1383" s="173"/>
    </row>
    <row r="1384" hidden="1">
      <c r="A1384" s="172"/>
      <c r="B1384" s="173"/>
      <c r="C1384" s="173"/>
      <c r="D1384" s="173"/>
      <c r="E1384" s="173"/>
      <c r="F1384" s="173"/>
      <c r="G1384" s="173"/>
      <c r="H1384" s="173"/>
      <c r="I1384" s="173"/>
      <c r="J1384" s="173"/>
      <c r="K1384" s="173"/>
      <c r="L1384" s="173"/>
      <c r="M1384" s="173"/>
      <c r="N1384" s="173"/>
      <c r="O1384" s="173"/>
      <c r="P1384" s="173"/>
    </row>
    <row r="1385" hidden="1">
      <c r="A1385" s="172"/>
      <c r="B1385" s="173"/>
      <c r="C1385" s="173"/>
      <c r="D1385" s="173"/>
      <c r="E1385" s="173"/>
      <c r="F1385" s="173"/>
      <c r="G1385" s="173"/>
      <c r="H1385" s="173"/>
      <c r="I1385" s="173"/>
      <c r="J1385" s="173"/>
      <c r="K1385" s="173"/>
      <c r="L1385" s="173"/>
      <c r="M1385" s="173"/>
      <c r="N1385" s="173"/>
      <c r="O1385" s="173"/>
      <c r="P1385" s="173"/>
    </row>
    <row r="1386" hidden="1">
      <c r="A1386" s="172"/>
      <c r="B1386" s="173"/>
      <c r="C1386" s="173"/>
      <c r="D1386" s="173"/>
      <c r="E1386" s="173"/>
      <c r="F1386" s="173"/>
      <c r="G1386" s="173"/>
      <c r="H1386" s="173"/>
      <c r="I1386" s="173"/>
      <c r="J1386" s="173"/>
      <c r="K1386" s="173"/>
      <c r="L1386" s="173"/>
      <c r="M1386" s="173"/>
      <c r="N1386" s="173"/>
      <c r="O1386" s="173"/>
      <c r="P1386" s="173"/>
    </row>
    <row r="1387" hidden="1">
      <c r="A1387" s="172"/>
      <c r="B1387" s="173"/>
      <c r="C1387" s="173"/>
      <c r="D1387" s="173"/>
      <c r="E1387" s="173"/>
      <c r="F1387" s="173"/>
      <c r="G1387" s="173"/>
      <c r="H1387" s="173"/>
      <c r="I1387" s="173"/>
      <c r="J1387" s="173"/>
      <c r="K1387" s="173"/>
      <c r="L1387" s="173"/>
      <c r="M1387" s="173"/>
      <c r="N1387" s="173"/>
      <c r="O1387" s="173"/>
      <c r="P1387" s="173"/>
    </row>
    <row r="1388" hidden="1">
      <c r="A1388" s="172"/>
      <c r="B1388" s="173"/>
      <c r="C1388" s="173"/>
      <c r="D1388" s="173"/>
      <c r="E1388" s="173"/>
      <c r="F1388" s="173"/>
      <c r="G1388" s="173"/>
      <c r="H1388" s="173"/>
      <c r="I1388" s="173"/>
      <c r="J1388" s="173"/>
      <c r="K1388" s="173"/>
      <c r="L1388" s="173"/>
      <c r="M1388" s="173"/>
      <c r="N1388" s="173"/>
      <c r="O1388" s="173"/>
      <c r="P1388" s="173"/>
    </row>
    <row r="1389" hidden="1">
      <c r="A1389" s="172"/>
      <c r="B1389" s="173"/>
      <c r="C1389" s="173"/>
      <c r="D1389" s="173"/>
      <c r="E1389" s="173"/>
      <c r="F1389" s="173"/>
      <c r="G1389" s="173"/>
      <c r="H1389" s="173"/>
      <c r="I1389" s="173"/>
      <c r="J1389" s="173"/>
      <c r="K1389" s="173"/>
      <c r="L1389" s="173"/>
      <c r="M1389" s="173"/>
      <c r="N1389" s="173"/>
      <c r="O1389" s="173"/>
      <c r="P1389" s="173"/>
    </row>
    <row r="1390" hidden="1">
      <c r="A1390" s="172"/>
      <c r="B1390" s="173"/>
      <c r="C1390" s="173"/>
      <c r="D1390" s="173"/>
      <c r="E1390" s="173"/>
      <c r="F1390" s="173"/>
      <c r="G1390" s="173"/>
      <c r="H1390" s="173"/>
      <c r="I1390" s="173"/>
      <c r="J1390" s="173"/>
      <c r="K1390" s="173"/>
      <c r="L1390" s="173"/>
      <c r="M1390" s="173"/>
      <c r="N1390" s="173"/>
      <c r="O1390" s="173"/>
      <c r="P1390" s="173"/>
    </row>
    <row r="1391" hidden="1">
      <c r="A1391" s="172"/>
      <c r="B1391" s="173"/>
      <c r="C1391" s="173"/>
      <c r="D1391" s="173"/>
      <c r="E1391" s="173"/>
      <c r="F1391" s="173"/>
      <c r="G1391" s="173"/>
      <c r="H1391" s="173"/>
      <c r="I1391" s="173"/>
      <c r="J1391" s="173"/>
      <c r="K1391" s="173"/>
      <c r="L1391" s="173"/>
      <c r="M1391" s="173"/>
      <c r="N1391" s="173"/>
      <c r="O1391" s="173"/>
      <c r="P1391" s="173"/>
    </row>
    <row r="1392" hidden="1">
      <c r="A1392" s="172"/>
      <c r="B1392" s="173"/>
      <c r="C1392" s="173"/>
      <c r="D1392" s="173"/>
      <c r="E1392" s="173"/>
      <c r="F1392" s="173"/>
      <c r="G1392" s="173"/>
      <c r="H1392" s="173"/>
      <c r="I1392" s="173"/>
      <c r="J1392" s="173"/>
      <c r="K1392" s="173"/>
      <c r="L1392" s="173"/>
      <c r="M1392" s="173"/>
      <c r="N1392" s="173"/>
      <c r="O1392" s="173"/>
      <c r="P1392" s="173"/>
    </row>
    <row r="1393" hidden="1">
      <c r="A1393" s="172"/>
      <c r="B1393" s="173"/>
      <c r="C1393" s="173"/>
      <c r="D1393" s="173"/>
      <c r="E1393" s="173"/>
      <c r="F1393" s="173"/>
      <c r="G1393" s="173"/>
      <c r="H1393" s="173"/>
      <c r="I1393" s="173"/>
      <c r="J1393" s="173"/>
      <c r="K1393" s="173"/>
      <c r="L1393" s="173"/>
      <c r="M1393" s="173"/>
      <c r="N1393" s="173"/>
      <c r="O1393" s="173"/>
      <c r="P1393" s="173"/>
    </row>
    <row r="1394" hidden="1">
      <c r="A1394" s="172"/>
      <c r="B1394" s="173"/>
      <c r="C1394" s="173"/>
      <c r="D1394" s="173"/>
      <c r="E1394" s="173"/>
      <c r="F1394" s="173"/>
      <c r="G1394" s="173"/>
      <c r="H1394" s="173"/>
      <c r="I1394" s="173"/>
      <c r="J1394" s="173"/>
      <c r="K1394" s="173"/>
      <c r="L1394" s="173"/>
      <c r="M1394" s="173"/>
      <c r="N1394" s="173"/>
      <c r="O1394" s="173"/>
      <c r="P1394" s="173"/>
    </row>
    <row r="1395" hidden="1">
      <c r="A1395" s="172"/>
      <c r="B1395" s="173"/>
      <c r="C1395" s="173"/>
      <c r="D1395" s="173"/>
      <c r="E1395" s="173"/>
      <c r="F1395" s="173"/>
      <c r="G1395" s="173"/>
      <c r="H1395" s="173"/>
      <c r="I1395" s="173"/>
      <c r="J1395" s="173"/>
      <c r="K1395" s="173"/>
      <c r="L1395" s="173"/>
      <c r="M1395" s="173"/>
      <c r="N1395" s="173"/>
      <c r="O1395" s="173"/>
      <c r="P1395" s="173"/>
    </row>
    <row r="1396" hidden="1">
      <c r="A1396" s="172"/>
      <c r="B1396" s="173"/>
      <c r="C1396" s="173"/>
      <c r="D1396" s="173"/>
      <c r="E1396" s="173"/>
      <c r="F1396" s="173"/>
      <c r="G1396" s="173"/>
      <c r="H1396" s="173"/>
      <c r="I1396" s="173"/>
      <c r="J1396" s="173"/>
      <c r="K1396" s="173"/>
      <c r="L1396" s="173"/>
      <c r="M1396" s="173"/>
      <c r="N1396" s="173"/>
      <c r="O1396" s="173"/>
      <c r="P1396" s="173"/>
    </row>
    <row r="1397" hidden="1">
      <c r="A1397" s="172"/>
      <c r="B1397" s="173"/>
      <c r="C1397" s="173"/>
      <c r="D1397" s="173"/>
      <c r="E1397" s="173"/>
      <c r="F1397" s="173"/>
      <c r="G1397" s="173"/>
      <c r="H1397" s="173"/>
      <c r="I1397" s="173"/>
      <c r="J1397" s="173"/>
      <c r="K1397" s="173"/>
      <c r="L1397" s="173"/>
      <c r="M1397" s="173"/>
      <c r="N1397" s="173"/>
      <c r="O1397" s="173"/>
      <c r="P1397" s="173"/>
    </row>
    <row r="1398" hidden="1">
      <c r="A1398" s="172"/>
      <c r="B1398" s="173"/>
      <c r="C1398" s="173"/>
      <c r="D1398" s="173"/>
      <c r="E1398" s="173"/>
      <c r="F1398" s="173"/>
      <c r="G1398" s="173"/>
      <c r="H1398" s="173"/>
      <c r="I1398" s="173"/>
      <c r="J1398" s="173"/>
      <c r="K1398" s="173"/>
      <c r="L1398" s="173"/>
      <c r="M1398" s="173"/>
      <c r="N1398" s="173"/>
      <c r="O1398" s="173"/>
      <c r="P1398" s="173"/>
    </row>
    <row r="1399" hidden="1">
      <c r="A1399" s="172"/>
      <c r="B1399" s="173"/>
      <c r="C1399" s="173"/>
      <c r="D1399" s="173"/>
      <c r="E1399" s="173"/>
      <c r="F1399" s="173"/>
      <c r="G1399" s="173"/>
      <c r="H1399" s="173"/>
      <c r="I1399" s="173"/>
      <c r="J1399" s="173"/>
      <c r="K1399" s="173"/>
      <c r="L1399" s="173"/>
      <c r="M1399" s="173"/>
      <c r="N1399" s="173"/>
      <c r="O1399" s="173"/>
      <c r="P1399" s="173"/>
    </row>
    <row r="1400" hidden="1">
      <c r="A1400" s="172"/>
      <c r="B1400" s="173"/>
      <c r="C1400" s="173"/>
      <c r="D1400" s="173"/>
      <c r="E1400" s="173"/>
      <c r="F1400" s="173"/>
      <c r="G1400" s="173"/>
      <c r="H1400" s="173"/>
      <c r="I1400" s="173"/>
      <c r="J1400" s="173"/>
      <c r="K1400" s="173"/>
      <c r="L1400" s="173"/>
      <c r="M1400" s="173"/>
      <c r="N1400" s="173"/>
      <c r="O1400" s="173"/>
      <c r="P1400" s="173"/>
    </row>
    <row r="1401" hidden="1">
      <c r="A1401" s="172"/>
      <c r="B1401" s="173"/>
      <c r="C1401" s="173"/>
      <c r="D1401" s="173"/>
      <c r="E1401" s="173"/>
      <c r="F1401" s="173"/>
      <c r="G1401" s="173"/>
      <c r="H1401" s="173"/>
      <c r="I1401" s="173"/>
      <c r="J1401" s="173"/>
      <c r="K1401" s="173"/>
      <c r="L1401" s="173"/>
      <c r="M1401" s="173"/>
      <c r="N1401" s="173"/>
      <c r="O1401" s="173"/>
      <c r="P1401" s="173"/>
    </row>
    <row r="1402" hidden="1">
      <c r="A1402" s="172"/>
      <c r="B1402" s="173"/>
      <c r="C1402" s="173"/>
      <c r="D1402" s="173"/>
      <c r="E1402" s="173"/>
      <c r="F1402" s="173"/>
      <c r="G1402" s="173"/>
      <c r="H1402" s="173"/>
      <c r="I1402" s="173"/>
      <c r="J1402" s="173"/>
      <c r="K1402" s="173"/>
      <c r="L1402" s="173"/>
      <c r="M1402" s="173"/>
      <c r="N1402" s="173"/>
      <c r="O1402" s="173"/>
      <c r="P1402" s="173"/>
    </row>
    <row r="1403" hidden="1">
      <c r="A1403" s="172"/>
      <c r="B1403" s="173"/>
      <c r="C1403" s="173"/>
      <c r="D1403" s="173"/>
      <c r="E1403" s="173"/>
      <c r="F1403" s="173"/>
      <c r="G1403" s="173"/>
      <c r="H1403" s="173"/>
      <c r="I1403" s="173"/>
      <c r="J1403" s="173"/>
      <c r="K1403" s="173"/>
      <c r="L1403" s="173"/>
      <c r="M1403" s="173"/>
      <c r="N1403" s="173"/>
      <c r="O1403" s="173"/>
      <c r="P1403" s="173"/>
    </row>
    <row r="1404" hidden="1">
      <c r="A1404" s="172"/>
      <c r="B1404" s="173"/>
      <c r="C1404" s="173"/>
      <c r="D1404" s="173"/>
      <c r="E1404" s="173"/>
      <c r="F1404" s="173"/>
      <c r="G1404" s="173"/>
      <c r="H1404" s="173"/>
      <c r="I1404" s="173"/>
      <c r="J1404" s="173"/>
      <c r="K1404" s="173"/>
      <c r="L1404" s="173"/>
      <c r="M1404" s="173"/>
      <c r="N1404" s="173"/>
      <c r="O1404" s="173"/>
      <c r="P1404" s="173"/>
    </row>
    <row r="1405" hidden="1">
      <c r="A1405" s="172"/>
      <c r="B1405" s="173"/>
      <c r="C1405" s="173"/>
      <c r="D1405" s="173"/>
      <c r="E1405" s="173"/>
      <c r="F1405" s="173"/>
      <c r="G1405" s="173"/>
      <c r="H1405" s="173"/>
      <c r="I1405" s="173"/>
      <c r="J1405" s="173"/>
      <c r="K1405" s="173"/>
      <c r="L1405" s="173"/>
      <c r="M1405" s="173"/>
      <c r="N1405" s="173"/>
      <c r="O1405" s="173"/>
      <c r="P1405" s="173"/>
    </row>
    <row r="1406" hidden="1">
      <c r="A1406" s="172"/>
      <c r="B1406" s="173"/>
      <c r="C1406" s="173"/>
      <c r="D1406" s="173"/>
      <c r="E1406" s="173"/>
      <c r="F1406" s="173"/>
      <c r="G1406" s="173"/>
      <c r="H1406" s="173"/>
      <c r="I1406" s="173"/>
      <c r="J1406" s="173"/>
      <c r="K1406" s="173"/>
      <c r="L1406" s="173"/>
      <c r="M1406" s="173"/>
      <c r="N1406" s="173"/>
      <c r="O1406" s="173"/>
      <c r="P1406" s="173"/>
    </row>
    <row r="1407" hidden="1">
      <c r="A1407" s="172"/>
      <c r="B1407" s="173"/>
      <c r="C1407" s="173"/>
      <c r="D1407" s="173"/>
      <c r="E1407" s="173"/>
      <c r="F1407" s="173"/>
      <c r="G1407" s="173"/>
      <c r="H1407" s="173"/>
      <c r="I1407" s="173"/>
      <c r="J1407" s="173"/>
      <c r="K1407" s="173"/>
      <c r="L1407" s="173"/>
      <c r="M1407" s="173"/>
      <c r="N1407" s="173"/>
      <c r="O1407" s="173"/>
      <c r="P1407" s="173"/>
    </row>
    <row r="1408" hidden="1">
      <c r="A1408" s="172"/>
      <c r="B1408" s="173"/>
      <c r="C1408" s="173"/>
      <c r="D1408" s="173"/>
      <c r="E1408" s="173"/>
      <c r="F1408" s="173"/>
      <c r="G1408" s="173"/>
      <c r="H1408" s="173"/>
      <c r="I1408" s="173"/>
      <c r="J1408" s="173"/>
      <c r="K1408" s="173"/>
      <c r="L1408" s="173"/>
      <c r="M1408" s="173"/>
      <c r="N1408" s="173"/>
      <c r="O1408" s="173"/>
      <c r="P1408" s="173"/>
    </row>
    <row r="1409" hidden="1">
      <c r="A1409" s="172"/>
      <c r="B1409" s="173"/>
      <c r="C1409" s="173"/>
      <c r="D1409" s="173"/>
      <c r="E1409" s="173"/>
      <c r="F1409" s="173"/>
      <c r="G1409" s="173"/>
      <c r="H1409" s="173"/>
      <c r="I1409" s="173"/>
      <c r="J1409" s="173"/>
      <c r="K1409" s="173"/>
      <c r="L1409" s="173"/>
      <c r="M1409" s="173"/>
      <c r="N1409" s="173"/>
      <c r="O1409" s="173"/>
      <c r="P1409" s="173"/>
    </row>
    <row r="1410" hidden="1">
      <c r="A1410" s="172"/>
      <c r="B1410" s="173"/>
      <c r="C1410" s="173"/>
      <c r="D1410" s="173"/>
      <c r="E1410" s="173"/>
      <c r="F1410" s="173"/>
      <c r="G1410" s="173"/>
      <c r="H1410" s="173"/>
      <c r="I1410" s="173"/>
      <c r="J1410" s="173"/>
      <c r="K1410" s="173"/>
      <c r="L1410" s="173"/>
      <c r="M1410" s="173"/>
      <c r="N1410" s="173"/>
      <c r="O1410" s="173"/>
      <c r="P1410" s="173"/>
    </row>
    <row r="1411" hidden="1">
      <c r="A1411" s="172"/>
      <c r="B1411" s="173"/>
      <c r="C1411" s="173"/>
      <c r="D1411" s="173"/>
      <c r="E1411" s="173"/>
      <c r="F1411" s="173"/>
      <c r="G1411" s="173"/>
      <c r="H1411" s="173"/>
      <c r="I1411" s="173"/>
      <c r="J1411" s="173"/>
      <c r="K1411" s="173"/>
      <c r="L1411" s="173"/>
      <c r="M1411" s="173"/>
      <c r="N1411" s="173"/>
      <c r="O1411" s="173"/>
      <c r="P1411" s="173"/>
    </row>
    <row r="1412" hidden="1">
      <c r="A1412" s="172"/>
      <c r="B1412" s="173"/>
      <c r="C1412" s="173"/>
      <c r="D1412" s="173"/>
      <c r="E1412" s="173"/>
      <c r="F1412" s="173"/>
      <c r="G1412" s="173"/>
      <c r="H1412" s="173"/>
      <c r="I1412" s="173"/>
      <c r="J1412" s="173"/>
      <c r="K1412" s="173"/>
      <c r="L1412" s="173"/>
      <c r="M1412" s="173"/>
      <c r="N1412" s="173"/>
      <c r="O1412" s="173"/>
      <c r="P1412" s="173"/>
    </row>
    <row r="1413" hidden="1">
      <c r="A1413" s="172"/>
      <c r="B1413" s="173"/>
      <c r="C1413" s="173"/>
      <c r="D1413" s="173"/>
      <c r="E1413" s="173"/>
      <c r="F1413" s="173"/>
      <c r="G1413" s="173"/>
      <c r="H1413" s="173"/>
      <c r="I1413" s="173"/>
      <c r="J1413" s="173"/>
      <c r="K1413" s="173"/>
      <c r="L1413" s="173"/>
      <c r="M1413" s="173"/>
      <c r="N1413" s="173"/>
      <c r="O1413" s="173"/>
      <c r="P1413" s="173"/>
    </row>
    <row r="1414" hidden="1">
      <c r="A1414" s="172"/>
      <c r="B1414" s="173"/>
      <c r="C1414" s="173"/>
      <c r="D1414" s="173"/>
      <c r="E1414" s="173"/>
      <c r="F1414" s="173"/>
      <c r="G1414" s="173"/>
      <c r="H1414" s="173"/>
      <c r="I1414" s="173"/>
      <c r="J1414" s="173"/>
      <c r="K1414" s="173"/>
      <c r="L1414" s="173"/>
      <c r="M1414" s="173"/>
      <c r="N1414" s="173"/>
      <c r="O1414" s="173"/>
      <c r="P1414" s="173"/>
    </row>
    <row r="1415" hidden="1">
      <c r="A1415" s="172"/>
      <c r="B1415" s="173"/>
      <c r="C1415" s="173"/>
      <c r="D1415" s="173"/>
      <c r="E1415" s="173"/>
      <c r="F1415" s="173"/>
      <c r="G1415" s="173"/>
      <c r="H1415" s="173"/>
      <c r="I1415" s="173"/>
      <c r="J1415" s="173"/>
      <c r="K1415" s="173"/>
      <c r="L1415" s="173"/>
      <c r="M1415" s="173"/>
      <c r="N1415" s="173"/>
      <c r="O1415" s="173"/>
      <c r="P1415" s="173"/>
    </row>
    <row r="1416" hidden="1">
      <c r="A1416" s="172"/>
      <c r="B1416" s="173"/>
      <c r="C1416" s="173"/>
      <c r="D1416" s="173"/>
      <c r="E1416" s="173"/>
      <c r="F1416" s="173"/>
      <c r="G1416" s="173"/>
      <c r="H1416" s="173"/>
      <c r="I1416" s="173"/>
      <c r="J1416" s="173"/>
      <c r="K1416" s="173"/>
      <c r="L1416" s="173"/>
      <c r="M1416" s="173"/>
      <c r="N1416" s="173"/>
      <c r="O1416" s="173"/>
      <c r="P1416" s="173"/>
    </row>
    <row r="1417" hidden="1">
      <c r="A1417" s="172"/>
      <c r="B1417" s="173"/>
      <c r="C1417" s="173"/>
      <c r="D1417" s="173"/>
      <c r="E1417" s="173"/>
      <c r="F1417" s="173"/>
      <c r="G1417" s="173"/>
      <c r="H1417" s="173"/>
      <c r="I1417" s="173"/>
      <c r="J1417" s="173"/>
      <c r="K1417" s="173"/>
      <c r="L1417" s="173"/>
      <c r="M1417" s="173"/>
      <c r="N1417" s="173"/>
      <c r="O1417" s="173"/>
      <c r="P1417" s="173"/>
    </row>
    <row r="1418" hidden="1">
      <c r="A1418" s="172"/>
      <c r="B1418" s="173"/>
      <c r="C1418" s="173"/>
      <c r="D1418" s="173"/>
      <c r="E1418" s="173"/>
      <c r="F1418" s="173"/>
      <c r="G1418" s="173"/>
      <c r="H1418" s="173"/>
      <c r="I1418" s="173"/>
      <c r="J1418" s="173"/>
      <c r="K1418" s="173"/>
      <c r="L1418" s="173"/>
      <c r="M1418" s="173"/>
      <c r="N1418" s="173"/>
      <c r="O1418" s="173"/>
      <c r="P1418" s="173"/>
    </row>
    <row r="1419" hidden="1">
      <c r="A1419" s="172"/>
      <c r="B1419" s="173"/>
      <c r="C1419" s="173"/>
      <c r="D1419" s="173"/>
      <c r="E1419" s="173"/>
      <c r="F1419" s="173"/>
      <c r="G1419" s="173"/>
      <c r="H1419" s="173"/>
      <c r="I1419" s="173"/>
      <c r="J1419" s="173"/>
      <c r="K1419" s="173"/>
      <c r="L1419" s="173"/>
      <c r="M1419" s="173"/>
      <c r="N1419" s="173"/>
      <c r="O1419" s="173"/>
      <c r="P1419" s="173"/>
    </row>
    <row r="1420" hidden="1">
      <c r="A1420" s="172"/>
      <c r="B1420" s="173"/>
      <c r="C1420" s="173"/>
      <c r="D1420" s="173"/>
      <c r="E1420" s="173"/>
      <c r="F1420" s="173"/>
      <c r="G1420" s="173"/>
      <c r="H1420" s="173"/>
      <c r="I1420" s="173"/>
      <c r="J1420" s="173"/>
      <c r="K1420" s="173"/>
      <c r="L1420" s="173"/>
      <c r="M1420" s="173"/>
      <c r="N1420" s="173"/>
      <c r="O1420" s="173"/>
      <c r="P1420" s="173"/>
    </row>
    <row r="1421" hidden="1">
      <c r="A1421" s="172"/>
      <c r="B1421" s="173"/>
      <c r="C1421" s="173"/>
      <c r="D1421" s="173"/>
      <c r="E1421" s="173"/>
      <c r="F1421" s="173"/>
      <c r="G1421" s="173"/>
      <c r="H1421" s="173"/>
      <c r="I1421" s="173"/>
      <c r="J1421" s="173"/>
      <c r="K1421" s="173"/>
      <c r="L1421" s="173"/>
      <c r="M1421" s="173"/>
      <c r="N1421" s="173"/>
      <c r="O1421" s="173"/>
      <c r="P1421" s="173"/>
    </row>
    <row r="1422" hidden="1">
      <c r="A1422" s="172"/>
      <c r="B1422" s="173"/>
      <c r="C1422" s="173"/>
      <c r="D1422" s="173"/>
      <c r="E1422" s="173"/>
      <c r="F1422" s="173"/>
      <c r="G1422" s="173"/>
      <c r="H1422" s="173"/>
      <c r="I1422" s="173"/>
      <c r="J1422" s="173"/>
      <c r="K1422" s="173"/>
      <c r="L1422" s="173"/>
      <c r="M1422" s="173"/>
      <c r="N1422" s="173"/>
      <c r="O1422" s="173"/>
      <c r="P1422" s="173"/>
    </row>
    <row r="1423" hidden="1">
      <c r="A1423" s="172"/>
      <c r="B1423" s="173"/>
      <c r="C1423" s="173"/>
      <c r="D1423" s="173"/>
      <c r="E1423" s="173"/>
      <c r="F1423" s="173"/>
      <c r="G1423" s="173"/>
      <c r="H1423" s="173"/>
      <c r="I1423" s="173"/>
      <c r="J1423" s="173"/>
      <c r="K1423" s="173"/>
      <c r="L1423" s="173"/>
      <c r="M1423" s="173"/>
      <c r="N1423" s="173"/>
      <c r="O1423" s="173"/>
      <c r="P1423" s="173"/>
    </row>
    <row r="1424" hidden="1">
      <c r="A1424" s="172"/>
      <c r="B1424" s="173"/>
      <c r="C1424" s="173"/>
      <c r="D1424" s="173"/>
      <c r="E1424" s="173"/>
      <c r="F1424" s="173"/>
      <c r="G1424" s="173"/>
      <c r="H1424" s="173"/>
      <c r="I1424" s="173"/>
      <c r="J1424" s="173"/>
      <c r="K1424" s="173"/>
      <c r="L1424" s="173"/>
      <c r="M1424" s="173"/>
      <c r="N1424" s="173"/>
      <c r="O1424" s="173"/>
      <c r="P1424" s="173"/>
    </row>
    <row r="1425" hidden="1">
      <c r="A1425" s="172"/>
      <c r="B1425" s="173"/>
      <c r="C1425" s="173"/>
      <c r="D1425" s="173"/>
      <c r="E1425" s="173"/>
      <c r="F1425" s="173"/>
      <c r="G1425" s="173"/>
      <c r="H1425" s="173"/>
      <c r="I1425" s="173"/>
      <c r="J1425" s="173"/>
      <c r="K1425" s="173"/>
      <c r="L1425" s="173"/>
      <c r="M1425" s="173"/>
      <c r="N1425" s="173"/>
      <c r="O1425" s="173"/>
      <c r="P1425" s="173"/>
    </row>
    <row r="1426" hidden="1">
      <c r="A1426" s="172"/>
      <c r="B1426" s="173"/>
      <c r="C1426" s="173"/>
      <c r="D1426" s="173"/>
      <c r="E1426" s="173"/>
      <c r="F1426" s="173"/>
      <c r="G1426" s="173"/>
      <c r="H1426" s="173"/>
      <c r="I1426" s="173"/>
      <c r="J1426" s="173"/>
      <c r="K1426" s="173"/>
      <c r="L1426" s="173"/>
      <c r="M1426" s="173"/>
      <c r="N1426" s="173"/>
      <c r="O1426" s="173"/>
      <c r="P1426" s="173"/>
    </row>
    <row r="1427" hidden="1">
      <c r="A1427" s="172"/>
      <c r="B1427" s="173"/>
      <c r="C1427" s="173"/>
      <c r="D1427" s="173"/>
      <c r="E1427" s="173"/>
      <c r="F1427" s="173"/>
      <c r="G1427" s="173"/>
      <c r="H1427" s="173"/>
      <c r="I1427" s="173"/>
      <c r="J1427" s="173"/>
      <c r="K1427" s="173"/>
      <c r="L1427" s="173"/>
      <c r="M1427" s="173"/>
      <c r="N1427" s="173"/>
      <c r="O1427" s="173"/>
      <c r="P1427" s="173"/>
    </row>
    <row r="1428" hidden="1">
      <c r="A1428" s="172"/>
      <c r="B1428" s="173"/>
      <c r="C1428" s="173"/>
      <c r="D1428" s="173"/>
      <c r="E1428" s="173"/>
      <c r="F1428" s="173"/>
      <c r="G1428" s="173"/>
      <c r="H1428" s="173"/>
      <c r="I1428" s="173"/>
      <c r="J1428" s="173"/>
      <c r="K1428" s="173"/>
      <c r="L1428" s="173"/>
      <c r="M1428" s="173"/>
      <c r="N1428" s="173"/>
      <c r="O1428" s="173"/>
      <c r="P1428" s="173"/>
    </row>
    <row r="1429" hidden="1">
      <c r="A1429" s="172"/>
      <c r="B1429" s="173"/>
      <c r="C1429" s="173"/>
      <c r="D1429" s="173"/>
      <c r="E1429" s="173"/>
      <c r="F1429" s="173"/>
      <c r="G1429" s="173"/>
      <c r="H1429" s="173"/>
      <c r="I1429" s="173"/>
      <c r="J1429" s="173"/>
      <c r="K1429" s="173"/>
      <c r="L1429" s="173"/>
      <c r="M1429" s="173"/>
      <c r="N1429" s="173"/>
      <c r="O1429" s="173"/>
      <c r="P1429" s="173"/>
    </row>
    <row r="1430" hidden="1">
      <c r="A1430" s="172"/>
      <c r="B1430" s="173"/>
      <c r="C1430" s="173"/>
      <c r="D1430" s="173"/>
      <c r="E1430" s="173"/>
      <c r="F1430" s="173"/>
      <c r="G1430" s="173"/>
      <c r="H1430" s="173"/>
      <c r="I1430" s="173"/>
      <c r="J1430" s="173"/>
      <c r="K1430" s="173"/>
      <c r="L1430" s="173"/>
      <c r="M1430" s="173"/>
      <c r="N1430" s="173"/>
      <c r="O1430" s="173"/>
      <c r="P1430" s="173"/>
    </row>
    <row r="1431" hidden="1">
      <c r="A1431" s="172"/>
      <c r="B1431" s="173"/>
      <c r="C1431" s="173"/>
      <c r="D1431" s="173"/>
      <c r="E1431" s="173"/>
      <c r="F1431" s="173"/>
      <c r="G1431" s="173"/>
      <c r="H1431" s="173"/>
      <c r="I1431" s="173"/>
      <c r="J1431" s="173"/>
      <c r="K1431" s="173"/>
      <c r="L1431" s="173"/>
      <c r="M1431" s="173"/>
      <c r="N1431" s="173"/>
      <c r="O1431" s="173"/>
      <c r="P1431" s="173"/>
    </row>
    <row r="1432" hidden="1">
      <c r="A1432" s="172"/>
      <c r="B1432" s="173"/>
      <c r="C1432" s="173"/>
      <c r="D1432" s="173"/>
      <c r="E1432" s="173"/>
      <c r="F1432" s="173"/>
      <c r="G1432" s="173"/>
      <c r="H1432" s="173"/>
      <c r="I1432" s="173"/>
      <c r="J1432" s="173"/>
      <c r="K1432" s="173"/>
      <c r="L1432" s="173"/>
      <c r="M1432" s="173"/>
      <c r="N1432" s="173"/>
      <c r="O1432" s="173"/>
      <c r="P1432" s="173"/>
    </row>
    <row r="1433" hidden="1">
      <c r="A1433" s="172"/>
      <c r="B1433" s="173"/>
      <c r="C1433" s="173"/>
      <c r="D1433" s="173"/>
      <c r="E1433" s="173"/>
      <c r="F1433" s="173"/>
      <c r="G1433" s="173"/>
      <c r="H1433" s="173"/>
      <c r="I1433" s="173"/>
      <c r="J1433" s="173"/>
      <c r="K1433" s="173"/>
      <c r="L1433" s="173"/>
      <c r="M1433" s="173"/>
      <c r="N1433" s="173"/>
      <c r="O1433" s="173"/>
      <c r="P1433" s="173"/>
    </row>
    <row r="1434" hidden="1">
      <c r="A1434" s="172"/>
      <c r="B1434" s="173"/>
      <c r="C1434" s="173"/>
      <c r="D1434" s="173"/>
      <c r="E1434" s="173"/>
      <c r="F1434" s="173"/>
      <c r="G1434" s="173"/>
      <c r="H1434" s="173"/>
      <c r="I1434" s="173"/>
      <c r="J1434" s="173"/>
      <c r="K1434" s="173"/>
      <c r="L1434" s="173"/>
      <c r="M1434" s="173"/>
      <c r="N1434" s="173"/>
      <c r="O1434" s="173"/>
      <c r="P1434" s="173"/>
    </row>
    <row r="1435" hidden="1">
      <c r="A1435" s="172"/>
      <c r="B1435" s="173"/>
      <c r="C1435" s="173"/>
      <c r="D1435" s="173"/>
      <c r="E1435" s="173"/>
      <c r="F1435" s="173"/>
      <c r="G1435" s="173"/>
      <c r="H1435" s="173"/>
      <c r="I1435" s="173"/>
      <c r="J1435" s="173"/>
      <c r="K1435" s="173"/>
      <c r="L1435" s="173"/>
      <c r="M1435" s="173"/>
      <c r="N1435" s="173"/>
      <c r="O1435" s="173"/>
      <c r="P1435" s="173"/>
    </row>
    <row r="1436" hidden="1">
      <c r="A1436" s="172"/>
      <c r="B1436" s="173"/>
      <c r="C1436" s="173"/>
      <c r="D1436" s="173"/>
      <c r="E1436" s="173"/>
      <c r="F1436" s="173"/>
      <c r="G1436" s="173"/>
      <c r="H1436" s="173"/>
      <c r="I1436" s="173"/>
      <c r="J1436" s="173"/>
      <c r="K1436" s="173"/>
      <c r="L1436" s="173"/>
      <c r="M1436" s="173"/>
      <c r="N1436" s="173"/>
      <c r="O1436" s="173"/>
      <c r="P1436" s="173"/>
    </row>
    <row r="1437" hidden="1">
      <c r="A1437" s="172"/>
      <c r="B1437" s="173"/>
      <c r="C1437" s="173"/>
      <c r="D1437" s="173"/>
      <c r="E1437" s="173"/>
      <c r="F1437" s="173"/>
      <c r="G1437" s="173"/>
      <c r="H1437" s="173"/>
      <c r="I1437" s="173"/>
      <c r="J1437" s="173"/>
      <c r="K1437" s="173"/>
      <c r="L1437" s="173"/>
      <c r="M1437" s="173"/>
      <c r="N1437" s="173"/>
      <c r="O1437" s="173"/>
      <c r="P1437" s="173"/>
    </row>
    <row r="1438" hidden="1">
      <c r="A1438" s="172"/>
      <c r="B1438" s="173"/>
      <c r="C1438" s="173"/>
      <c r="D1438" s="173"/>
      <c r="E1438" s="173"/>
      <c r="F1438" s="173"/>
      <c r="G1438" s="173"/>
      <c r="H1438" s="173"/>
      <c r="I1438" s="173"/>
      <c r="J1438" s="173"/>
      <c r="K1438" s="173"/>
      <c r="L1438" s="173"/>
      <c r="M1438" s="173"/>
      <c r="N1438" s="173"/>
      <c r="O1438" s="173"/>
      <c r="P1438" s="173"/>
    </row>
    <row r="1439" hidden="1">
      <c r="A1439" s="172"/>
      <c r="B1439" s="173"/>
      <c r="C1439" s="173"/>
      <c r="D1439" s="173"/>
      <c r="E1439" s="173"/>
      <c r="F1439" s="173"/>
      <c r="G1439" s="173"/>
      <c r="H1439" s="173"/>
      <c r="I1439" s="173"/>
      <c r="J1439" s="173"/>
      <c r="K1439" s="173"/>
      <c r="L1439" s="173"/>
      <c r="M1439" s="173"/>
      <c r="N1439" s="173"/>
      <c r="O1439" s="173"/>
      <c r="P1439" s="173"/>
    </row>
    <row r="1440" hidden="1">
      <c r="A1440" s="172"/>
      <c r="B1440" s="173"/>
      <c r="C1440" s="173"/>
      <c r="D1440" s="173"/>
      <c r="E1440" s="173"/>
      <c r="F1440" s="173"/>
      <c r="G1440" s="173"/>
      <c r="H1440" s="173"/>
      <c r="I1440" s="173"/>
      <c r="J1440" s="173"/>
      <c r="K1440" s="173"/>
      <c r="L1440" s="173"/>
      <c r="M1440" s="173"/>
      <c r="N1440" s="173"/>
      <c r="O1440" s="173"/>
      <c r="P1440" s="173"/>
    </row>
    <row r="1441" hidden="1">
      <c r="A1441" s="172"/>
      <c r="B1441" s="173"/>
      <c r="C1441" s="173"/>
      <c r="D1441" s="173"/>
      <c r="E1441" s="173"/>
      <c r="F1441" s="173"/>
      <c r="G1441" s="173"/>
      <c r="H1441" s="173"/>
      <c r="I1441" s="173"/>
      <c r="J1441" s="173"/>
      <c r="K1441" s="173"/>
      <c r="L1441" s="173"/>
      <c r="M1441" s="173"/>
      <c r="N1441" s="173"/>
      <c r="O1441" s="173"/>
      <c r="P1441" s="173"/>
    </row>
    <row r="1442" hidden="1">
      <c r="A1442" s="172"/>
      <c r="B1442" s="173"/>
      <c r="C1442" s="173"/>
      <c r="D1442" s="173"/>
      <c r="E1442" s="173"/>
      <c r="F1442" s="173"/>
      <c r="G1442" s="173"/>
      <c r="H1442" s="173"/>
      <c r="I1442" s="173"/>
      <c r="J1442" s="173"/>
      <c r="K1442" s="173"/>
      <c r="L1442" s="173"/>
      <c r="M1442" s="173"/>
      <c r="N1442" s="173"/>
      <c r="O1442" s="173"/>
      <c r="P1442" s="173"/>
    </row>
    <row r="1443" hidden="1">
      <c r="A1443" s="172"/>
      <c r="B1443" s="173"/>
      <c r="C1443" s="173"/>
      <c r="D1443" s="173"/>
      <c r="E1443" s="173"/>
      <c r="F1443" s="173"/>
      <c r="G1443" s="173"/>
      <c r="H1443" s="173"/>
      <c r="I1443" s="173"/>
      <c r="J1443" s="173"/>
      <c r="K1443" s="173"/>
      <c r="L1443" s="173"/>
      <c r="M1443" s="173"/>
      <c r="N1443" s="173"/>
      <c r="O1443" s="173"/>
      <c r="P1443" s="173"/>
    </row>
    <row r="1444" hidden="1">
      <c r="A1444" s="172"/>
      <c r="B1444" s="173"/>
      <c r="C1444" s="173"/>
      <c r="D1444" s="173"/>
      <c r="E1444" s="173"/>
      <c r="F1444" s="173"/>
      <c r="G1444" s="173"/>
      <c r="H1444" s="173"/>
      <c r="I1444" s="173"/>
      <c r="J1444" s="173"/>
      <c r="K1444" s="173"/>
      <c r="L1444" s="173"/>
      <c r="M1444" s="173"/>
      <c r="N1444" s="173"/>
      <c r="O1444" s="173"/>
      <c r="P1444" s="173"/>
    </row>
    <row r="1445" hidden="1">
      <c r="A1445" s="172"/>
      <c r="B1445" s="173"/>
      <c r="C1445" s="173"/>
      <c r="D1445" s="173"/>
      <c r="E1445" s="173"/>
      <c r="F1445" s="173"/>
      <c r="G1445" s="173"/>
      <c r="H1445" s="173"/>
      <c r="I1445" s="173"/>
      <c r="J1445" s="173"/>
      <c r="K1445" s="173"/>
      <c r="L1445" s="173"/>
      <c r="M1445" s="173"/>
      <c r="N1445" s="173"/>
      <c r="O1445" s="173"/>
      <c r="P1445" s="173"/>
    </row>
    <row r="1446" hidden="1">
      <c r="A1446" s="172"/>
      <c r="B1446" s="173"/>
      <c r="C1446" s="173"/>
      <c r="D1446" s="173"/>
      <c r="E1446" s="173"/>
      <c r="F1446" s="173"/>
      <c r="G1446" s="173"/>
      <c r="H1446" s="173"/>
      <c r="I1446" s="173"/>
      <c r="J1446" s="173"/>
      <c r="K1446" s="173"/>
      <c r="L1446" s="173"/>
      <c r="M1446" s="173"/>
      <c r="N1446" s="173"/>
      <c r="O1446" s="173"/>
      <c r="P1446" s="173"/>
    </row>
    <row r="1447" hidden="1">
      <c r="A1447" s="172"/>
      <c r="B1447" s="173"/>
      <c r="C1447" s="173"/>
      <c r="D1447" s="173"/>
      <c r="E1447" s="173"/>
      <c r="F1447" s="173"/>
      <c r="G1447" s="173"/>
      <c r="H1447" s="173"/>
      <c r="I1447" s="173"/>
      <c r="J1447" s="173"/>
      <c r="K1447" s="173"/>
      <c r="L1447" s="173"/>
      <c r="M1447" s="173"/>
      <c r="N1447" s="173"/>
      <c r="O1447" s="173"/>
      <c r="P1447" s="173"/>
    </row>
    <row r="1448" hidden="1">
      <c r="A1448" s="172"/>
      <c r="B1448" s="173"/>
      <c r="C1448" s="173"/>
      <c r="D1448" s="173"/>
      <c r="E1448" s="173"/>
      <c r="F1448" s="173"/>
      <c r="G1448" s="173"/>
      <c r="H1448" s="173"/>
      <c r="I1448" s="173"/>
      <c r="J1448" s="173"/>
      <c r="K1448" s="173"/>
      <c r="L1448" s="173"/>
      <c r="M1448" s="173"/>
      <c r="N1448" s="173"/>
      <c r="O1448" s="173"/>
      <c r="P1448" s="173"/>
    </row>
    <row r="1449" hidden="1">
      <c r="A1449" s="172"/>
      <c r="B1449" s="173"/>
      <c r="C1449" s="173"/>
      <c r="D1449" s="173"/>
      <c r="E1449" s="173"/>
      <c r="F1449" s="173"/>
      <c r="G1449" s="173"/>
      <c r="H1449" s="173"/>
      <c r="I1449" s="173"/>
      <c r="J1449" s="173"/>
      <c r="K1449" s="173"/>
      <c r="L1449" s="173"/>
      <c r="M1449" s="173"/>
      <c r="N1449" s="173"/>
      <c r="O1449" s="173"/>
      <c r="P1449" s="173"/>
    </row>
    <row r="1450" hidden="1">
      <c r="A1450" s="172"/>
      <c r="B1450" s="173"/>
      <c r="C1450" s="173"/>
      <c r="D1450" s="173"/>
      <c r="E1450" s="173"/>
      <c r="F1450" s="173"/>
      <c r="G1450" s="173"/>
      <c r="H1450" s="173"/>
      <c r="I1450" s="173"/>
      <c r="J1450" s="173"/>
      <c r="K1450" s="173"/>
      <c r="L1450" s="173"/>
      <c r="M1450" s="173"/>
      <c r="N1450" s="173"/>
      <c r="O1450" s="173"/>
      <c r="P1450" s="173"/>
    </row>
    <row r="1451" hidden="1">
      <c r="A1451" s="172"/>
      <c r="B1451" s="173"/>
      <c r="C1451" s="173"/>
      <c r="D1451" s="173"/>
      <c r="E1451" s="173"/>
      <c r="F1451" s="173"/>
      <c r="G1451" s="173"/>
      <c r="H1451" s="173"/>
      <c r="I1451" s="173"/>
      <c r="J1451" s="173"/>
      <c r="K1451" s="173"/>
      <c r="L1451" s="173"/>
      <c r="M1451" s="173"/>
      <c r="N1451" s="173"/>
      <c r="O1451" s="173"/>
      <c r="P1451" s="173"/>
    </row>
    <row r="1452" hidden="1">
      <c r="A1452" s="172"/>
      <c r="B1452" s="173"/>
      <c r="C1452" s="173"/>
      <c r="D1452" s="173"/>
      <c r="E1452" s="173"/>
      <c r="F1452" s="173"/>
      <c r="G1452" s="173"/>
      <c r="H1452" s="173"/>
      <c r="I1452" s="173"/>
      <c r="J1452" s="173"/>
      <c r="K1452" s="173"/>
      <c r="L1452" s="173"/>
      <c r="M1452" s="173"/>
      <c r="N1452" s="173"/>
      <c r="O1452" s="173"/>
      <c r="P1452" s="173"/>
    </row>
    <row r="1453" hidden="1">
      <c r="A1453" s="172"/>
      <c r="B1453" s="173"/>
      <c r="C1453" s="173"/>
      <c r="D1453" s="173"/>
      <c r="E1453" s="173"/>
      <c r="F1453" s="173"/>
      <c r="G1453" s="173"/>
      <c r="H1453" s="173"/>
      <c r="I1453" s="173"/>
      <c r="J1453" s="173"/>
      <c r="K1453" s="173"/>
      <c r="L1453" s="173"/>
      <c r="M1453" s="173"/>
      <c r="N1453" s="173"/>
      <c r="O1453" s="173"/>
      <c r="P1453" s="173"/>
    </row>
    <row r="1454" hidden="1">
      <c r="A1454" s="172"/>
      <c r="B1454" s="173"/>
      <c r="C1454" s="173"/>
      <c r="D1454" s="173"/>
      <c r="E1454" s="173"/>
      <c r="F1454" s="173"/>
      <c r="G1454" s="173"/>
      <c r="H1454" s="173"/>
      <c r="I1454" s="173"/>
      <c r="J1454" s="173"/>
      <c r="K1454" s="173"/>
      <c r="L1454" s="173"/>
      <c r="M1454" s="173"/>
      <c r="N1454" s="173"/>
      <c r="O1454" s="173"/>
      <c r="P1454" s="173"/>
    </row>
    <row r="1455" hidden="1">
      <c r="A1455" s="172"/>
      <c r="B1455" s="173"/>
      <c r="C1455" s="173"/>
      <c r="D1455" s="173"/>
      <c r="E1455" s="173"/>
      <c r="F1455" s="173"/>
      <c r="G1455" s="173"/>
      <c r="H1455" s="173"/>
      <c r="I1455" s="173"/>
      <c r="J1455" s="173"/>
      <c r="K1455" s="173"/>
      <c r="L1455" s="173"/>
      <c r="M1455" s="173"/>
      <c r="N1455" s="173"/>
      <c r="O1455" s="173"/>
      <c r="P1455" s="173"/>
    </row>
    <row r="1456" hidden="1">
      <c r="A1456" s="172"/>
      <c r="B1456" s="173"/>
      <c r="C1456" s="173"/>
      <c r="D1456" s="173"/>
      <c r="E1456" s="173"/>
      <c r="F1456" s="173"/>
      <c r="G1456" s="173"/>
      <c r="H1456" s="173"/>
      <c r="I1456" s="173"/>
      <c r="J1456" s="173"/>
      <c r="K1456" s="173"/>
      <c r="L1456" s="173"/>
      <c r="M1456" s="173"/>
      <c r="N1456" s="173"/>
      <c r="O1456" s="173"/>
      <c r="P1456" s="173"/>
    </row>
    <row r="1457" hidden="1">
      <c r="A1457" s="172"/>
      <c r="B1457" s="173"/>
      <c r="C1457" s="173"/>
      <c r="D1457" s="173"/>
      <c r="E1457" s="173"/>
      <c r="F1457" s="173"/>
      <c r="G1457" s="173"/>
      <c r="H1457" s="173"/>
      <c r="I1457" s="173"/>
      <c r="J1457" s="173"/>
      <c r="K1457" s="173"/>
      <c r="L1457" s="173"/>
      <c r="M1457" s="173"/>
      <c r="N1457" s="173"/>
      <c r="O1457" s="173"/>
      <c r="P1457" s="173"/>
    </row>
    <row r="1458" hidden="1">
      <c r="A1458" s="172"/>
      <c r="B1458" s="173"/>
      <c r="C1458" s="173"/>
      <c r="D1458" s="173"/>
      <c r="E1458" s="173"/>
      <c r="F1458" s="173"/>
      <c r="G1458" s="173"/>
      <c r="H1458" s="173"/>
      <c r="I1458" s="173"/>
      <c r="J1458" s="173"/>
      <c r="K1458" s="173"/>
      <c r="L1458" s="173"/>
      <c r="M1458" s="173"/>
      <c r="N1458" s="173"/>
      <c r="O1458" s="173"/>
      <c r="P1458" s="173"/>
    </row>
    <row r="1459" hidden="1">
      <c r="A1459" s="172"/>
      <c r="B1459" s="173"/>
      <c r="C1459" s="173"/>
      <c r="D1459" s="173"/>
      <c r="E1459" s="173"/>
      <c r="F1459" s="173"/>
      <c r="G1459" s="173"/>
      <c r="H1459" s="173"/>
      <c r="I1459" s="173"/>
      <c r="J1459" s="173"/>
      <c r="K1459" s="173"/>
      <c r="L1459" s="173"/>
      <c r="M1459" s="173"/>
      <c r="N1459" s="173"/>
      <c r="O1459" s="173"/>
      <c r="P1459" s="173"/>
    </row>
    <row r="1460" hidden="1">
      <c r="A1460" s="172"/>
      <c r="B1460" s="173"/>
      <c r="C1460" s="173"/>
      <c r="D1460" s="173"/>
      <c r="E1460" s="173"/>
      <c r="F1460" s="173"/>
      <c r="G1460" s="173"/>
      <c r="H1460" s="173"/>
      <c r="I1460" s="173"/>
      <c r="J1460" s="173"/>
      <c r="K1460" s="173"/>
      <c r="L1460" s="173"/>
      <c r="M1460" s="173"/>
      <c r="N1460" s="173"/>
      <c r="O1460" s="173"/>
      <c r="P1460" s="173"/>
    </row>
    <row r="1461" hidden="1">
      <c r="A1461" s="172"/>
      <c r="B1461" s="173"/>
      <c r="C1461" s="173"/>
      <c r="D1461" s="173"/>
      <c r="E1461" s="173"/>
      <c r="F1461" s="173"/>
      <c r="G1461" s="173"/>
      <c r="H1461" s="173"/>
      <c r="I1461" s="173"/>
      <c r="J1461" s="173"/>
      <c r="K1461" s="173"/>
      <c r="L1461" s="173"/>
      <c r="M1461" s="173"/>
      <c r="N1461" s="173"/>
      <c r="O1461" s="173"/>
      <c r="P1461" s="173"/>
    </row>
    <row r="1462" hidden="1">
      <c r="A1462" s="172"/>
      <c r="B1462" s="173"/>
      <c r="C1462" s="173"/>
      <c r="D1462" s="173"/>
      <c r="E1462" s="173"/>
      <c r="F1462" s="173"/>
      <c r="G1462" s="173"/>
      <c r="H1462" s="173"/>
      <c r="I1462" s="173"/>
      <c r="J1462" s="173"/>
      <c r="K1462" s="173"/>
      <c r="L1462" s="173"/>
      <c r="M1462" s="173"/>
      <c r="N1462" s="173"/>
      <c r="O1462" s="173"/>
      <c r="P1462" s="173"/>
    </row>
    <row r="1463" hidden="1">
      <c r="A1463" s="172"/>
      <c r="B1463" s="173"/>
      <c r="C1463" s="173"/>
      <c r="D1463" s="173"/>
      <c r="E1463" s="173"/>
      <c r="F1463" s="173"/>
      <c r="G1463" s="173"/>
      <c r="H1463" s="173"/>
      <c r="I1463" s="173"/>
      <c r="J1463" s="173"/>
      <c r="K1463" s="173"/>
      <c r="L1463" s="173"/>
      <c r="M1463" s="173"/>
      <c r="N1463" s="173"/>
      <c r="O1463" s="173"/>
      <c r="P1463" s="173"/>
    </row>
    <row r="1464" hidden="1">
      <c r="A1464" s="172"/>
      <c r="B1464" s="173"/>
      <c r="C1464" s="173"/>
      <c r="D1464" s="173"/>
      <c r="E1464" s="173"/>
      <c r="F1464" s="173"/>
      <c r="G1464" s="173"/>
      <c r="H1464" s="173"/>
      <c r="I1464" s="173"/>
      <c r="J1464" s="173"/>
      <c r="K1464" s="173"/>
      <c r="L1464" s="173"/>
      <c r="M1464" s="173"/>
      <c r="N1464" s="173"/>
      <c r="O1464" s="173"/>
      <c r="P1464" s="173"/>
    </row>
    <row r="1465" hidden="1">
      <c r="A1465" s="172"/>
      <c r="B1465" s="173"/>
      <c r="C1465" s="173"/>
      <c r="D1465" s="173"/>
      <c r="E1465" s="173"/>
      <c r="F1465" s="173"/>
      <c r="G1465" s="173"/>
      <c r="H1465" s="173"/>
      <c r="I1465" s="173"/>
      <c r="J1465" s="173"/>
      <c r="K1465" s="173"/>
      <c r="L1465" s="173"/>
      <c r="M1465" s="173"/>
      <c r="N1465" s="173"/>
      <c r="O1465" s="173"/>
      <c r="P1465" s="173"/>
    </row>
    <row r="1466" hidden="1">
      <c r="A1466" s="172"/>
      <c r="B1466" s="173"/>
      <c r="C1466" s="173"/>
      <c r="D1466" s="173"/>
      <c r="E1466" s="173"/>
      <c r="F1466" s="173"/>
      <c r="G1466" s="173"/>
      <c r="H1466" s="173"/>
      <c r="I1466" s="173"/>
      <c r="J1466" s="173"/>
      <c r="K1466" s="173"/>
      <c r="L1466" s="173"/>
      <c r="M1466" s="173"/>
      <c r="N1466" s="173"/>
      <c r="O1466" s="173"/>
      <c r="P1466" s="173"/>
    </row>
    <row r="1467" hidden="1">
      <c r="A1467" s="172"/>
      <c r="B1467" s="173"/>
      <c r="C1467" s="173"/>
      <c r="D1467" s="173"/>
      <c r="E1467" s="173"/>
      <c r="F1467" s="173"/>
      <c r="G1467" s="173"/>
      <c r="H1467" s="173"/>
      <c r="I1467" s="173"/>
      <c r="J1467" s="173"/>
      <c r="K1467" s="173"/>
      <c r="L1467" s="173"/>
      <c r="M1467" s="173"/>
      <c r="N1467" s="173"/>
      <c r="O1467" s="173"/>
      <c r="P1467" s="173"/>
    </row>
    <row r="1468" hidden="1">
      <c r="A1468" s="172"/>
      <c r="B1468" s="173"/>
      <c r="C1468" s="173"/>
      <c r="D1468" s="173"/>
      <c r="E1468" s="173"/>
      <c r="F1468" s="173"/>
      <c r="G1468" s="173"/>
      <c r="H1468" s="173"/>
      <c r="I1468" s="173"/>
      <c r="J1468" s="173"/>
      <c r="K1468" s="173"/>
      <c r="L1468" s="173"/>
      <c r="M1468" s="173"/>
      <c r="N1468" s="173"/>
      <c r="O1468" s="173"/>
      <c r="P1468" s="173"/>
    </row>
    <row r="1469" hidden="1">
      <c r="A1469" s="172"/>
      <c r="B1469" s="173"/>
      <c r="C1469" s="173"/>
      <c r="D1469" s="173"/>
      <c r="E1469" s="173"/>
      <c r="F1469" s="173"/>
      <c r="G1469" s="173"/>
      <c r="H1469" s="173"/>
      <c r="I1469" s="173"/>
      <c r="J1469" s="173"/>
      <c r="K1469" s="173"/>
      <c r="L1469" s="173"/>
      <c r="M1469" s="173"/>
      <c r="N1469" s="173"/>
      <c r="O1469" s="173"/>
      <c r="P1469" s="173"/>
    </row>
    <row r="1470" hidden="1">
      <c r="A1470" s="172"/>
      <c r="B1470" s="173"/>
      <c r="C1470" s="173"/>
      <c r="D1470" s="173"/>
      <c r="E1470" s="173"/>
      <c r="F1470" s="173"/>
      <c r="G1470" s="173"/>
      <c r="H1470" s="173"/>
      <c r="I1470" s="173"/>
      <c r="J1470" s="173"/>
      <c r="K1470" s="173"/>
      <c r="L1470" s="173"/>
      <c r="M1470" s="173"/>
      <c r="N1470" s="173"/>
      <c r="O1470" s="173"/>
      <c r="P1470" s="173"/>
    </row>
    <row r="1471" hidden="1">
      <c r="A1471" s="172"/>
      <c r="B1471" s="173"/>
      <c r="C1471" s="173"/>
      <c r="D1471" s="173"/>
      <c r="E1471" s="173"/>
      <c r="F1471" s="173"/>
      <c r="G1471" s="173"/>
      <c r="H1471" s="173"/>
      <c r="I1471" s="173"/>
      <c r="J1471" s="173"/>
      <c r="K1471" s="173"/>
      <c r="L1471" s="173"/>
      <c r="M1471" s="173"/>
      <c r="N1471" s="173"/>
      <c r="O1471" s="173"/>
      <c r="P1471" s="173"/>
    </row>
    <row r="1472" hidden="1">
      <c r="A1472" s="172"/>
      <c r="B1472" s="173"/>
      <c r="C1472" s="173"/>
      <c r="D1472" s="173"/>
      <c r="E1472" s="173"/>
      <c r="F1472" s="173"/>
      <c r="G1472" s="173"/>
      <c r="H1472" s="173"/>
      <c r="I1472" s="173"/>
      <c r="J1472" s="173"/>
      <c r="K1472" s="173"/>
      <c r="L1472" s="173"/>
      <c r="M1472" s="173"/>
      <c r="N1472" s="173"/>
      <c r="O1472" s="173"/>
      <c r="P1472" s="173"/>
    </row>
    <row r="1473" hidden="1">
      <c r="A1473" s="172"/>
      <c r="B1473" s="173"/>
      <c r="C1473" s="173"/>
      <c r="D1473" s="173"/>
      <c r="E1473" s="173"/>
      <c r="F1473" s="173"/>
      <c r="G1473" s="173"/>
      <c r="H1473" s="173"/>
      <c r="I1473" s="173"/>
      <c r="J1473" s="173"/>
      <c r="K1473" s="173"/>
      <c r="L1473" s="173"/>
      <c r="M1473" s="173"/>
      <c r="N1473" s="173"/>
      <c r="O1473" s="173"/>
      <c r="P1473" s="173"/>
    </row>
    <row r="1474" hidden="1">
      <c r="A1474" s="172"/>
      <c r="B1474" s="173"/>
      <c r="C1474" s="173"/>
      <c r="D1474" s="173"/>
      <c r="E1474" s="173"/>
      <c r="F1474" s="173"/>
      <c r="G1474" s="173"/>
      <c r="H1474" s="173"/>
      <c r="I1474" s="173"/>
      <c r="J1474" s="173"/>
      <c r="K1474" s="173"/>
      <c r="L1474" s="173"/>
      <c r="M1474" s="173"/>
      <c r="N1474" s="173"/>
      <c r="O1474" s="173"/>
      <c r="P1474" s="173"/>
    </row>
    <row r="1475" hidden="1">
      <c r="A1475" s="172"/>
      <c r="B1475" s="173"/>
      <c r="C1475" s="173"/>
      <c r="D1475" s="173"/>
      <c r="E1475" s="173"/>
      <c r="F1475" s="173"/>
      <c r="G1475" s="173"/>
      <c r="H1475" s="173"/>
      <c r="I1475" s="173"/>
      <c r="J1475" s="173"/>
      <c r="K1475" s="173"/>
      <c r="L1475" s="173"/>
      <c r="M1475" s="173"/>
      <c r="N1475" s="173"/>
      <c r="O1475" s="173"/>
      <c r="P1475" s="173"/>
    </row>
    <row r="1476" hidden="1">
      <c r="A1476" s="172"/>
      <c r="B1476" s="173"/>
      <c r="C1476" s="173"/>
      <c r="D1476" s="173"/>
      <c r="E1476" s="173"/>
      <c r="F1476" s="173"/>
      <c r="G1476" s="173"/>
      <c r="H1476" s="173"/>
      <c r="I1476" s="173"/>
      <c r="J1476" s="173"/>
      <c r="K1476" s="173"/>
      <c r="L1476" s="173"/>
      <c r="M1476" s="173"/>
      <c r="N1476" s="173"/>
      <c r="O1476" s="173"/>
      <c r="P1476" s="173"/>
    </row>
    <row r="1477" hidden="1">
      <c r="A1477" s="172"/>
      <c r="B1477" s="173"/>
      <c r="C1477" s="173"/>
      <c r="D1477" s="173"/>
      <c r="E1477" s="173"/>
      <c r="F1477" s="173"/>
      <c r="G1477" s="173"/>
      <c r="H1477" s="173"/>
      <c r="I1477" s="173"/>
      <c r="J1477" s="173"/>
      <c r="K1477" s="173"/>
      <c r="L1477" s="173"/>
      <c r="M1477" s="173"/>
      <c r="N1477" s="173"/>
      <c r="O1477" s="173"/>
      <c r="P1477" s="173"/>
    </row>
    <row r="1478" hidden="1">
      <c r="A1478" s="172"/>
      <c r="B1478" s="173"/>
      <c r="C1478" s="173"/>
      <c r="D1478" s="173"/>
      <c r="E1478" s="173"/>
      <c r="F1478" s="173"/>
      <c r="G1478" s="173"/>
      <c r="H1478" s="173"/>
      <c r="I1478" s="173"/>
      <c r="J1478" s="173"/>
      <c r="K1478" s="173"/>
      <c r="L1478" s="173"/>
      <c r="M1478" s="173"/>
      <c r="N1478" s="173"/>
      <c r="O1478" s="173"/>
      <c r="P1478" s="173"/>
    </row>
    <row r="1479" hidden="1">
      <c r="A1479" s="172"/>
      <c r="B1479" s="173"/>
      <c r="C1479" s="173"/>
      <c r="D1479" s="173"/>
      <c r="E1479" s="173"/>
      <c r="F1479" s="173"/>
      <c r="G1479" s="173"/>
      <c r="H1479" s="173"/>
      <c r="I1479" s="173"/>
      <c r="J1479" s="173"/>
      <c r="K1479" s="173"/>
      <c r="L1479" s="173"/>
      <c r="M1479" s="173"/>
      <c r="N1479" s="173"/>
      <c r="O1479" s="173"/>
      <c r="P1479" s="173"/>
    </row>
    <row r="1480" hidden="1">
      <c r="A1480" s="172"/>
      <c r="B1480" s="173"/>
      <c r="C1480" s="173"/>
      <c r="D1480" s="173"/>
      <c r="E1480" s="173"/>
      <c r="F1480" s="173"/>
      <c r="G1480" s="173"/>
      <c r="H1480" s="173"/>
      <c r="I1480" s="173"/>
      <c r="J1480" s="173"/>
      <c r="K1480" s="173"/>
      <c r="L1480" s="173"/>
      <c r="M1480" s="173"/>
      <c r="N1480" s="173"/>
      <c r="O1480" s="173"/>
      <c r="P1480" s="173"/>
    </row>
    <row r="1481" hidden="1">
      <c r="A1481" s="172"/>
      <c r="B1481" s="173"/>
      <c r="C1481" s="173"/>
      <c r="D1481" s="173"/>
      <c r="E1481" s="173"/>
      <c r="F1481" s="173"/>
      <c r="G1481" s="173"/>
      <c r="H1481" s="173"/>
      <c r="I1481" s="173"/>
      <c r="J1481" s="173"/>
      <c r="K1481" s="173"/>
      <c r="L1481" s="173"/>
      <c r="M1481" s="173"/>
      <c r="N1481" s="173"/>
      <c r="O1481" s="173"/>
      <c r="P1481" s="173"/>
    </row>
    <row r="1482" hidden="1">
      <c r="A1482" s="172"/>
      <c r="B1482" s="173"/>
      <c r="C1482" s="173"/>
      <c r="D1482" s="173"/>
      <c r="E1482" s="173"/>
      <c r="F1482" s="173"/>
      <c r="G1482" s="173"/>
      <c r="H1482" s="173"/>
      <c r="I1482" s="173"/>
      <c r="J1482" s="173"/>
      <c r="K1482" s="173"/>
      <c r="L1482" s="173"/>
      <c r="M1482" s="173"/>
      <c r="N1482" s="173"/>
      <c r="O1482" s="173"/>
      <c r="P1482" s="173"/>
    </row>
    <row r="1483" hidden="1">
      <c r="A1483" s="172"/>
      <c r="B1483" s="173"/>
      <c r="C1483" s="173"/>
      <c r="D1483" s="173"/>
      <c r="E1483" s="173"/>
      <c r="F1483" s="173"/>
      <c r="G1483" s="173"/>
      <c r="H1483" s="173"/>
      <c r="I1483" s="173"/>
      <c r="J1483" s="173"/>
      <c r="K1483" s="173"/>
      <c r="L1483" s="173"/>
      <c r="M1483" s="173"/>
      <c r="N1483" s="173"/>
      <c r="O1483" s="173"/>
      <c r="P1483" s="173"/>
    </row>
    <row r="1484" hidden="1">
      <c r="A1484" s="172"/>
      <c r="B1484" s="173"/>
      <c r="C1484" s="173"/>
      <c r="D1484" s="173"/>
      <c r="E1484" s="173"/>
      <c r="F1484" s="173"/>
      <c r="G1484" s="173"/>
      <c r="H1484" s="173"/>
      <c r="I1484" s="173"/>
      <c r="J1484" s="173"/>
      <c r="K1484" s="173"/>
      <c r="L1484" s="173"/>
      <c r="M1484" s="173"/>
      <c r="N1484" s="173"/>
      <c r="O1484" s="173"/>
      <c r="P1484" s="173"/>
    </row>
    <row r="1485" hidden="1">
      <c r="A1485" s="172"/>
      <c r="B1485" s="173"/>
      <c r="C1485" s="173"/>
      <c r="D1485" s="173"/>
      <c r="E1485" s="173"/>
      <c r="F1485" s="173"/>
      <c r="G1485" s="173"/>
      <c r="H1485" s="173"/>
      <c r="I1485" s="173"/>
      <c r="J1485" s="173"/>
      <c r="K1485" s="173"/>
      <c r="L1485" s="173"/>
      <c r="M1485" s="173"/>
      <c r="N1485" s="173"/>
      <c r="O1485" s="173"/>
      <c r="P1485" s="173"/>
    </row>
    <row r="1486" hidden="1">
      <c r="A1486" s="172"/>
      <c r="B1486" s="173"/>
      <c r="C1486" s="173"/>
      <c r="D1486" s="173"/>
      <c r="E1486" s="173"/>
      <c r="F1486" s="173"/>
      <c r="G1486" s="173"/>
      <c r="H1486" s="173"/>
      <c r="I1486" s="173"/>
      <c r="J1486" s="173"/>
      <c r="K1486" s="173"/>
      <c r="L1486" s="173"/>
      <c r="M1486" s="173"/>
      <c r="N1486" s="173"/>
      <c r="O1486" s="173"/>
      <c r="P1486" s="173"/>
    </row>
    <row r="1487" hidden="1">
      <c r="A1487" s="172"/>
      <c r="B1487" s="173"/>
      <c r="C1487" s="173"/>
      <c r="D1487" s="173"/>
      <c r="E1487" s="173"/>
      <c r="F1487" s="173"/>
      <c r="G1487" s="173"/>
      <c r="H1487" s="173"/>
      <c r="I1487" s="173"/>
      <c r="J1487" s="173"/>
      <c r="K1487" s="173"/>
      <c r="L1487" s="173"/>
      <c r="M1487" s="173"/>
      <c r="N1487" s="173"/>
      <c r="O1487" s="173"/>
      <c r="P1487" s="173"/>
    </row>
    <row r="1488" hidden="1">
      <c r="A1488" s="172"/>
      <c r="B1488" s="173"/>
      <c r="C1488" s="173"/>
      <c r="D1488" s="173"/>
      <c r="E1488" s="173"/>
      <c r="F1488" s="173"/>
      <c r="G1488" s="173"/>
      <c r="H1488" s="173"/>
      <c r="I1488" s="173"/>
      <c r="J1488" s="173"/>
      <c r="K1488" s="173"/>
      <c r="L1488" s="173"/>
      <c r="M1488" s="173"/>
      <c r="N1488" s="173"/>
      <c r="O1488" s="173"/>
      <c r="P1488" s="173"/>
    </row>
    <row r="1489" hidden="1">
      <c r="A1489" s="172"/>
      <c r="B1489" s="173"/>
      <c r="C1489" s="173"/>
      <c r="D1489" s="173"/>
      <c r="E1489" s="173"/>
      <c r="F1489" s="173"/>
      <c r="G1489" s="173"/>
      <c r="H1489" s="173"/>
      <c r="I1489" s="173"/>
      <c r="J1489" s="173"/>
      <c r="K1489" s="173"/>
      <c r="L1489" s="173"/>
      <c r="M1489" s="173"/>
      <c r="N1489" s="173"/>
      <c r="O1489" s="173"/>
      <c r="P1489" s="173"/>
    </row>
    <row r="1490" hidden="1">
      <c r="A1490" s="172"/>
      <c r="B1490" s="173"/>
      <c r="C1490" s="173"/>
      <c r="D1490" s="173"/>
      <c r="E1490" s="173"/>
      <c r="F1490" s="173"/>
      <c r="G1490" s="173"/>
      <c r="H1490" s="173"/>
      <c r="I1490" s="173"/>
      <c r="J1490" s="173"/>
      <c r="K1490" s="173"/>
      <c r="L1490" s="173"/>
      <c r="M1490" s="173"/>
      <c r="N1490" s="173"/>
      <c r="O1490" s="173"/>
      <c r="P1490" s="173"/>
    </row>
    <row r="1491" hidden="1">
      <c r="A1491" s="172"/>
      <c r="B1491" s="173"/>
      <c r="C1491" s="173"/>
      <c r="D1491" s="173"/>
      <c r="E1491" s="173"/>
      <c r="F1491" s="173"/>
      <c r="G1491" s="173"/>
      <c r="H1491" s="173"/>
      <c r="I1491" s="173"/>
      <c r="J1491" s="173"/>
      <c r="K1491" s="173"/>
      <c r="L1491" s="173"/>
      <c r="M1491" s="173"/>
      <c r="N1491" s="173"/>
      <c r="O1491" s="173"/>
      <c r="P1491" s="173"/>
    </row>
    <row r="1492" hidden="1">
      <c r="A1492" s="172"/>
      <c r="B1492" s="173"/>
      <c r="C1492" s="173"/>
      <c r="D1492" s="173"/>
      <c r="E1492" s="173"/>
      <c r="F1492" s="173"/>
      <c r="G1492" s="173"/>
      <c r="H1492" s="173"/>
      <c r="I1492" s="173"/>
      <c r="J1492" s="173"/>
      <c r="K1492" s="173"/>
      <c r="L1492" s="173"/>
      <c r="M1492" s="173"/>
      <c r="N1492" s="173"/>
      <c r="O1492" s="173"/>
      <c r="P1492" s="173"/>
    </row>
    <row r="1493" hidden="1">
      <c r="A1493" s="172"/>
      <c r="B1493" s="173"/>
      <c r="C1493" s="173"/>
      <c r="D1493" s="173"/>
      <c r="E1493" s="173"/>
      <c r="F1493" s="173"/>
      <c r="G1493" s="173"/>
      <c r="H1493" s="173"/>
      <c r="I1493" s="173"/>
      <c r="J1493" s="173"/>
      <c r="K1493" s="173"/>
      <c r="L1493" s="173"/>
      <c r="M1493" s="173"/>
      <c r="N1493" s="173"/>
      <c r="O1493" s="173"/>
      <c r="P1493" s="173"/>
    </row>
    <row r="1494" hidden="1">
      <c r="A1494" s="172"/>
      <c r="B1494" s="173"/>
      <c r="C1494" s="173"/>
      <c r="D1494" s="173"/>
      <c r="E1494" s="173"/>
      <c r="F1494" s="173"/>
      <c r="G1494" s="173"/>
      <c r="H1494" s="173"/>
      <c r="I1494" s="173"/>
      <c r="J1494" s="173"/>
      <c r="K1494" s="173"/>
      <c r="L1494" s="173"/>
      <c r="M1494" s="173"/>
      <c r="N1494" s="173"/>
      <c r="O1494" s="173"/>
      <c r="P1494" s="173"/>
    </row>
    <row r="1495" hidden="1">
      <c r="A1495" s="172"/>
      <c r="B1495" s="173"/>
      <c r="C1495" s="173"/>
      <c r="D1495" s="173"/>
      <c r="E1495" s="173"/>
      <c r="F1495" s="173"/>
      <c r="G1495" s="173"/>
      <c r="H1495" s="173"/>
      <c r="I1495" s="173"/>
      <c r="J1495" s="173"/>
      <c r="K1495" s="173"/>
      <c r="L1495" s="173"/>
      <c r="M1495" s="173"/>
      <c r="N1495" s="173"/>
      <c r="O1495" s="173"/>
      <c r="P1495" s="173"/>
    </row>
    <row r="1496" hidden="1">
      <c r="A1496" s="172"/>
      <c r="B1496" s="173"/>
      <c r="C1496" s="173"/>
      <c r="D1496" s="173"/>
      <c r="E1496" s="173"/>
      <c r="F1496" s="173"/>
      <c r="G1496" s="173"/>
      <c r="H1496" s="173"/>
      <c r="I1496" s="173"/>
      <c r="J1496" s="173"/>
      <c r="K1496" s="173"/>
      <c r="L1496" s="173"/>
      <c r="M1496" s="173"/>
      <c r="N1496" s="173"/>
      <c r="O1496" s="173"/>
      <c r="P1496" s="173"/>
    </row>
    <row r="1497" hidden="1">
      <c r="A1497" s="172"/>
      <c r="B1497" s="173"/>
      <c r="C1497" s="173"/>
      <c r="D1497" s="173"/>
      <c r="E1497" s="173"/>
      <c r="F1497" s="173"/>
      <c r="G1497" s="173"/>
      <c r="H1497" s="173"/>
      <c r="I1497" s="173"/>
      <c r="J1497" s="173"/>
      <c r="K1497" s="173"/>
      <c r="L1497" s="173"/>
      <c r="M1497" s="173"/>
      <c r="N1497" s="173"/>
      <c r="O1497" s="173"/>
      <c r="P1497" s="173"/>
    </row>
    <row r="1498" hidden="1">
      <c r="A1498" s="172"/>
      <c r="B1498" s="173"/>
      <c r="C1498" s="173"/>
      <c r="D1498" s="173"/>
      <c r="E1498" s="173"/>
      <c r="F1498" s="173"/>
      <c r="G1498" s="173"/>
      <c r="H1498" s="173"/>
      <c r="I1498" s="173"/>
      <c r="J1498" s="173"/>
      <c r="K1498" s="173"/>
      <c r="L1498" s="173"/>
      <c r="M1498" s="173"/>
      <c r="N1498" s="173"/>
      <c r="O1498" s="173"/>
      <c r="P1498" s="173"/>
    </row>
    <row r="1499" hidden="1">
      <c r="A1499" s="172"/>
      <c r="B1499" s="173"/>
      <c r="C1499" s="173"/>
      <c r="D1499" s="173"/>
      <c r="E1499" s="173"/>
      <c r="F1499" s="173"/>
      <c r="G1499" s="173"/>
      <c r="H1499" s="173"/>
      <c r="I1499" s="173"/>
      <c r="J1499" s="173"/>
      <c r="K1499" s="173"/>
      <c r="L1499" s="173"/>
      <c r="M1499" s="173"/>
      <c r="N1499" s="173"/>
      <c r="O1499" s="173"/>
      <c r="P1499" s="173"/>
    </row>
    <row r="1500" hidden="1">
      <c r="A1500" s="172"/>
      <c r="B1500" s="173"/>
      <c r="C1500" s="173"/>
      <c r="D1500" s="173"/>
      <c r="E1500" s="173"/>
      <c r="F1500" s="173"/>
      <c r="G1500" s="173"/>
      <c r="H1500" s="173"/>
      <c r="I1500" s="173"/>
      <c r="J1500" s="173"/>
      <c r="K1500" s="173"/>
      <c r="L1500" s="173"/>
      <c r="M1500" s="173"/>
      <c r="N1500" s="173"/>
      <c r="O1500" s="173"/>
      <c r="P1500" s="173"/>
    </row>
    <row r="1501" hidden="1">
      <c r="A1501" s="172"/>
      <c r="B1501" s="173"/>
      <c r="C1501" s="173"/>
      <c r="D1501" s="173"/>
      <c r="E1501" s="173"/>
      <c r="F1501" s="173"/>
      <c r="G1501" s="173"/>
      <c r="H1501" s="173"/>
      <c r="I1501" s="173"/>
      <c r="J1501" s="173"/>
      <c r="K1501" s="173"/>
      <c r="L1501" s="173"/>
      <c r="M1501" s="173"/>
      <c r="N1501" s="173"/>
      <c r="O1501" s="173"/>
      <c r="P1501" s="173"/>
    </row>
    <row r="1502" hidden="1">
      <c r="A1502" s="172"/>
      <c r="B1502" s="173"/>
      <c r="C1502" s="173"/>
      <c r="D1502" s="173"/>
      <c r="E1502" s="173"/>
      <c r="F1502" s="173"/>
      <c r="G1502" s="173"/>
      <c r="H1502" s="173"/>
      <c r="I1502" s="173"/>
      <c r="J1502" s="173"/>
      <c r="K1502" s="173"/>
      <c r="L1502" s="173"/>
      <c r="M1502" s="173"/>
      <c r="N1502" s="173"/>
      <c r="O1502" s="173"/>
      <c r="P1502" s="173"/>
    </row>
    <row r="1503" hidden="1">
      <c r="A1503" s="172"/>
      <c r="B1503" s="173"/>
      <c r="C1503" s="173"/>
      <c r="D1503" s="173"/>
      <c r="E1503" s="173"/>
      <c r="F1503" s="173"/>
      <c r="G1503" s="173"/>
      <c r="H1503" s="173"/>
      <c r="I1503" s="173"/>
      <c r="J1503" s="173"/>
      <c r="K1503" s="173"/>
      <c r="L1503" s="173"/>
      <c r="M1503" s="173"/>
      <c r="N1503" s="173"/>
      <c r="O1503" s="173"/>
      <c r="P1503" s="173"/>
    </row>
    <row r="1504" hidden="1">
      <c r="A1504" s="172"/>
      <c r="B1504" s="173"/>
      <c r="C1504" s="173"/>
      <c r="D1504" s="173"/>
      <c r="E1504" s="173"/>
      <c r="F1504" s="173"/>
      <c r="G1504" s="173"/>
      <c r="H1504" s="173"/>
      <c r="I1504" s="173"/>
      <c r="J1504" s="173"/>
      <c r="K1504" s="173"/>
      <c r="L1504" s="173"/>
      <c r="M1504" s="173"/>
      <c r="N1504" s="173"/>
      <c r="O1504" s="173"/>
      <c r="P1504" s="173"/>
    </row>
    <row r="1505" hidden="1">
      <c r="A1505" s="172"/>
      <c r="B1505" s="173"/>
      <c r="C1505" s="173"/>
      <c r="D1505" s="173"/>
      <c r="E1505" s="173"/>
      <c r="F1505" s="173"/>
      <c r="G1505" s="173"/>
      <c r="H1505" s="173"/>
      <c r="I1505" s="173"/>
      <c r="J1505" s="173"/>
      <c r="K1505" s="173"/>
      <c r="L1505" s="173"/>
      <c r="M1505" s="173"/>
      <c r="N1505" s="173"/>
      <c r="O1505" s="173"/>
      <c r="P1505" s="173"/>
    </row>
    <row r="1506" hidden="1">
      <c r="A1506" s="172"/>
      <c r="B1506" s="173"/>
      <c r="C1506" s="173"/>
      <c r="D1506" s="173"/>
      <c r="E1506" s="173"/>
      <c r="F1506" s="173"/>
      <c r="G1506" s="173"/>
      <c r="H1506" s="173"/>
      <c r="I1506" s="173"/>
      <c r="J1506" s="173"/>
      <c r="K1506" s="173"/>
      <c r="L1506" s="173"/>
      <c r="M1506" s="173"/>
      <c r="N1506" s="173"/>
      <c r="O1506" s="173"/>
      <c r="P1506" s="173"/>
    </row>
    <row r="1507" hidden="1">
      <c r="A1507" s="172"/>
      <c r="B1507" s="173"/>
      <c r="C1507" s="173"/>
      <c r="D1507" s="173"/>
      <c r="E1507" s="173"/>
      <c r="F1507" s="173"/>
      <c r="G1507" s="173"/>
      <c r="H1507" s="173"/>
      <c r="I1507" s="173"/>
      <c r="J1507" s="173"/>
      <c r="K1507" s="173"/>
      <c r="L1507" s="173"/>
      <c r="M1507" s="173"/>
      <c r="N1507" s="173"/>
      <c r="O1507" s="173"/>
      <c r="P1507" s="173"/>
    </row>
    <row r="1508" hidden="1">
      <c r="A1508" s="172"/>
      <c r="B1508" s="173"/>
      <c r="C1508" s="173"/>
      <c r="D1508" s="173"/>
      <c r="E1508" s="173"/>
      <c r="F1508" s="173"/>
      <c r="G1508" s="173"/>
      <c r="H1508" s="173"/>
      <c r="I1508" s="173"/>
      <c r="J1508" s="173"/>
      <c r="K1508" s="173"/>
      <c r="L1508" s="173"/>
      <c r="M1508" s="173"/>
      <c r="N1508" s="173"/>
      <c r="O1508" s="173"/>
      <c r="P1508" s="173"/>
    </row>
    <row r="1509" hidden="1">
      <c r="A1509" s="172"/>
      <c r="B1509" s="173"/>
      <c r="C1509" s="173"/>
      <c r="D1509" s="173"/>
      <c r="E1509" s="173"/>
      <c r="F1509" s="173"/>
      <c r="G1509" s="173"/>
      <c r="H1509" s="173"/>
      <c r="I1509" s="173"/>
      <c r="J1509" s="173"/>
      <c r="K1509" s="173"/>
      <c r="L1509" s="173"/>
      <c r="M1509" s="173"/>
      <c r="N1509" s="173"/>
      <c r="O1509" s="173"/>
      <c r="P1509" s="173"/>
    </row>
    <row r="1510" hidden="1">
      <c r="A1510" s="172"/>
      <c r="B1510" s="173"/>
      <c r="C1510" s="173"/>
      <c r="D1510" s="173"/>
      <c r="E1510" s="173"/>
      <c r="F1510" s="173"/>
      <c r="G1510" s="173"/>
      <c r="H1510" s="173"/>
      <c r="I1510" s="173"/>
      <c r="J1510" s="173"/>
      <c r="K1510" s="173"/>
      <c r="L1510" s="173"/>
      <c r="M1510" s="173"/>
      <c r="N1510" s="173"/>
      <c r="O1510" s="173"/>
      <c r="P1510" s="173"/>
    </row>
    <row r="1511" hidden="1">
      <c r="A1511" s="172"/>
      <c r="B1511" s="173"/>
      <c r="C1511" s="173"/>
      <c r="D1511" s="173"/>
      <c r="E1511" s="173"/>
      <c r="F1511" s="173"/>
      <c r="G1511" s="173"/>
      <c r="H1511" s="173"/>
      <c r="I1511" s="173"/>
      <c r="J1511" s="173"/>
      <c r="K1511" s="173"/>
      <c r="L1511" s="173"/>
      <c r="M1511" s="173"/>
      <c r="N1511" s="173"/>
      <c r="O1511" s="173"/>
      <c r="P1511" s="173"/>
    </row>
    <row r="1512" hidden="1">
      <c r="A1512" s="172"/>
      <c r="B1512" s="173"/>
      <c r="C1512" s="173"/>
      <c r="D1512" s="173"/>
      <c r="E1512" s="173"/>
      <c r="F1512" s="173"/>
      <c r="G1512" s="173"/>
      <c r="H1512" s="173"/>
      <c r="I1512" s="173"/>
      <c r="J1512" s="173"/>
      <c r="K1512" s="173"/>
      <c r="L1512" s="173"/>
      <c r="M1512" s="173"/>
      <c r="N1512" s="173"/>
      <c r="O1512" s="173"/>
      <c r="P1512" s="173"/>
    </row>
    <row r="1513" hidden="1">
      <c r="A1513" s="172"/>
      <c r="B1513" s="173"/>
      <c r="C1513" s="173"/>
      <c r="D1513" s="173"/>
      <c r="E1513" s="173"/>
      <c r="F1513" s="173"/>
      <c r="G1513" s="173"/>
      <c r="H1513" s="173"/>
      <c r="I1513" s="173"/>
      <c r="J1513" s="173"/>
      <c r="K1513" s="173"/>
      <c r="L1513" s="173"/>
      <c r="M1513" s="173"/>
      <c r="N1513" s="173"/>
      <c r="O1513" s="173"/>
      <c r="P1513" s="173"/>
    </row>
    <row r="1514" hidden="1">
      <c r="A1514" s="172"/>
      <c r="B1514" s="173"/>
      <c r="C1514" s="173"/>
      <c r="D1514" s="173"/>
      <c r="E1514" s="173"/>
      <c r="F1514" s="173"/>
      <c r="G1514" s="173"/>
      <c r="H1514" s="173"/>
      <c r="I1514" s="173"/>
      <c r="J1514" s="173"/>
      <c r="K1514" s="173"/>
      <c r="L1514" s="173"/>
      <c r="M1514" s="173"/>
      <c r="N1514" s="173"/>
      <c r="O1514" s="173"/>
      <c r="P1514" s="173"/>
    </row>
    <row r="1515" hidden="1">
      <c r="A1515" s="172"/>
      <c r="B1515" s="173"/>
      <c r="C1515" s="173"/>
      <c r="D1515" s="173"/>
      <c r="E1515" s="173"/>
      <c r="F1515" s="173"/>
      <c r="G1515" s="173"/>
      <c r="H1515" s="173"/>
      <c r="I1515" s="173"/>
      <c r="J1515" s="173"/>
      <c r="K1515" s="173"/>
      <c r="L1515" s="173"/>
      <c r="M1515" s="173"/>
      <c r="N1515" s="173"/>
      <c r="O1515" s="173"/>
      <c r="P1515" s="173"/>
    </row>
    <row r="1516" hidden="1">
      <c r="A1516" s="172"/>
      <c r="B1516" s="173"/>
      <c r="C1516" s="173"/>
      <c r="D1516" s="173"/>
      <c r="E1516" s="173"/>
      <c r="F1516" s="173"/>
      <c r="G1516" s="173"/>
      <c r="H1516" s="173"/>
      <c r="I1516" s="173"/>
      <c r="J1516" s="173"/>
      <c r="K1516" s="173"/>
      <c r="L1516" s="173"/>
      <c r="M1516" s="173"/>
      <c r="N1516" s="173"/>
      <c r="O1516" s="173"/>
      <c r="P1516" s="173"/>
    </row>
    <row r="1517" hidden="1">
      <c r="A1517" s="172"/>
      <c r="B1517" s="173"/>
      <c r="C1517" s="173"/>
      <c r="D1517" s="173"/>
      <c r="E1517" s="173"/>
      <c r="F1517" s="173"/>
      <c r="G1517" s="173"/>
      <c r="H1517" s="173"/>
      <c r="I1517" s="173"/>
      <c r="J1517" s="173"/>
      <c r="K1517" s="173"/>
      <c r="L1517" s="173"/>
      <c r="M1517" s="173"/>
      <c r="N1517" s="173"/>
      <c r="O1517" s="173"/>
      <c r="P1517" s="173"/>
    </row>
    <row r="1518" hidden="1">
      <c r="A1518" s="172"/>
      <c r="B1518" s="173"/>
      <c r="C1518" s="173"/>
      <c r="D1518" s="173"/>
      <c r="E1518" s="173"/>
      <c r="F1518" s="173"/>
      <c r="G1518" s="173"/>
      <c r="H1518" s="173"/>
      <c r="I1518" s="173"/>
      <c r="J1518" s="173"/>
      <c r="K1518" s="173"/>
      <c r="L1518" s="173"/>
      <c r="M1518" s="173"/>
      <c r="N1518" s="173"/>
      <c r="O1518" s="173"/>
      <c r="P1518" s="173"/>
    </row>
    <row r="1519" hidden="1">
      <c r="A1519" s="172"/>
      <c r="B1519" s="173"/>
      <c r="C1519" s="173"/>
      <c r="D1519" s="173"/>
      <c r="E1519" s="173"/>
      <c r="F1519" s="173"/>
      <c r="G1519" s="173"/>
      <c r="H1519" s="173"/>
      <c r="I1519" s="173"/>
      <c r="J1519" s="173"/>
      <c r="K1519" s="173"/>
      <c r="L1519" s="173"/>
      <c r="M1519" s="173"/>
      <c r="N1519" s="173"/>
      <c r="O1519" s="173"/>
      <c r="P1519" s="173"/>
    </row>
    <row r="1520" hidden="1">
      <c r="A1520" s="172"/>
      <c r="B1520" s="173"/>
      <c r="C1520" s="173"/>
      <c r="D1520" s="173"/>
      <c r="E1520" s="173"/>
      <c r="F1520" s="173"/>
      <c r="G1520" s="173"/>
      <c r="H1520" s="173"/>
      <c r="I1520" s="173"/>
      <c r="J1520" s="173"/>
      <c r="K1520" s="173"/>
      <c r="L1520" s="173"/>
      <c r="M1520" s="173"/>
      <c r="N1520" s="173"/>
      <c r="O1520" s="173"/>
      <c r="P1520" s="173"/>
    </row>
    <row r="1521" hidden="1">
      <c r="A1521" s="172"/>
      <c r="B1521" s="173"/>
      <c r="C1521" s="173"/>
      <c r="D1521" s="173"/>
      <c r="E1521" s="173"/>
      <c r="F1521" s="173"/>
      <c r="G1521" s="173"/>
      <c r="H1521" s="173"/>
      <c r="I1521" s="173"/>
      <c r="J1521" s="173"/>
      <c r="K1521" s="173"/>
      <c r="L1521" s="173"/>
      <c r="M1521" s="173"/>
      <c r="N1521" s="173"/>
      <c r="O1521" s="173"/>
      <c r="P1521" s="173"/>
    </row>
    <row r="1522" hidden="1">
      <c r="A1522" s="172"/>
      <c r="B1522" s="173"/>
      <c r="C1522" s="173"/>
      <c r="D1522" s="173"/>
      <c r="E1522" s="173"/>
      <c r="F1522" s="173"/>
      <c r="G1522" s="173"/>
      <c r="H1522" s="173"/>
      <c r="I1522" s="173"/>
      <c r="J1522" s="173"/>
      <c r="K1522" s="173"/>
      <c r="L1522" s="173"/>
      <c r="M1522" s="173"/>
      <c r="N1522" s="173"/>
      <c r="O1522" s="173"/>
      <c r="P1522" s="173"/>
    </row>
    <row r="1523" hidden="1">
      <c r="A1523" s="172"/>
      <c r="B1523" s="173"/>
      <c r="C1523" s="173"/>
      <c r="D1523" s="173"/>
      <c r="E1523" s="173"/>
      <c r="F1523" s="173"/>
      <c r="G1523" s="173"/>
      <c r="H1523" s="173"/>
      <c r="I1523" s="173"/>
      <c r="J1523" s="173"/>
      <c r="K1523" s="173"/>
      <c r="L1523" s="173"/>
      <c r="M1523" s="173"/>
      <c r="N1523" s="173"/>
      <c r="O1523" s="173"/>
      <c r="P1523" s="173"/>
    </row>
    <row r="1524" hidden="1">
      <c r="A1524" s="172"/>
      <c r="B1524" s="173"/>
      <c r="C1524" s="173"/>
      <c r="D1524" s="173"/>
      <c r="E1524" s="173"/>
      <c r="F1524" s="173"/>
      <c r="G1524" s="173"/>
      <c r="H1524" s="173"/>
      <c r="I1524" s="173"/>
      <c r="J1524" s="173"/>
      <c r="K1524" s="173"/>
      <c r="L1524" s="173"/>
      <c r="M1524" s="173"/>
      <c r="N1524" s="173"/>
      <c r="O1524" s="173"/>
      <c r="P1524" s="173"/>
    </row>
    <row r="1525" hidden="1">
      <c r="A1525" s="172"/>
      <c r="B1525" s="173"/>
      <c r="C1525" s="173"/>
      <c r="D1525" s="173"/>
      <c r="E1525" s="173"/>
      <c r="F1525" s="173"/>
      <c r="G1525" s="173"/>
      <c r="H1525" s="173"/>
      <c r="I1525" s="173"/>
      <c r="J1525" s="173"/>
      <c r="K1525" s="173"/>
      <c r="L1525" s="173"/>
      <c r="M1525" s="173"/>
      <c r="N1525" s="173"/>
      <c r="O1525" s="173"/>
      <c r="P1525" s="173"/>
    </row>
    <row r="1526" hidden="1">
      <c r="A1526" s="172"/>
      <c r="B1526" s="173"/>
      <c r="C1526" s="173"/>
      <c r="D1526" s="173"/>
      <c r="E1526" s="173"/>
      <c r="F1526" s="173"/>
      <c r="G1526" s="173"/>
      <c r="H1526" s="173"/>
      <c r="I1526" s="173"/>
      <c r="J1526" s="173"/>
      <c r="K1526" s="173"/>
      <c r="L1526" s="173"/>
      <c r="M1526" s="173"/>
      <c r="N1526" s="173"/>
      <c r="O1526" s="173"/>
      <c r="P1526" s="173"/>
    </row>
    <row r="1527" hidden="1">
      <c r="A1527" s="172"/>
      <c r="B1527" s="173"/>
      <c r="C1527" s="173"/>
      <c r="D1527" s="173"/>
      <c r="E1527" s="173"/>
      <c r="F1527" s="173"/>
      <c r="G1527" s="173"/>
      <c r="H1527" s="173"/>
      <c r="I1527" s="173"/>
      <c r="J1527" s="173"/>
      <c r="K1527" s="173"/>
      <c r="L1527" s="173"/>
      <c r="M1527" s="173"/>
      <c r="N1527" s="173"/>
      <c r="O1527" s="173"/>
      <c r="P1527" s="173"/>
    </row>
    <row r="1528" hidden="1">
      <c r="A1528" s="172"/>
      <c r="B1528" s="173"/>
      <c r="C1528" s="173"/>
      <c r="D1528" s="173"/>
      <c r="E1528" s="173"/>
      <c r="F1528" s="173"/>
      <c r="G1528" s="173"/>
      <c r="H1528" s="173"/>
      <c r="I1528" s="173"/>
      <c r="J1528" s="173"/>
      <c r="K1528" s="173"/>
      <c r="L1528" s="173"/>
      <c r="M1528" s="173"/>
      <c r="N1528" s="173"/>
      <c r="O1528" s="173"/>
      <c r="P1528" s="173"/>
    </row>
    <row r="1529" hidden="1">
      <c r="A1529" s="172"/>
      <c r="B1529" s="173"/>
      <c r="C1529" s="173"/>
      <c r="D1529" s="173"/>
      <c r="E1529" s="173"/>
      <c r="F1529" s="173"/>
      <c r="G1529" s="173"/>
      <c r="H1529" s="173"/>
      <c r="I1529" s="173"/>
      <c r="J1529" s="173"/>
      <c r="K1529" s="173"/>
      <c r="L1529" s="173"/>
      <c r="M1529" s="173"/>
      <c r="N1529" s="173"/>
      <c r="O1529" s="173"/>
      <c r="P1529" s="173"/>
    </row>
    <row r="1530" hidden="1">
      <c r="A1530" s="172"/>
      <c r="B1530" s="173"/>
      <c r="C1530" s="173"/>
      <c r="D1530" s="173"/>
      <c r="E1530" s="173"/>
      <c r="F1530" s="173"/>
      <c r="G1530" s="173"/>
      <c r="H1530" s="173"/>
      <c r="I1530" s="173"/>
      <c r="J1530" s="173"/>
      <c r="K1530" s="173"/>
      <c r="L1530" s="173"/>
      <c r="M1530" s="173"/>
      <c r="N1530" s="173"/>
      <c r="O1530" s="173"/>
      <c r="P1530" s="173"/>
    </row>
    <row r="1531" hidden="1">
      <c r="A1531" s="172"/>
      <c r="B1531" s="173"/>
      <c r="C1531" s="173"/>
      <c r="D1531" s="173"/>
      <c r="E1531" s="173"/>
      <c r="F1531" s="173"/>
      <c r="G1531" s="173"/>
      <c r="H1531" s="173"/>
      <c r="I1531" s="173"/>
      <c r="J1531" s="173"/>
      <c r="K1531" s="173"/>
      <c r="L1531" s="173"/>
      <c r="M1531" s="173"/>
      <c r="N1531" s="173"/>
      <c r="O1531" s="173"/>
      <c r="P1531" s="173"/>
    </row>
    <row r="1532" hidden="1">
      <c r="A1532" s="172"/>
      <c r="B1532" s="173"/>
      <c r="C1532" s="173"/>
      <c r="D1532" s="173"/>
      <c r="E1532" s="173"/>
      <c r="F1532" s="173"/>
      <c r="G1532" s="173"/>
      <c r="H1532" s="173"/>
      <c r="I1532" s="173"/>
      <c r="J1532" s="173"/>
      <c r="K1532" s="173"/>
      <c r="L1532" s="173"/>
      <c r="M1532" s="173"/>
      <c r="N1532" s="173"/>
      <c r="O1532" s="173"/>
      <c r="P1532" s="173"/>
    </row>
    <row r="1533" hidden="1">
      <c r="A1533" s="172"/>
      <c r="B1533" s="173"/>
      <c r="C1533" s="173"/>
      <c r="D1533" s="173"/>
      <c r="E1533" s="173"/>
      <c r="F1533" s="173"/>
      <c r="G1533" s="173"/>
      <c r="H1533" s="173"/>
      <c r="I1533" s="173"/>
      <c r="J1533" s="173"/>
      <c r="K1533" s="173"/>
      <c r="L1533" s="173"/>
      <c r="M1533" s="173"/>
      <c r="N1533" s="173"/>
      <c r="O1533" s="173"/>
      <c r="P1533" s="173"/>
    </row>
    <row r="1534" hidden="1">
      <c r="A1534" s="172"/>
      <c r="B1534" s="173"/>
      <c r="C1534" s="173"/>
      <c r="D1534" s="173"/>
      <c r="E1534" s="173"/>
      <c r="F1534" s="173"/>
      <c r="G1534" s="173"/>
      <c r="H1534" s="173"/>
      <c r="I1534" s="173"/>
      <c r="J1534" s="173"/>
      <c r="K1534" s="173"/>
      <c r="L1534" s="173"/>
      <c r="M1534" s="173"/>
      <c r="N1534" s="173"/>
      <c r="O1534" s="173"/>
      <c r="P1534" s="173"/>
    </row>
    <row r="1535" hidden="1">
      <c r="A1535" s="172"/>
      <c r="B1535" s="173"/>
      <c r="C1535" s="173"/>
      <c r="D1535" s="173"/>
      <c r="E1535" s="173"/>
      <c r="F1535" s="173"/>
      <c r="G1535" s="173"/>
      <c r="H1535" s="173"/>
      <c r="I1535" s="173"/>
      <c r="J1535" s="173"/>
      <c r="K1535" s="173"/>
      <c r="L1535" s="173"/>
      <c r="M1535" s="173"/>
      <c r="N1535" s="173"/>
      <c r="O1535" s="173"/>
      <c r="P1535" s="173"/>
    </row>
    <row r="1536" hidden="1">
      <c r="A1536" s="172"/>
      <c r="B1536" s="173"/>
      <c r="C1536" s="173"/>
      <c r="D1536" s="173"/>
      <c r="E1536" s="173"/>
      <c r="F1536" s="173"/>
      <c r="G1536" s="173"/>
      <c r="H1536" s="173"/>
      <c r="I1536" s="173"/>
      <c r="J1536" s="173"/>
      <c r="K1536" s="173"/>
      <c r="L1536" s="173"/>
      <c r="M1536" s="173"/>
      <c r="N1536" s="173"/>
      <c r="O1536" s="173"/>
      <c r="P1536" s="173"/>
    </row>
    <row r="1537" hidden="1">
      <c r="A1537" s="172"/>
      <c r="B1537" s="173"/>
      <c r="C1537" s="173"/>
      <c r="D1537" s="173"/>
      <c r="E1537" s="173"/>
      <c r="F1537" s="173"/>
      <c r="G1537" s="173"/>
      <c r="H1537" s="173"/>
      <c r="I1537" s="173"/>
      <c r="J1537" s="173"/>
      <c r="K1537" s="173"/>
      <c r="L1537" s="173"/>
      <c r="M1537" s="173"/>
      <c r="N1537" s="173"/>
      <c r="O1537" s="173"/>
      <c r="P1537" s="173"/>
    </row>
    <row r="1538" hidden="1">
      <c r="A1538" s="172"/>
      <c r="B1538" s="173"/>
      <c r="C1538" s="173"/>
      <c r="D1538" s="173"/>
      <c r="E1538" s="173"/>
      <c r="F1538" s="173"/>
      <c r="G1538" s="173"/>
      <c r="H1538" s="173"/>
      <c r="I1538" s="173"/>
      <c r="J1538" s="173"/>
      <c r="K1538" s="173"/>
      <c r="L1538" s="173"/>
      <c r="M1538" s="173"/>
      <c r="N1538" s="173"/>
      <c r="O1538" s="173"/>
      <c r="P1538" s="173"/>
    </row>
    <row r="1539" hidden="1">
      <c r="A1539" s="172"/>
      <c r="B1539" s="173"/>
      <c r="C1539" s="173"/>
      <c r="D1539" s="173"/>
      <c r="E1539" s="173"/>
      <c r="F1539" s="173"/>
      <c r="G1539" s="173"/>
      <c r="H1539" s="173"/>
      <c r="I1539" s="173"/>
      <c r="J1539" s="173"/>
      <c r="K1539" s="173"/>
      <c r="L1539" s="173"/>
      <c r="M1539" s="173"/>
      <c r="N1539" s="173"/>
      <c r="O1539" s="173"/>
      <c r="P1539" s="173"/>
    </row>
    <row r="1540" hidden="1">
      <c r="A1540" s="172"/>
      <c r="B1540" s="173"/>
      <c r="C1540" s="173"/>
      <c r="D1540" s="173"/>
      <c r="E1540" s="173"/>
      <c r="F1540" s="173"/>
      <c r="G1540" s="173"/>
      <c r="H1540" s="173"/>
      <c r="I1540" s="173"/>
      <c r="J1540" s="173"/>
      <c r="K1540" s="173"/>
      <c r="L1540" s="173"/>
      <c r="M1540" s="173"/>
      <c r="N1540" s="173"/>
      <c r="O1540" s="173"/>
      <c r="P1540" s="173"/>
    </row>
    <row r="1541" hidden="1">
      <c r="A1541" s="172"/>
      <c r="B1541" s="173"/>
      <c r="C1541" s="173"/>
      <c r="D1541" s="173"/>
      <c r="E1541" s="173"/>
      <c r="F1541" s="173"/>
      <c r="G1541" s="173"/>
      <c r="H1541" s="173"/>
      <c r="I1541" s="173"/>
      <c r="J1541" s="173"/>
      <c r="K1541" s="173"/>
      <c r="L1541" s="173"/>
      <c r="M1541" s="173"/>
      <c r="N1541" s="173"/>
      <c r="O1541" s="173"/>
      <c r="P1541" s="173"/>
    </row>
    <row r="1542" hidden="1">
      <c r="A1542" s="172"/>
      <c r="B1542" s="173"/>
      <c r="C1542" s="173"/>
      <c r="D1542" s="173"/>
      <c r="E1542" s="173"/>
      <c r="F1542" s="173"/>
      <c r="G1542" s="173"/>
      <c r="H1542" s="173"/>
      <c r="I1542" s="173"/>
      <c r="J1542" s="173"/>
      <c r="K1542" s="173"/>
      <c r="L1542" s="173"/>
      <c r="M1542" s="173"/>
      <c r="N1542" s="173"/>
      <c r="O1542" s="173"/>
      <c r="P1542" s="173"/>
    </row>
    <row r="1543" hidden="1">
      <c r="A1543" s="172"/>
      <c r="B1543" s="173"/>
      <c r="C1543" s="173"/>
      <c r="D1543" s="173"/>
      <c r="E1543" s="173"/>
      <c r="F1543" s="173"/>
      <c r="G1543" s="173"/>
      <c r="H1543" s="173"/>
      <c r="I1543" s="173"/>
      <c r="J1543" s="173"/>
      <c r="K1543" s="173"/>
      <c r="L1543" s="173"/>
      <c r="M1543" s="173"/>
      <c r="N1543" s="173"/>
      <c r="O1543" s="173"/>
      <c r="P1543" s="173"/>
    </row>
    <row r="1544" hidden="1">
      <c r="A1544" s="172"/>
      <c r="B1544" s="173"/>
      <c r="C1544" s="173"/>
      <c r="D1544" s="173"/>
      <c r="E1544" s="173"/>
      <c r="F1544" s="173"/>
      <c r="G1544" s="173"/>
      <c r="H1544" s="173"/>
      <c r="I1544" s="173"/>
      <c r="J1544" s="173"/>
      <c r="K1544" s="173"/>
      <c r="L1544" s="173"/>
      <c r="M1544" s="173"/>
      <c r="N1544" s="173"/>
      <c r="O1544" s="173"/>
      <c r="P1544" s="173"/>
    </row>
    <row r="1545" hidden="1">
      <c r="A1545" s="172"/>
      <c r="B1545" s="173"/>
      <c r="C1545" s="173"/>
      <c r="D1545" s="173"/>
      <c r="E1545" s="173"/>
      <c r="F1545" s="173"/>
      <c r="G1545" s="173"/>
      <c r="H1545" s="173"/>
      <c r="I1545" s="173"/>
      <c r="J1545" s="173"/>
      <c r="K1545" s="173"/>
      <c r="L1545" s="173"/>
      <c r="M1545" s="173"/>
      <c r="N1545" s="173"/>
      <c r="O1545" s="173"/>
      <c r="P1545" s="173"/>
    </row>
    <row r="1546" hidden="1">
      <c r="A1546" s="172"/>
      <c r="B1546" s="173"/>
      <c r="C1546" s="173"/>
      <c r="D1546" s="173"/>
      <c r="E1546" s="173"/>
      <c r="F1546" s="173"/>
      <c r="G1546" s="173"/>
      <c r="H1546" s="173"/>
      <c r="I1546" s="173"/>
      <c r="J1546" s="173"/>
      <c r="K1546" s="173"/>
      <c r="L1546" s="173"/>
      <c r="M1546" s="173"/>
      <c r="N1546" s="173"/>
      <c r="O1546" s="173"/>
      <c r="P1546" s="173"/>
    </row>
    <row r="1547" hidden="1">
      <c r="A1547" s="172"/>
      <c r="B1547" s="173"/>
      <c r="C1547" s="173"/>
      <c r="D1547" s="173"/>
      <c r="E1547" s="173"/>
      <c r="F1547" s="173"/>
      <c r="G1547" s="173"/>
      <c r="H1547" s="173"/>
      <c r="I1547" s="173"/>
      <c r="J1547" s="173"/>
      <c r="K1547" s="173"/>
      <c r="L1547" s="173"/>
      <c r="M1547" s="173"/>
      <c r="N1547" s="173"/>
      <c r="O1547" s="173"/>
      <c r="P1547" s="173"/>
    </row>
    <row r="1548" hidden="1">
      <c r="A1548" s="172"/>
      <c r="B1548" s="173"/>
      <c r="C1548" s="173"/>
      <c r="D1548" s="173"/>
      <c r="E1548" s="173"/>
      <c r="F1548" s="173"/>
      <c r="G1548" s="173"/>
      <c r="H1548" s="173"/>
      <c r="I1548" s="173"/>
      <c r="J1548" s="173"/>
      <c r="K1548" s="173"/>
      <c r="L1548" s="173"/>
      <c r="M1548" s="173"/>
      <c r="N1548" s="173"/>
      <c r="O1548" s="173"/>
      <c r="P1548" s="173"/>
    </row>
    <row r="1549" hidden="1">
      <c r="A1549" s="172"/>
      <c r="B1549" s="173"/>
      <c r="C1549" s="173"/>
      <c r="D1549" s="173"/>
      <c r="E1549" s="173"/>
      <c r="F1549" s="173"/>
      <c r="G1549" s="173"/>
      <c r="H1549" s="173"/>
      <c r="I1549" s="173"/>
      <c r="J1549" s="173"/>
      <c r="K1549" s="173"/>
      <c r="L1549" s="173"/>
      <c r="M1549" s="173"/>
      <c r="N1549" s="173"/>
      <c r="O1549" s="173"/>
      <c r="P1549" s="173"/>
    </row>
    <row r="1550" hidden="1">
      <c r="A1550" s="172"/>
      <c r="B1550" s="173"/>
      <c r="C1550" s="173"/>
      <c r="D1550" s="173"/>
      <c r="E1550" s="173"/>
      <c r="F1550" s="173"/>
      <c r="G1550" s="173"/>
      <c r="H1550" s="173"/>
      <c r="I1550" s="173"/>
      <c r="J1550" s="173"/>
      <c r="K1550" s="173"/>
      <c r="L1550" s="173"/>
      <c r="M1550" s="173"/>
      <c r="N1550" s="173"/>
      <c r="O1550" s="173"/>
      <c r="P1550" s="173"/>
    </row>
    <row r="1551" hidden="1">
      <c r="A1551" s="172"/>
      <c r="B1551" s="173"/>
      <c r="C1551" s="173"/>
      <c r="D1551" s="173"/>
      <c r="E1551" s="173"/>
      <c r="F1551" s="173"/>
      <c r="G1551" s="173"/>
      <c r="H1551" s="173"/>
      <c r="I1551" s="173"/>
      <c r="J1551" s="173"/>
      <c r="K1551" s="173"/>
      <c r="L1551" s="173"/>
      <c r="M1551" s="173"/>
      <c r="N1551" s="173"/>
      <c r="O1551" s="173"/>
      <c r="P1551" s="173"/>
    </row>
    <row r="1552" hidden="1">
      <c r="A1552" s="172"/>
      <c r="B1552" s="173"/>
      <c r="C1552" s="173"/>
      <c r="D1552" s="173"/>
      <c r="E1552" s="173"/>
      <c r="F1552" s="173"/>
      <c r="G1552" s="173"/>
      <c r="H1552" s="173"/>
      <c r="I1552" s="173"/>
      <c r="J1552" s="173"/>
      <c r="K1552" s="173"/>
      <c r="L1552" s="173"/>
      <c r="M1552" s="173"/>
      <c r="N1552" s="173"/>
      <c r="O1552" s="173"/>
      <c r="P1552" s="173"/>
    </row>
    <row r="1553" hidden="1">
      <c r="A1553" s="172"/>
      <c r="B1553" s="173"/>
      <c r="C1553" s="173"/>
      <c r="D1553" s="173"/>
      <c r="E1553" s="173"/>
      <c r="F1553" s="173"/>
      <c r="G1553" s="173"/>
      <c r="H1553" s="173"/>
      <c r="I1553" s="173"/>
      <c r="J1553" s="173"/>
      <c r="K1553" s="173"/>
      <c r="L1553" s="173"/>
      <c r="M1553" s="173"/>
      <c r="N1553" s="173"/>
      <c r="O1553" s="173"/>
      <c r="P1553" s="173"/>
    </row>
    <row r="1554" hidden="1">
      <c r="A1554" s="172"/>
      <c r="B1554" s="173"/>
      <c r="C1554" s="173"/>
      <c r="D1554" s="173"/>
      <c r="E1554" s="173"/>
      <c r="F1554" s="173"/>
      <c r="G1554" s="173"/>
      <c r="H1554" s="173"/>
      <c r="I1554" s="173"/>
      <c r="J1554" s="173"/>
      <c r="K1554" s="173"/>
      <c r="L1554" s="173"/>
      <c r="M1554" s="173"/>
      <c r="N1554" s="173"/>
      <c r="O1554" s="173"/>
      <c r="P1554" s="173"/>
    </row>
    <row r="1555" hidden="1">
      <c r="A1555" s="172"/>
      <c r="B1555" s="173"/>
      <c r="C1555" s="173"/>
      <c r="D1555" s="173"/>
      <c r="E1555" s="173"/>
      <c r="F1555" s="173"/>
      <c r="G1555" s="173"/>
      <c r="H1555" s="173"/>
      <c r="I1555" s="173"/>
      <c r="J1555" s="173"/>
      <c r="K1555" s="173"/>
      <c r="L1555" s="173"/>
      <c r="M1555" s="173"/>
      <c r="N1555" s="173"/>
      <c r="O1555" s="173"/>
      <c r="P1555" s="173"/>
    </row>
    <row r="1556" hidden="1">
      <c r="A1556" s="172"/>
      <c r="B1556" s="173"/>
      <c r="C1556" s="173"/>
      <c r="D1556" s="173"/>
      <c r="E1556" s="173"/>
      <c r="F1556" s="173"/>
      <c r="G1556" s="173"/>
      <c r="H1556" s="173"/>
      <c r="I1556" s="173"/>
      <c r="J1556" s="173"/>
      <c r="K1556" s="173"/>
      <c r="L1556" s="173"/>
      <c r="M1556" s="173"/>
      <c r="N1556" s="173"/>
      <c r="O1556" s="173"/>
      <c r="P1556" s="173"/>
    </row>
    <row r="1557" hidden="1">
      <c r="A1557" s="172"/>
      <c r="B1557" s="173"/>
      <c r="C1557" s="173"/>
      <c r="D1557" s="173"/>
      <c r="E1557" s="173"/>
      <c r="F1557" s="173"/>
      <c r="G1557" s="173"/>
      <c r="H1557" s="173"/>
      <c r="I1557" s="173"/>
      <c r="J1557" s="173"/>
      <c r="K1557" s="173"/>
      <c r="L1557" s="173"/>
      <c r="M1557" s="173"/>
      <c r="N1557" s="173"/>
      <c r="O1557" s="173"/>
      <c r="P1557" s="173"/>
    </row>
    <row r="1558" hidden="1">
      <c r="A1558" s="172"/>
      <c r="B1558" s="173"/>
      <c r="C1558" s="173"/>
      <c r="D1558" s="173"/>
      <c r="E1558" s="173"/>
      <c r="F1558" s="173"/>
      <c r="G1558" s="173"/>
      <c r="H1558" s="173"/>
      <c r="I1558" s="173"/>
      <c r="J1558" s="173"/>
      <c r="K1558" s="173"/>
      <c r="L1558" s="173"/>
      <c r="M1558" s="173"/>
      <c r="N1558" s="173"/>
      <c r="O1558" s="173"/>
      <c r="P1558" s="173"/>
    </row>
    <row r="1559" hidden="1">
      <c r="A1559" s="172"/>
      <c r="B1559" s="173"/>
      <c r="C1559" s="173"/>
      <c r="D1559" s="173"/>
      <c r="E1559" s="173"/>
      <c r="F1559" s="173"/>
      <c r="G1559" s="173"/>
      <c r="H1559" s="173"/>
      <c r="I1559" s="173"/>
      <c r="J1559" s="173"/>
      <c r="K1559" s="173"/>
      <c r="L1559" s="173"/>
      <c r="M1559" s="173"/>
      <c r="N1559" s="173"/>
      <c r="O1559" s="173"/>
      <c r="P1559" s="173"/>
    </row>
    <row r="1560" hidden="1">
      <c r="A1560" s="172"/>
      <c r="B1560" s="173"/>
      <c r="C1560" s="173"/>
      <c r="D1560" s="173"/>
      <c r="E1560" s="173"/>
      <c r="F1560" s="173"/>
      <c r="G1560" s="173"/>
      <c r="H1560" s="173"/>
      <c r="I1560" s="173"/>
      <c r="J1560" s="173"/>
      <c r="K1560" s="173"/>
      <c r="L1560" s="173"/>
      <c r="M1560" s="173"/>
      <c r="N1560" s="173"/>
      <c r="O1560" s="173"/>
      <c r="P1560" s="173"/>
    </row>
    <row r="1561" hidden="1">
      <c r="A1561" s="172"/>
      <c r="B1561" s="173"/>
      <c r="C1561" s="173"/>
      <c r="D1561" s="173"/>
      <c r="E1561" s="173"/>
      <c r="F1561" s="173"/>
      <c r="G1561" s="173"/>
      <c r="H1561" s="173"/>
      <c r="I1561" s="173"/>
      <c r="J1561" s="173"/>
      <c r="K1561" s="173"/>
      <c r="L1561" s="173"/>
      <c r="M1561" s="173"/>
      <c r="N1561" s="173"/>
      <c r="O1561" s="173"/>
      <c r="P1561" s="173"/>
    </row>
    <row r="1562" hidden="1">
      <c r="A1562" s="172"/>
      <c r="B1562" s="173"/>
      <c r="C1562" s="173"/>
      <c r="D1562" s="173"/>
      <c r="E1562" s="173"/>
      <c r="F1562" s="173"/>
      <c r="G1562" s="173"/>
      <c r="H1562" s="173"/>
      <c r="I1562" s="173"/>
      <c r="J1562" s="173"/>
      <c r="K1562" s="173"/>
      <c r="L1562" s="173"/>
      <c r="M1562" s="173"/>
      <c r="N1562" s="173"/>
      <c r="O1562" s="173"/>
      <c r="P1562" s="173"/>
    </row>
    <row r="1563" hidden="1">
      <c r="A1563" s="172"/>
      <c r="B1563" s="173"/>
      <c r="C1563" s="173"/>
      <c r="D1563" s="173"/>
      <c r="E1563" s="173"/>
      <c r="F1563" s="173"/>
      <c r="G1563" s="173"/>
      <c r="H1563" s="173"/>
      <c r="I1563" s="173"/>
      <c r="J1563" s="173"/>
      <c r="K1563" s="173"/>
      <c r="L1563" s="173"/>
      <c r="M1563" s="173"/>
      <c r="N1563" s="173"/>
      <c r="O1563" s="173"/>
      <c r="P1563" s="173"/>
    </row>
    <row r="1564" hidden="1">
      <c r="A1564" s="172"/>
      <c r="B1564" s="173"/>
      <c r="C1564" s="173"/>
      <c r="D1564" s="173"/>
      <c r="E1564" s="173"/>
      <c r="F1564" s="173"/>
      <c r="G1564" s="173"/>
      <c r="H1564" s="173"/>
      <c r="I1564" s="173"/>
      <c r="J1564" s="173"/>
      <c r="K1564" s="173"/>
      <c r="L1564" s="173"/>
      <c r="M1564" s="173"/>
      <c r="N1564" s="173"/>
      <c r="O1564" s="173"/>
      <c r="P1564" s="173"/>
    </row>
    <row r="1565" hidden="1">
      <c r="A1565" s="172"/>
      <c r="B1565" s="173"/>
      <c r="C1565" s="173"/>
      <c r="D1565" s="173"/>
      <c r="E1565" s="173"/>
      <c r="F1565" s="173"/>
      <c r="G1565" s="173"/>
      <c r="H1565" s="173"/>
      <c r="I1565" s="173"/>
      <c r="J1565" s="173"/>
      <c r="K1565" s="173"/>
      <c r="L1565" s="173"/>
      <c r="M1565" s="173"/>
      <c r="N1565" s="173"/>
      <c r="O1565" s="173"/>
      <c r="P1565" s="173"/>
    </row>
    <row r="1566" hidden="1">
      <c r="A1566" s="172"/>
      <c r="B1566" s="173"/>
      <c r="C1566" s="173"/>
      <c r="D1566" s="173"/>
      <c r="E1566" s="173"/>
      <c r="F1566" s="173"/>
      <c r="G1566" s="173"/>
      <c r="H1566" s="173"/>
      <c r="I1566" s="173"/>
      <c r="J1566" s="173"/>
      <c r="K1566" s="173"/>
      <c r="L1566" s="173"/>
      <c r="M1566" s="173"/>
      <c r="N1566" s="173"/>
      <c r="O1566" s="173"/>
      <c r="P1566" s="173"/>
    </row>
    <row r="1567" hidden="1">
      <c r="A1567" s="172"/>
      <c r="B1567" s="173"/>
      <c r="C1567" s="173"/>
      <c r="D1567" s="173"/>
      <c r="E1567" s="173"/>
      <c r="F1567" s="173"/>
      <c r="G1567" s="173"/>
      <c r="H1567" s="173"/>
      <c r="I1567" s="173"/>
      <c r="J1567" s="173"/>
      <c r="K1567" s="173"/>
      <c r="L1567" s="173"/>
      <c r="M1567" s="173"/>
      <c r="N1567" s="173"/>
      <c r="O1567" s="173"/>
      <c r="P1567" s="173"/>
    </row>
    <row r="1568" hidden="1">
      <c r="A1568" s="172"/>
      <c r="B1568" s="173"/>
      <c r="C1568" s="173"/>
      <c r="D1568" s="173"/>
      <c r="E1568" s="173"/>
      <c r="F1568" s="173"/>
      <c r="G1568" s="173"/>
      <c r="H1568" s="173"/>
      <c r="I1568" s="173"/>
      <c r="J1568" s="173"/>
      <c r="K1568" s="173"/>
      <c r="L1568" s="173"/>
      <c r="M1568" s="173"/>
      <c r="N1568" s="173"/>
      <c r="O1568" s="173"/>
      <c r="P1568" s="173"/>
    </row>
    <row r="1569" hidden="1">
      <c r="A1569" s="172"/>
      <c r="B1569" s="173"/>
      <c r="C1569" s="173"/>
      <c r="D1569" s="173"/>
      <c r="E1569" s="173"/>
      <c r="F1569" s="173"/>
      <c r="G1569" s="173"/>
      <c r="H1569" s="173"/>
      <c r="I1569" s="173"/>
      <c r="J1569" s="173"/>
      <c r="K1569" s="173"/>
      <c r="L1569" s="173"/>
      <c r="M1569" s="173"/>
      <c r="N1569" s="173"/>
      <c r="O1569" s="173"/>
      <c r="P1569" s="173"/>
    </row>
    <row r="1570" hidden="1">
      <c r="A1570" s="172"/>
      <c r="B1570" s="173"/>
      <c r="C1570" s="173"/>
      <c r="D1570" s="173"/>
      <c r="E1570" s="173"/>
      <c r="F1570" s="173"/>
      <c r="G1570" s="173"/>
      <c r="H1570" s="173"/>
      <c r="I1570" s="173"/>
      <c r="J1570" s="173"/>
      <c r="K1570" s="173"/>
      <c r="L1570" s="173"/>
      <c r="M1570" s="173"/>
      <c r="N1570" s="173"/>
      <c r="O1570" s="173"/>
      <c r="P1570" s="173"/>
    </row>
    <row r="1571" hidden="1">
      <c r="A1571" s="172"/>
      <c r="B1571" s="173"/>
      <c r="C1571" s="173"/>
      <c r="D1571" s="173"/>
      <c r="E1571" s="173"/>
      <c r="F1571" s="173"/>
      <c r="G1571" s="173"/>
      <c r="H1571" s="173"/>
      <c r="I1571" s="173"/>
      <c r="J1571" s="173"/>
      <c r="K1571" s="173"/>
      <c r="L1571" s="173"/>
      <c r="M1571" s="173"/>
      <c r="N1571" s="173"/>
      <c r="O1571" s="173"/>
      <c r="P1571" s="173"/>
    </row>
    <row r="1572" hidden="1">
      <c r="A1572" s="172"/>
      <c r="B1572" s="173"/>
      <c r="C1572" s="173"/>
      <c r="D1572" s="173"/>
      <c r="E1572" s="173"/>
      <c r="F1572" s="173"/>
      <c r="G1572" s="173"/>
      <c r="H1572" s="173"/>
      <c r="I1572" s="173"/>
      <c r="J1572" s="173"/>
      <c r="K1572" s="173"/>
      <c r="L1572" s="173"/>
      <c r="M1572" s="173"/>
      <c r="N1572" s="173"/>
      <c r="O1572" s="173"/>
      <c r="P1572" s="173"/>
    </row>
    <row r="1573" hidden="1">
      <c r="A1573" s="172"/>
      <c r="B1573" s="173"/>
      <c r="C1573" s="173"/>
      <c r="D1573" s="173"/>
      <c r="E1573" s="173"/>
      <c r="F1573" s="173"/>
      <c r="G1573" s="173"/>
      <c r="H1573" s="173"/>
      <c r="I1573" s="173"/>
      <c r="J1573" s="173"/>
      <c r="K1573" s="173"/>
      <c r="L1573" s="173"/>
      <c r="M1573" s="173"/>
      <c r="N1573" s="173"/>
      <c r="O1573" s="173"/>
      <c r="P1573" s="173"/>
    </row>
    <row r="1574" hidden="1">
      <c r="A1574" s="172"/>
      <c r="B1574" s="173"/>
      <c r="C1574" s="173"/>
      <c r="D1574" s="173"/>
      <c r="E1574" s="173"/>
      <c r="F1574" s="173"/>
      <c r="G1574" s="173"/>
      <c r="H1574" s="173"/>
      <c r="I1574" s="173"/>
      <c r="J1574" s="173"/>
      <c r="K1574" s="173"/>
      <c r="L1574" s="173"/>
      <c r="M1574" s="173"/>
      <c r="N1574" s="173"/>
      <c r="O1574" s="173"/>
      <c r="P1574" s="173"/>
    </row>
    <row r="1575" hidden="1">
      <c r="A1575" s="172"/>
      <c r="B1575" s="173"/>
      <c r="C1575" s="173"/>
      <c r="D1575" s="173"/>
      <c r="E1575" s="173"/>
      <c r="F1575" s="173"/>
      <c r="G1575" s="173"/>
      <c r="H1575" s="173"/>
      <c r="I1575" s="173"/>
      <c r="J1575" s="173"/>
      <c r="K1575" s="173"/>
      <c r="L1575" s="173"/>
      <c r="M1575" s="173"/>
      <c r="N1575" s="173"/>
      <c r="O1575" s="173"/>
      <c r="P1575" s="173"/>
    </row>
    <row r="1576" hidden="1">
      <c r="A1576" s="172"/>
      <c r="B1576" s="173"/>
      <c r="C1576" s="173"/>
      <c r="D1576" s="173"/>
      <c r="E1576" s="173"/>
      <c r="F1576" s="173"/>
      <c r="G1576" s="173"/>
      <c r="H1576" s="173"/>
      <c r="I1576" s="173"/>
      <c r="J1576" s="173"/>
      <c r="K1576" s="173"/>
      <c r="L1576" s="173"/>
      <c r="M1576" s="173"/>
      <c r="N1576" s="173"/>
      <c r="O1576" s="173"/>
      <c r="P1576" s="173"/>
    </row>
    <row r="1577" hidden="1">
      <c r="A1577" s="172"/>
      <c r="B1577" s="173"/>
      <c r="C1577" s="173"/>
      <c r="D1577" s="173"/>
      <c r="E1577" s="173"/>
      <c r="F1577" s="173"/>
      <c r="G1577" s="173"/>
      <c r="H1577" s="173"/>
      <c r="I1577" s="173"/>
      <c r="J1577" s="173"/>
      <c r="K1577" s="173"/>
      <c r="L1577" s="173"/>
      <c r="M1577" s="173"/>
      <c r="N1577" s="173"/>
      <c r="O1577" s="173"/>
      <c r="P1577" s="173"/>
    </row>
    <row r="1578" hidden="1">
      <c r="A1578" s="172"/>
      <c r="B1578" s="173"/>
      <c r="C1578" s="173"/>
      <c r="D1578" s="173"/>
      <c r="E1578" s="173"/>
      <c r="F1578" s="173"/>
      <c r="G1578" s="173"/>
      <c r="H1578" s="173"/>
      <c r="I1578" s="173"/>
      <c r="J1578" s="173"/>
      <c r="K1578" s="173"/>
      <c r="L1578" s="173"/>
      <c r="M1578" s="173"/>
      <c r="N1578" s="173"/>
      <c r="O1578" s="173"/>
      <c r="P1578" s="173"/>
    </row>
    <row r="1579" hidden="1">
      <c r="A1579" s="172"/>
      <c r="B1579" s="173"/>
      <c r="C1579" s="173"/>
      <c r="D1579" s="173"/>
      <c r="E1579" s="173"/>
      <c r="F1579" s="173"/>
      <c r="G1579" s="173"/>
      <c r="H1579" s="173"/>
      <c r="I1579" s="173"/>
      <c r="J1579" s="173"/>
      <c r="K1579" s="173"/>
      <c r="L1579" s="173"/>
      <c r="M1579" s="173"/>
      <c r="N1579" s="173"/>
      <c r="O1579" s="173"/>
      <c r="P1579" s="173"/>
    </row>
    <row r="1580" hidden="1">
      <c r="A1580" s="172"/>
      <c r="B1580" s="173"/>
      <c r="C1580" s="173"/>
      <c r="D1580" s="173"/>
      <c r="E1580" s="173"/>
      <c r="F1580" s="173"/>
      <c r="G1580" s="173"/>
      <c r="H1580" s="173"/>
      <c r="I1580" s="173"/>
      <c r="J1580" s="173"/>
      <c r="K1580" s="173"/>
      <c r="L1580" s="173"/>
      <c r="M1580" s="173"/>
      <c r="N1580" s="173"/>
      <c r="O1580" s="173"/>
      <c r="P1580" s="173"/>
    </row>
    <row r="1581" hidden="1">
      <c r="A1581" s="172"/>
      <c r="B1581" s="173"/>
      <c r="C1581" s="173"/>
      <c r="D1581" s="173"/>
      <c r="E1581" s="173"/>
      <c r="F1581" s="173"/>
      <c r="G1581" s="173"/>
      <c r="H1581" s="173"/>
      <c r="I1581" s="173"/>
      <c r="J1581" s="173"/>
      <c r="K1581" s="173"/>
      <c r="L1581" s="173"/>
      <c r="M1581" s="173"/>
      <c r="N1581" s="173"/>
      <c r="O1581" s="173"/>
      <c r="P1581" s="173"/>
    </row>
    <row r="1582" hidden="1">
      <c r="A1582" s="172"/>
      <c r="B1582" s="173"/>
      <c r="C1582" s="173"/>
      <c r="D1582" s="173"/>
      <c r="E1582" s="173"/>
      <c r="F1582" s="173"/>
      <c r="G1582" s="173"/>
      <c r="H1582" s="173"/>
      <c r="I1582" s="173"/>
      <c r="J1582" s="173"/>
      <c r="K1582" s="173"/>
      <c r="L1582" s="173"/>
      <c r="M1582" s="173"/>
      <c r="N1582" s="173"/>
      <c r="O1582" s="173"/>
      <c r="P1582" s="173"/>
    </row>
    <row r="1583" hidden="1">
      <c r="A1583" s="172"/>
      <c r="B1583" s="173"/>
      <c r="C1583" s="173"/>
      <c r="D1583" s="173"/>
      <c r="E1583" s="173"/>
      <c r="F1583" s="173"/>
      <c r="G1583" s="173"/>
      <c r="H1583" s="173"/>
      <c r="I1583" s="173"/>
      <c r="J1583" s="173"/>
      <c r="K1583" s="173"/>
      <c r="L1583" s="173"/>
      <c r="M1583" s="173"/>
      <c r="N1583" s="173"/>
      <c r="O1583" s="173"/>
      <c r="P1583" s="173"/>
    </row>
    <row r="1584" hidden="1">
      <c r="A1584" s="172"/>
      <c r="B1584" s="173"/>
      <c r="C1584" s="173"/>
      <c r="D1584" s="173"/>
      <c r="E1584" s="173"/>
      <c r="F1584" s="173"/>
      <c r="G1584" s="173"/>
      <c r="H1584" s="173"/>
      <c r="I1584" s="173"/>
      <c r="J1584" s="173"/>
      <c r="K1584" s="173"/>
      <c r="L1584" s="173"/>
      <c r="M1584" s="173"/>
      <c r="N1584" s="173"/>
      <c r="O1584" s="173"/>
      <c r="P1584" s="173"/>
    </row>
    <row r="1585" hidden="1">
      <c r="A1585" s="172"/>
      <c r="B1585" s="173"/>
      <c r="C1585" s="173"/>
      <c r="D1585" s="173"/>
      <c r="E1585" s="173"/>
      <c r="F1585" s="173"/>
      <c r="G1585" s="173"/>
      <c r="H1585" s="173"/>
      <c r="I1585" s="173"/>
      <c r="J1585" s="173"/>
      <c r="K1585" s="173"/>
      <c r="L1585" s="173"/>
      <c r="M1585" s="173"/>
      <c r="N1585" s="173"/>
      <c r="O1585" s="173"/>
      <c r="P1585" s="173"/>
    </row>
    <row r="1586" hidden="1">
      <c r="A1586" s="172"/>
      <c r="B1586" s="173"/>
      <c r="C1586" s="173"/>
      <c r="D1586" s="173"/>
      <c r="E1586" s="173"/>
      <c r="F1586" s="173"/>
      <c r="G1586" s="173"/>
      <c r="H1586" s="173"/>
      <c r="I1586" s="173"/>
      <c r="J1586" s="173"/>
      <c r="K1586" s="173"/>
      <c r="L1586" s="173"/>
      <c r="M1586" s="173"/>
      <c r="N1586" s="173"/>
      <c r="O1586" s="173"/>
      <c r="P1586" s="173"/>
    </row>
    <row r="1587" hidden="1">
      <c r="A1587" s="172"/>
      <c r="B1587" s="173"/>
      <c r="C1587" s="173"/>
      <c r="D1587" s="173"/>
      <c r="E1587" s="173"/>
      <c r="F1587" s="173"/>
      <c r="G1587" s="173"/>
      <c r="H1587" s="173"/>
      <c r="I1587" s="173"/>
      <c r="J1587" s="173"/>
      <c r="K1587" s="173"/>
      <c r="L1587" s="173"/>
      <c r="M1587" s="173"/>
      <c r="N1587" s="173"/>
      <c r="O1587" s="173"/>
      <c r="P1587" s="173"/>
    </row>
    <row r="1588" hidden="1">
      <c r="A1588" s="172"/>
      <c r="B1588" s="173"/>
      <c r="C1588" s="173"/>
      <c r="D1588" s="173"/>
      <c r="E1588" s="173"/>
      <c r="F1588" s="173"/>
      <c r="G1588" s="173"/>
      <c r="H1588" s="173"/>
      <c r="I1588" s="173"/>
      <c r="J1588" s="173"/>
      <c r="K1588" s="173"/>
      <c r="L1588" s="173"/>
      <c r="M1588" s="173"/>
      <c r="N1588" s="173"/>
      <c r="O1588" s="173"/>
      <c r="P1588" s="173"/>
    </row>
    <row r="1589" hidden="1">
      <c r="A1589" s="172"/>
      <c r="B1589" s="173"/>
      <c r="C1589" s="173"/>
      <c r="D1589" s="173"/>
      <c r="E1589" s="173"/>
      <c r="F1589" s="173"/>
      <c r="G1589" s="173"/>
      <c r="H1589" s="173"/>
      <c r="I1589" s="173"/>
      <c r="J1589" s="173"/>
      <c r="K1589" s="173"/>
      <c r="L1589" s="173"/>
      <c r="M1589" s="173"/>
      <c r="N1589" s="173"/>
      <c r="O1589" s="173"/>
      <c r="P1589" s="173"/>
    </row>
    <row r="1590" hidden="1">
      <c r="A1590" s="172"/>
      <c r="B1590" s="173"/>
      <c r="C1590" s="173"/>
      <c r="D1590" s="173"/>
      <c r="E1590" s="173"/>
      <c r="F1590" s="173"/>
      <c r="G1590" s="173"/>
      <c r="H1590" s="173"/>
      <c r="I1590" s="173"/>
      <c r="J1590" s="173"/>
      <c r="K1590" s="173"/>
      <c r="L1590" s="173"/>
      <c r="M1590" s="173"/>
      <c r="N1590" s="173"/>
      <c r="O1590" s="173"/>
      <c r="P1590" s="173"/>
    </row>
    <row r="1591" hidden="1">
      <c r="A1591" s="172"/>
      <c r="B1591" s="173"/>
      <c r="C1591" s="173"/>
      <c r="D1591" s="173"/>
      <c r="E1591" s="173"/>
      <c r="F1591" s="173"/>
      <c r="G1591" s="173"/>
      <c r="H1591" s="173"/>
      <c r="I1591" s="173"/>
      <c r="J1591" s="173"/>
      <c r="K1591" s="173"/>
      <c r="L1591" s="173"/>
      <c r="M1591" s="173"/>
      <c r="N1591" s="173"/>
      <c r="O1591" s="173"/>
      <c r="P1591" s="173"/>
    </row>
    <row r="1592" hidden="1">
      <c r="A1592" s="172"/>
      <c r="B1592" s="173"/>
      <c r="C1592" s="173"/>
      <c r="D1592" s="173"/>
      <c r="E1592" s="173"/>
      <c r="F1592" s="173"/>
      <c r="G1592" s="173"/>
      <c r="H1592" s="173"/>
      <c r="I1592" s="173"/>
      <c r="J1592" s="173"/>
      <c r="K1592" s="173"/>
      <c r="L1592" s="173"/>
      <c r="M1592" s="173"/>
      <c r="N1592" s="173"/>
      <c r="O1592" s="173"/>
      <c r="P1592" s="173"/>
    </row>
    <row r="1593" hidden="1">
      <c r="A1593" s="172"/>
      <c r="B1593" s="173"/>
      <c r="C1593" s="173"/>
      <c r="D1593" s="173"/>
      <c r="E1593" s="173"/>
      <c r="F1593" s="173"/>
      <c r="G1593" s="173"/>
      <c r="H1593" s="173"/>
      <c r="I1593" s="173"/>
      <c r="J1593" s="173"/>
      <c r="K1593" s="173"/>
      <c r="L1593" s="173"/>
      <c r="M1593" s="173"/>
      <c r="N1593" s="173"/>
      <c r="O1593" s="173"/>
      <c r="P1593" s="173"/>
    </row>
    <row r="1594" hidden="1">
      <c r="A1594" s="172"/>
      <c r="B1594" s="173"/>
      <c r="C1594" s="173"/>
      <c r="D1594" s="173"/>
      <c r="E1594" s="173"/>
      <c r="F1594" s="173"/>
      <c r="G1594" s="173"/>
      <c r="H1594" s="173"/>
      <c r="I1594" s="173"/>
      <c r="J1594" s="173"/>
      <c r="K1594" s="173"/>
      <c r="L1594" s="173"/>
      <c r="M1594" s="173"/>
      <c r="N1594" s="173"/>
      <c r="O1594" s="173"/>
      <c r="P1594" s="173"/>
    </row>
    <row r="1595" hidden="1">
      <c r="A1595" s="172"/>
      <c r="B1595" s="173"/>
      <c r="C1595" s="173"/>
      <c r="D1595" s="173"/>
      <c r="E1595" s="173"/>
      <c r="F1595" s="173"/>
      <c r="G1595" s="173"/>
      <c r="H1595" s="173"/>
      <c r="I1595" s="173"/>
      <c r="J1595" s="173"/>
      <c r="K1595" s="173"/>
      <c r="L1595" s="173"/>
      <c r="M1595" s="173"/>
      <c r="N1595" s="173"/>
      <c r="O1595" s="173"/>
      <c r="P1595" s="173"/>
    </row>
    <row r="1596" hidden="1">
      <c r="A1596" s="172"/>
      <c r="B1596" s="173"/>
      <c r="C1596" s="173"/>
      <c r="D1596" s="173"/>
      <c r="E1596" s="173"/>
      <c r="F1596" s="173"/>
      <c r="G1596" s="173"/>
      <c r="H1596" s="173"/>
      <c r="I1596" s="173"/>
      <c r="J1596" s="173"/>
      <c r="K1596" s="173"/>
      <c r="L1596" s="173"/>
      <c r="M1596" s="173"/>
      <c r="N1596" s="173"/>
      <c r="O1596" s="173"/>
      <c r="P1596" s="173"/>
    </row>
    <row r="1597" hidden="1">
      <c r="A1597" s="172"/>
      <c r="B1597" s="173"/>
      <c r="C1597" s="173"/>
      <c r="D1597" s="173"/>
      <c r="E1597" s="173"/>
      <c r="F1597" s="173"/>
      <c r="G1597" s="173"/>
      <c r="H1597" s="173"/>
      <c r="I1597" s="173"/>
      <c r="J1597" s="173"/>
      <c r="K1597" s="173"/>
      <c r="L1597" s="173"/>
      <c r="M1597" s="173"/>
      <c r="N1597" s="173"/>
      <c r="O1597" s="173"/>
      <c r="P1597" s="173"/>
    </row>
    <row r="1598" hidden="1">
      <c r="A1598" s="172"/>
      <c r="B1598" s="173"/>
      <c r="C1598" s="173"/>
      <c r="D1598" s="173"/>
      <c r="E1598" s="173"/>
      <c r="F1598" s="173"/>
      <c r="G1598" s="173"/>
      <c r="H1598" s="173"/>
      <c r="I1598" s="173"/>
      <c r="J1598" s="173"/>
      <c r="K1598" s="173"/>
      <c r="L1598" s="173"/>
      <c r="M1598" s="173"/>
      <c r="N1598" s="173"/>
      <c r="O1598" s="173"/>
      <c r="P1598" s="173"/>
    </row>
    <row r="1599" hidden="1">
      <c r="A1599" s="172"/>
      <c r="B1599" s="173"/>
      <c r="C1599" s="173"/>
      <c r="D1599" s="173"/>
      <c r="E1599" s="173"/>
      <c r="F1599" s="173"/>
      <c r="G1599" s="173"/>
      <c r="H1599" s="173"/>
      <c r="I1599" s="173"/>
      <c r="J1599" s="173"/>
      <c r="K1599" s="173"/>
      <c r="L1599" s="173"/>
      <c r="M1599" s="173"/>
      <c r="N1599" s="173"/>
      <c r="O1599" s="173"/>
      <c r="P1599" s="173"/>
    </row>
    <row r="1600" hidden="1">
      <c r="A1600" s="172"/>
      <c r="B1600" s="173"/>
      <c r="C1600" s="173"/>
      <c r="D1600" s="173"/>
      <c r="E1600" s="173"/>
      <c r="F1600" s="173"/>
      <c r="G1600" s="173"/>
      <c r="H1600" s="173"/>
      <c r="I1600" s="173"/>
      <c r="J1600" s="173"/>
      <c r="K1600" s="173"/>
      <c r="L1600" s="173"/>
      <c r="M1600" s="173"/>
      <c r="N1600" s="173"/>
      <c r="O1600" s="173"/>
      <c r="P1600" s="173"/>
    </row>
    <row r="1601" hidden="1">
      <c r="A1601" s="172"/>
      <c r="B1601" s="173"/>
      <c r="C1601" s="173"/>
      <c r="D1601" s="173"/>
      <c r="E1601" s="173"/>
      <c r="F1601" s="173"/>
      <c r="G1601" s="173"/>
      <c r="H1601" s="173"/>
      <c r="I1601" s="173"/>
      <c r="J1601" s="173"/>
      <c r="K1601" s="173"/>
      <c r="L1601" s="173"/>
      <c r="M1601" s="173"/>
      <c r="N1601" s="173"/>
      <c r="O1601" s="173"/>
      <c r="P1601" s="173"/>
    </row>
    <row r="1602" hidden="1">
      <c r="A1602" s="172"/>
      <c r="B1602" s="173"/>
      <c r="C1602" s="173"/>
      <c r="D1602" s="173"/>
      <c r="E1602" s="173"/>
      <c r="F1602" s="173"/>
      <c r="G1602" s="173"/>
      <c r="H1602" s="173"/>
      <c r="I1602" s="173"/>
      <c r="J1602" s="173"/>
      <c r="K1602" s="173"/>
      <c r="L1602" s="173"/>
      <c r="M1602" s="173"/>
      <c r="N1602" s="173"/>
      <c r="O1602" s="173"/>
      <c r="P1602" s="173"/>
    </row>
    <row r="1603" hidden="1">
      <c r="A1603" s="172"/>
      <c r="B1603" s="173"/>
      <c r="C1603" s="173"/>
      <c r="D1603" s="173"/>
      <c r="E1603" s="173"/>
      <c r="F1603" s="173"/>
      <c r="G1603" s="173"/>
      <c r="H1603" s="173"/>
      <c r="I1603" s="173"/>
      <c r="J1603" s="173"/>
      <c r="K1603" s="173"/>
      <c r="L1603" s="173"/>
      <c r="M1603" s="173"/>
      <c r="N1603" s="173"/>
      <c r="O1603" s="173"/>
      <c r="P1603" s="173"/>
    </row>
    <row r="1604" hidden="1">
      <c r="A1604" s="172"/>
      <c r="B1604" s="173"/>
      <c r="C1604" s="173"/>
      <c r="D1604" s="173"/>
      <c r="E1604" s="173"/>
      <c r="F1604" s="173"/>
      <c r="G1604" s="173"/>
      <c r="H1604" s="173"/>
      <c r="I1604" s="173"/>
      <c r="J1604" s="173"/>
      <c r="K1604" s="173"/>
      <c r="L1604" s="173"/>
      <c r="M1604" s="173"/>
      <c r="N1604" s="173"/>
      <c r="O1604" s="173"/>
      <c r="P1604" s="173"/>
    </row>
    <row r="1605" hidden="1">
      <c r="A1605" s="172"/>
      <c r="B1605" s="173"/>
      <c r="C1605" s="173"/>
      <c r="D1605" s="173"/>
      <c r="E1605" s="173"/>
      <c r="F1605" s="173"/>
      <c r="G1605" s="173"/>
      <c r="H1605" s="173"/>
      <c r="I1605" s="173"/>
      <c r="J1605" s="173"/>
      <c r="K1605" s="173"/>
      <c r="L1605" s="173"/>
      <c r="M1605" s="173"/>
      <c r="N1605" s="173"/>
      <c r="O1605" s="173"/>
      <c r="P1605" s="173"/>
    </row>
    <row r="1606" hidden="1">
      <c r="A1606" s="172"/>
      <c r="B1606" s="173"/>
      <c r="C1606" s="173"/>
      <c r="D1606" s="173"/>
      <c r="E1606" s="173"/>
      <c r="F1606" s="173"/>
      <c r="G1606" s="173"/>
      <c r="H1606" s="173"/>
      <c r="I1606" s="173"/>
      <c r="J1606" s="173"/>
      <c r="K1606" s="173"/>
      <c r="L1606" s="173"/>
      <c r="M1606" s="173"/>
      <c r="N1606" s="173"/>
      <c r="O1606" s="173"/>
      <c r="P1606" s="173"/>
    </row>
    <row r="1607" hidden="1">
      <c r="A1607" s="172"/>
      <c r="B1607" s="173"/>
      <c r="C1607" s="173"/>
      <c r="D1607" s="173"/>
      <c r="E1607" s="173"/>
      <c r="F1607" s="173"/>
      <c r="G1607" s="173"/>
      <c r="H1607" s="173"/>
      <c r="I1607" s="173"/>
      <c r="J1607" s="173"/>
      <c r="K1607" s="173"/>
      <c r="L1607" s="173"/>
      <c r="M1607" s="173"/>
      <c r="N1607" s="173"/>
      <c r="O1607" s="173"/>
      <c r="P1607" s="173"/>
    </row>
    <row r="1608" hidden="1">
      <c r="A1608" s="172"/>
      <c r="B1608" s="173"/>
      <c r="C1608" s="173"/>
      <c r="D1608" s="173"/>
      <c r="E1608" s="173"/>
      <c r="F1608" s="173"/>
      <c r="G1608" s="173"/>
      <c r="H1608" s="173"/>
      <c r="I1608" s="173"/>
      <c r="J1608" s="173"/>
      <c r="K1608" s="173"/>
      <c r="L1608" s="173"/>
      <c r="M1608" s="173"/>
      <c r="N1608" s="173"/>
      <c r="O1608" s="173"/>
      <c r="P1608" s="173"/>
    </row>
    <row r="1609" hidden="1">
      <c r="A1609" s="172"/>
      <c r="B1609" s="173"/>
      <c r="C1609" s="173"/>
      <c r="D1609" s="173"/>
      <c r="E1609" s="173"/>
      <c r="F1609" s="173"/>
      <c r="G1609" s="173"/>
      <c r="H1609" s="173"/>
      <c r="I1609" s="173"/>
      <c r="J1609" s="173"/>
      <c r="K1609" s="173"/>
      <c r="L1609" s="173"/>
      <c r="M1609" s="173"/>
      <c r="N1609" s="173"/>
      <c r="O1609" s="173"/>
      <c r="P1609" s="173"/>
    </row>
    <row r="1610" hidden="1">
      <c r="A1610" s="172"/>
      <c r="B1610" s="173"/>
      <c r="C1610" s="173"/>
      <c r="D1610" s="173"/>
      <c r="E1610" s="173"/>
      <c r="F1610" s="173"/>
      <c r="G1610" s="173"/>
      <c r="H1610" s="173"/>
      <c r="I1610" s="173"/>
      <c r="J1610" s="173"/>
      <c r="K1610" s="173"/>
      <c r="L1610" s="173"/>
      <c r="M1610" s="173"/>
      <c r="N1610" s="173"/>
      <c r="O1610" s="173"/>
      <c r="P1610" s="173"/>
    </row>
    <row r="1611" hidden="1">
      <c r="A1611" s="172"/>
      <c r="B1611" s="173"/>
      <c r="C1611" s="173"/>
      <c r="D1611" s="173"/>
      <c r="E1611" s="173"/>
      <c r="F1611" s="173"/>
      <c r="G1611" s="173"/>
      <c r="H1611" s="173"/>
      <c r="I1611" s="173"/>
      <c r="J1611" s="173"/>
      <c r="K1611" s="173"/>
      <c r="L1611" s="173"/>
      <c r="M1611" s="173"/>
      <c r="N1611" s="173"/>
      <c r="O1611" s="173"/>
      <c r="P1611" s="173"/>
    </row>
    <row r="1612" hidden="1">
      <c r="A1612" s="172"/>
      <c r="B1612" s="173"/>
      <c r="C1612" s="173"/>
      <c r="D1612" s="173"/>
      <c r="E1612" s="173"/>
      <c r="F1612" s="173"/>
      <c r="G1612" s="173"/>
      <c r="H1612" s="173"/>
      <c r="I1612" s="173"/>
      <c r="J1612" s="173"/>
      <c r="K1612" s="173"/>
      <c r="L1612" s="173"/>
      <c r="M1612" s="173"/>
      <c r="N1612" s="173"/>
      <c r="O1612" s="173"/>
      <c r="P1612" s="173"/>
    </row>
    <row r="1613" hidden="1">
      <c r="A1613" s="172"/>
      <c r="B1613" s="173"/>
      <c r="C1613" s="173"/>
      <c r="D1613" s="173"/>
      <c r="E1613" s="173"/>
      <c r="F1613" s="173"/>
      <c r="G1613" s="173"/>
      <c r="H1613" s="173"/>
      <c r="I1613" s="173"/>
      <c r="J1613" s="173"/>
      <c r="K1613" s="173"/>
      <c r="L1613" s="173"/>
      <c r="M1613" s="173"/>
      <c r="N1613" s="173"/>
      <c r="O1613" s="173"/>
      <c r="P1613" s="173"/>
    </row>
    <row r="1614" hidden="1">
      <c r="A1614" s="172"/>
      <c r="B1614" s="173"/>
      <c r="C1614" s="173"/>
      <c r="D1614" s="173"/>
      <c r="E1614" s="173"/>
      <c r="F1614" s="173"/>
      <c r="G1614" s="173"/>
      <c r="H1614" s="173"/>
      <c r="I1614" s="173"/>
      <c r="J1614" s="173"/>
      <c r="K1614" s="173"/>
      <c r="L1614" s="173"/>
      <c r="M1614" s="173"/>
      <c r="N1614" s="173"/>
      <c r="O1614" s="173"/>
      <c r="P1614" s="173"/>
    </row>
    <row r="1615" hidden="1">
      <c r="A1615" s="172"/>
      <c r="B1615" s="173"/>
      <c r="C1615" s="173"/>
      <c r="D1615" s="173"/>
      <c r="E1615" s="173"/>
      <c r="F1615" s="173"/>
      <c r="G1615" s="173"/>
      <c r="H1615" s="173"/>
      <c r="I1615" s="173"/>
      <c r="J1615" s="173"/>
      <c r="K1615" s="173"/>
      <c r="L1615" s="173"/>
      <c r="M1615" s="173"/>
      <c r="N1615" s="173"/>
      <c r="O1615" s="173"/>
      <c r="P1615" s="173"/>
    </row>
    <row r="1616" hidden="1">
      <c r="A1616" s="172"/>
      <c r="B1616" s="173"/>
      <c r="C1616" s="173"/>
      <c r="D1616" s="173"/>
      <c r="E1616" s="173"/>
      <c r="F1616" s="173"/>
      <c r="G1616" s="173"/>
      <c r="H1616" s="173"/>
      <c r="I1616" s="173"/>
      <c r="J1616" s="173"/>
      <c r="K1616" s="173"/>
      <c r="L1616" s="173"/>
      <c r="M1616" s="173"/>
      <c r="N1616" s="173"/>
      <c r="O1616" s="173"/>
      <c r="P1616" s="173"/>
    </row>
    <row r="1617" hidden="1">
      <c r="A1617" s="172"/>
      <c r="B1617" s="173"/>
      <c r="C1617" s="173"/>
      <c r="D1617" s="173"/>
      <c r="E1617" s="173"/>
      <c r="F1617" s="173"/>
      <c r="G1617" s="173"/>
      <c r="H1617" s="173"/>
      <c r="I1617" s="173"/>
      <c r="J1617" s="173"/>
      <c r="K1617" s="173"/>
      <c r="L1617" s="173"/>
      <c r="M1617" s="173"/>
      <c r="N1617" s="173"/>
      <c r="O1617" s="173"/>
      <c r="P1617" s="173"/>
    </row>
    <row r="1618" hidden="1">
      <c r="A1618" s="172"/>
      <c r="B1618" s="173"/>
      <c r="C1618" s="173"/>
      <c r="D1618" s="173"/>
      <c r="E1618" s="173"/>
      <c r="F1618" s="173"/>
      <c r="G1618" s="173"/>
      <c r="H1618" s="173"/>
      <c r="I1618" s="173"/>
      <c r="J1618" s="173"/>
      <c r="K1618" s="173"/>
      <c r="L1618" s="173"/>
      <c r="M1618" s="173"/>
      <c r="N1618" s="173"/>
      <c r="O1618" s="173"/>
      <c r="P1618" s="173"/>
    </row>
    <row r="1619" hidden="1">
      <c r="A1619" s="172"/>
      <c r="B1619" s="173"/>
      <c r="C1619" s="173"/>
      <c r="D1619" s="173"/>
      <c r="E1619" s="173"/>
      <c r="F1619" s="173"/>
      <c r="G1619" s="173"/>
      <c r="H1619" s="173"/>
      <c r="I1619" s="173"/>
      <c r="J1619" s="173"/>
      <c r="K1619" s="173"/>
      <c r="L1619" s="173"/>
      <c r="M1619" s="173"/>
      <c r="N1619" s="173"/>
      <c r="O1619" s="173"/>
      <c r="P1619" s="173"/>
    </row>
    <row r="1620" hidden="1">
      <c r="A1620" s="172"/>
      <c r="B1620" s="173"/>
      <c r="C1620" s="173"/>
      <c r="D1620" s="173"/>
      <c r="E1620" s="173"/>
      <c r="F1620" s="173"/>
      <c r="G1620" s="173"/>
      <c r="H1620" s="173"/>
      <c r="I1620" s="173"/>
      <c r="J1620" s="173"/>
      <c r="K1620" s="173"/>
      <c r="L1620" s="173"/>
      <c r="M1620" s="173"/>
      <c r="N1620" s="173"/>
      <c r="O1620" s="173"/>
      <c r="P1620" s="173"/>
    </row>
    <row r="1621" hidden="1">
      <c r="A1621" s="172"/>
      <c r="B1621" s="173"/>
      <c r="C1621" s="173"/>
      <c r="D1621" s="173"/>
      <c r="E1621" s="173"/>
      <c r="F1621" s="173"/>
      <c r="G1621" s="173"/>
      <c r="H1621" s="173"/>
      <c r="I1621" s="173"/>
      <c r="J1621" s="173"/>
      <c r="K1621" s="173"/>
      <c r="L1621" s="173"/>
      <c r="M1621" s="173"/>
      <c r="N1621" s="173"/>
      <c r="O1621" s="173"/>
      <c r="P1621" s="173"/>
    </row>
    <row r="1622" hidden="1">
      <c r="A1622" s="172"/>
      <c r="B1622" s="173"/>
      <c r="C1622" s="173"/>
      <c r="D1622" s="173"/>
      <c r="E1622" s="173"/>
      <c r="F1622" s="173"/>
      <c r="G1622" s="173"/>
      <c r="H1622" s="173"/>
      <c r="I1622" s="173"/>
      <c r="J1622" s="173"/>
      <c r="K1622" s="173"/>
      <c r="L1622" s="173"/>
      <c r="M1622" s="173"/>
      <c r="N1622" s="173"/>
      <c r="O1622" s="173"/>
      <c r="P1622" s="173"/>
    </row>
    <row r="1623" hidden="1">
      <c r="A1623" s="172"/>
      <c r="B1623" s="173"/>
      <c r="C1623" s="173"/>
      <c r="D1623" s="173"/>
      <c r="E1623" s="173"/>
      <c r="F1623" s="173"/>
      <c r="G1623" s="173"/>
      <c r="H1623" s="173"/>
      <c r="I1623" s="173"/>
      <c r="J1623" s="173"/>
      <c r="K1623" s="173"/>
      <c r="L1623" s="173"/>
      <c r="M1623" s="173"/>
      <c r="N1623" s="173"/>
      <c r="O1623" s="173"/>
      <c r="P1623" s="173"/>
    </row>
    <row r="1624" hidden="1">
      <c r="A1624" s="172"/>
      <c r="B1624" s="173"/>
      <c r="C1624" s="173"/>
      <c r="D1624" s="173"/>
      <c r="E1624" s="173"/>
      <c r="F1624" s="173"/>
      <c r="G1624" s="173"/>
      <c r="H1624" s="173"/>
      <c r="I1624" s="173"/>
      <c r="J1624" s="173"/>
      <c r="K1624" s="173"/>
      <c r="L1624" s="173"/>
      <c r="M1624" s="173"/>
      <c r="N1624" s="173"/>
      <c r="O1624" s="173"/>
      <c r="P1624" s="173"/>
    </row>
    <row r="1625" hidden="1">
      <c r="A1625" s="172"/>
      <c r="B1625" s="173"/>
      <c r="C1625" s="173"/>
      <c r="D1625" s="173"/>
      <c r="E1625" s="173"/>
      <c r="F1625" s="173"/>
      <c r="G1625" s="173"/>
      <c r="H1625" s="173"/>
      <c r="I1625" s="173"/>
      <c r="J1625" s="173"/>
      <c r="K1625" s="173"/>
      <c r="L1625" s="173"/>
      <c r="M1625" s="173"/>
      <c r="N1625" s="173"/>
      <c r="O1625" s="173"/>
      <c r="P1625" s="173"/>
    </row>
    <row r="1626" hidden="1">
      <c r="A1626" s="172"/>
      <c r="B1626" s="173"/>
      <c r="C1626" s="173"/>
      <c r="D1626" s="173"/>
      <c r="E1626" s="173"/>
      <c r="F1626" s="173"/>
      <c r="G1626" s="173"/>
      <c r="H1626" s="173"/>
      <c r="I1626" s="173"/>
      <c r="J1626" s="173"/>
      <c r="K1626" s="173"/>
      <c r="L1626" s="173"/>
      <c r="M1626" s="173"/>
      <c r="N1626" s="173"/>
      <c r="O1626" s="173"/>
      <c r="P1626" s="173"/>
    </row>
    <row r="1627" hidden="1">
      <c r="A1627" s="172"/>
      <c r="B1627" s="173"/>
      <c r="C1627" s="173"/>
      <c r="D1627" s="173"/>
      <c r="E1627" s="173"/>
      <c r="F1627" s="173"/>
      <c r="G1627" s="173"/>
      <c r="H1627" s="173"/>
      <c r="I1627" s="173"/>
      <c r="J1627" s="173"/>
      <c r="K1627" s="173"/>
      <c r="L1627" s="173"/>
      <c r="M1627" s="173"/>
      <c r="N1627" s="173"/>
      <c r="O1627" s="173"/>
      <c r="P1627" s="173"/>
    </row>
    <row r="1628" hidden="1">
      <c r="A1628" s="172"/>
      <c r="B1628" s="173"/>
      <c r="C1628" s="173"/>
      <c r="D1628" s="173"/>
      <c r="E1628" s="173"/>
      <c r="F1628" s="173"/>
      <c r="G1628" s="173"/>
      <c r="H1628" s="173"/>
      <c r="I1628" s="173"/>
      <c r="J1628" s="173"/>
      <c r="K1628" s="173"/>
      <c r="L1628" s="173"/>
      <c r="M1628" s="173"/>
      <c r="N1628" s="173"/>
      <c r="O1628" s="173"/>
      <c r="P1628" s="173"/>
    </row>
    <row r="1629" hidden="1">
      <c r="A1629" s="172"/>
      <c r="B1629" s="173"/>
      <c r="C1629" s="173"/>
      <c r="D1629" s="173"/>
      <c r="E1629" s="173"/>
      <c r="F1629" s="173"/>
      <c r="G1629" s="173"/>
      <c r="H1629" s="173"/>
      <c r="I1629" s="173"/>
      <c r="J1629" s="173"/>
      <c r="K1629" s="173"/>
      <c r="L1629" s="173"/>
      <c r="M1629" s="173"/>
      <c r="N1629" s="173"/>
      <c r="O1629" s="173"/>
      <c r="P1629" s="173"/>
    </row>
    <row r="1630" hidden="1">
      <c r="A1630" s="172"/>
      <c r="B1630" s="173"/>
      <c r="C1630" s="173"/>
      <c r="D1630" s="173"/>
      <c r="E1630" s="173"/>
      <c r="F1630" s="173"/>
      <c r="G1630" s="173"/>
      <c r="H1630" s="173"/>
      <c r="I1630" s="173"/>
      <c r="J1630" s="173"/>
      <c r="K1630" s="173"/>
      <c r="L1630" s="173"/>
      <c r="M1630" s="173"/>
      <c r="N1630" s="173"/>
      <c r="O1630" s="173"/>
      <c r="P1630" s="173"/>
    </row>
    <row r="1631" hidden="1">
      <c r="A1631" s="172"/>
      <c r="B1631" s="173"/>
      <c r="C1631" s="173"/>
      <c r="D1631" s="173"/>
      <c r="E1631" s="173"/>
      <c r="F1631" s="173"/>
      <c r="G1631" s="173"/>
      <c r="H1631" s="173"/>
      <c r="I1631" s="173"/>
      <c r="J1631" s="173"/>
      <c r="K1631" s="173"/>
      <c r="L1631" s="173"/>
      <c r="M1631" s="173"/>
      <c r="N1631" s="173"/>
      <c r="O1631" s="173"/>
      <c r="P1631" s="173"/>
    </row>
    <row r="1632" hidden="1">
      <c r="A1632" s="172"/>
      <c r="B1632" s="173"/>
      <c r="C1632" s="173"/>
      <c r="D1632" s="173"/>
      <c r="E1632" s="173"/>
      <c r="F1632" s="173"/>
      <c r="G1632" s="173"/>
      <c r="H1632" s="173"/>
      <c r="I1632" s="173"/>
      <c r="J1632" s="173"/>
      <c r="K1632" s="173"/>
      <c r="L1632" s="173"/>
      <c r="M1632" s="173"/>
      <c r="N1632" s="173"/>
      <c r="O1632" s="173"/>
      <c r="P1632" s="173"/>
    </row>
    <row r="1633" hidden="1">
      <c r="A1633" s="172"/>
      <c r="B1633" s="173"/>
      <c r="C1633" s="173"/>
      <c r="D1633" s="173"/>
      <c r="E1633" s="173"/>
      <c r="F1633" s="173"/>
      <c r="G1633" s="173"/>
      <c r="H1633" s="173"/>
      <c r="I1633" s="173"/>
      <c r="J1633" s="173"/>
      <c r="K1633" s="173"/>
      <c r="L1633" s="173"/>
      <c r="M1633" s="173"/>
      <c r="N1633" s="173"/>
      <c r="O1633" s="173"/>
      <c r="P1633" s="173"/>
    </row>
    <row r="1634" hidden="1">
      <c r="A1634" s="172"/>
      <c r="B1634" s="173"/>
      <c r="C1634" s="173"/>
      <c r="D1634" s="173"/>
      <c r="E1634" s="173"/>
      <c r="F1634" s="173"/>
      <c r="G1634" s="173"/>
      <c r="H1634" s="173"/>
      <c r="I1634" s="173"/>
      <c r="J1634" s="173"/>
      <c r="K1634" s="173"/>
      <c r="L1634" s="173"/>
      <c r="M1634" s="173"/>
      <c r="N1634" s="173"/>
      <c r="O1634" s="173"/>
      <c r="P1634" s="173"/>
    </row>
    <row r="1635" hidden="1">
      <c r="A1635" s="172"/>
      <c r="B1635" s="173"/>
      <c r="C1635" s="173"/>
      <c r="D1635" s="173"/>
      <c r="E1635" s="173"/>
      <c r="F1635" s="173"/>
      <c r="G1635" s="173"/>
      <c r="H1635" s="173"/>
      <c r="I1635" s="173"/>
      <c r="J1635" s="173"/>
      <c r="K1635" s="173"/>
      <c r="L1635" s="173"/>
      <c r="M1635" s="173"/>
      <c r="N1635" s="173"/>
      <c r="O1635" s="173"/>
      <c r="P1635" s="173"/>
    </row>
    <row r="1636" hidden="1">
      <c r="A1636" s="172"/>
      <c r="B1636" s="173"/>
      <c r="C1636" s="173"/>
      <c r="D1636" s="173"/>
      <c r="E1636" s="173"/>
      <c r="F1636" s="173"/>
      <c r="G1636" s="173"/>
      <c r="H1636" s="173"/>
      <c r="I1636" s="173"/>
      <c r="J1636" s="173"/>
      <c r="K1636" s="173"/>
      <c r="L1636" s="173"/>
      <c r="M1636" s="173"/>
      <c r="N1636" s="173"/>
      <c r="O1636" s="173"/>
      <c r="P1636" s="173"/>
    </row>
    <row r="1637" hidden="1">
      <c r="A1637" s="172"/>
      <c r="B1637" s="173"/>
      <c r="C1637" s="173"/>
      <c r="D1637" s="173"/>
      <c r="E1637" s="173"/>
      <c r="F1637" s="173"/>
      <c r="G1637" s="173"/>
      <c r="H1637" s="173"/>
      <c r="I1637" s="173"/>
      <c r="J1637" s="173"/>
      <c r="K1637" s="173"/>
      <c r="L1637" s="173"/>
      <c r="M1637" s="173"/>
      <c r="N1637" s="173"/>
      <c r="O1637" s="173"/>
      <c r="P1637" s="173"/>
    </row>
    <row r="1638" hidden="1">
      <c r="A1638" s="172"/>
      <c r="B1638" s="173"/>
      <c r="C1638" s="173"/>
      <c r="D1638" s="173"/>
      <c r="E1638" s="173"/>
      <c r="F1638" s="173"/>
      <c r="G1638" s="173"/>
      <c r="H1638" s="173"/>
      <c r="I1638" s="173"/>
      <c r="J1638" s="173"/>
      <c r="K1638" s="173"/>
      <c r="L1638" s="173"/>
      <c r="M1638" s="173"/>
      <c r="N1638" s="173"/>
      <c r="O1638" s="173"/>
      <c r="P1638" s="173"/>
    </row>
    <row r="1639" hidden="1">
      <c r="A1639" s="172"/>
      <c r="B1639" s="173"/>
      <c r="C1639" s="173"/>
      <c r="D1639" s="173"/>
      <c r="E1639" s="173"/>
      <c r="F1639" s="173"/>
      <c r="G1639" s="173"/>
      <c r="H1639" s="173"/>
      <c r="I1639" s="173"/>
      <c r="J1639" s="173"/>
      <c r="K1639" s="173"/>
      <c r="L1639" s="173"/>
      <c r="M1639" s="173"/>
      <c r="N1639" s="173"/>
      <c r="O1639" s="173"/>
      <c r="P1639" s="173"/>
    </row>
    <row r="1640" hidden="1">
      <c r="A1640" s="172"/>
      <c r="B1640" s="173"/>
      <c r="C1640" s="173"/>
      <c r="D1640" s="173"/>
      <c r="E1640" s="173"/>
      <c r="F1640" s="173"/>
      <c r="G1640" s="173"/>
      <c r="H1640" s="173"/>
      <c r="I1640" s="173"/>
      <c r="J1640" s="173"/>
      <c r="K1640" s="173"/>
      <c r="L1640" s="173"/>
      <c r="M1640" s="173"/>
      <c r="N1640" s="173"/>
      <c r="O1640" s="173"/>
      <c r="P1640" s="173"/>
    </row>
    <row r="1641" hidden="1">
      <c r="A1641" s="172"/>
      <c r="B1641" s="173"/>
      <c r="C1641" s="173"/>
      <c r="D1641" s="173"/>
      <c r="E1641" s="173"/>
      <c r="F1641" s="173"/>
      <c r="G1641" s="173"/>
      <c r="H1641" s="173"/>
      <c r="I1641" s="173"/>
      <c r="J1641" s="173"/>
      <c r="K1641" s="173"/>
      <c r="L1641" s="173"/>
      <c r="M1641" s="173"/>
      <c r="N1641" s="173"/>
      <c r="O1641" s="173"/>
      <c r="P1641" s="173"/>
    </row>
    <row r="1642" hidden="1">
      <c r="A1642" s="172"/>
      <c r="B1642" s="173"/>
      <c r="C1642" s="173"/>
      <c r="D1642" s="173"/>
      <c r="E1642" s="173"/>
      <c r="F1642" s="173"/>
      <c r="G1642" s="173"/>
      <c r="H1642" s="173"/>
      <c r="I1642" s="173"/>
      <c r="J1642" s="173"/>
      <c r="K1642" s="173"/>
      <c r="L1642" s="173"/>
      <c r="M1642" s="173"/>
      <c r="N1642" s="173"/>
      <c r="O1642" s="173"/>
      <c r="P1642" s="173"/>
    </row>
    <row r="1643" hidden="1">
      <c r="A1643" s="172"/>
      <c r="B1643" s="173"/>
      <c r="C1643" s="173"/>
      <c r="D1643" s="173"/>
      <c r="E1643" s="173"/>
      <c r="F1643" s="173"/>
      <c r="G1643" s="173"/>
      <c r="H1643" s="173"/>
      <c r="I1643" s="173"/>
      <c r="J1643" s="173"/>
      <c r="K1643" s="173"/>
      <c r="L1643" s="173"/>
      <c r="M1643" s="173"/>
      <c r="N1643" s="173"/>
      <c r="O1643" s="173"/>
      <c r="P1643" s="173"/>
    </row>
    <row r="1644" hidden="1">
      <c r="A1644" s="172"/>
      <c r="B1644" s="173"/>
      <c r="C1644" s="173"/>
      <c r="D1644" s="173"/>
      <c r="E1644" s="173"/>
      <c r="F1644" s="173"/>
      <c r="G1644" s="173"/>
      <c r="H1644" s="173"/>
      <c r="I1644" s="173"/>
      <c r="J1644" s="173"/>
      <c r="K1644" s="173"/>
      <c r="L1644" s="173"/>
      <c r="M1644" s="173"/>
      <c r="N1644" s="173"/>
      <c r="O1644" s="173"/>
      <c r="P1644" s="173"/>
    </row>
    <row r="1645" hidden="1">
      <c r="A1645" s="172"/>
      <c r="B1645" s="173"/>
      <c r="C1645" s="173"/>
      <c r="D1645" s="173"/>
      <c r="E1645" s="173"/>
      <c r="F1645" s="173"/>
      <c r="G1645" s="173"/>
      <c r="H1645" s="173"/>
      <c r="I1645" s="173"/>
      <c r="J1645" s="173"/>
      <c r="K1645" s="173"/>
      <c r="L1645" s="173"/>
      <c r="M1645" s="173"/>
      <c r="N1645" s="173"/>
      <c r="O1645" s="173"/>
      <c r="P1645" s="173"/>
    </row>
    <row r="1646" hidden="1">
      <c r="A1646" s="172"/>
      <c r="B1646" s="173"/>
      <c r="C1646" s="173"/>
      <c r="D1646" s="173"/>
      <c r="E1646" s="173"/>
      <c r="F1646" s="173"/>
      <c r="G1646" s="173"/>
      <c r="H1646" s="173"/>
      <c r="I1646" s="173"/>
      <c r="J1646" s="173"/>
      <c r="K1646" s="173"/>
      <c r="L1646" s="173"/>
      <c r="M1646" s="173"/>
      <c r="N1646" s="173"/>
      <c r="O1646" s="173"/>
      <c r="P1646" s="173"/>
    </row>
    <row r="1647" hidden="1">
      <c r="A1647" s="172"/>
      <c r="B1647" s="173"/>
      <c r="C1647" s="173"/>
      <c r="D1647" s="173"/>
      <c r="E1647" s="173"/>
      <c r="F1647" s="173"/>
      <c r="G1647" s="173"/>
      <c r="H1647" s="173"/>
      <c r="I1647" s="173"/>
      <c r="J1647" s="173"/>
      <c r="K1647" s="173"/>
      <c r="L1647" s="173"/>
      <c r="M1647" s="173"/>
      <c r="N1647" s="173"/>
      <c r="O1647" s="173"/>
      <c r="P1647" s="173"/>
    </row>
    <row r="1648" hidden="1">
      <c r="A1648" s="172"/>
      <c r="B1648" s="173"/>
      <c r="C1648" s="173"/>
      <c r="D1648" s="173"/>
      <c r="E1648" s="173"/>
      <c r="F1648" s="173"/>
      <c r="G1648" s="173"/>
      <c r="H1648" s="173"/>
      <c r="I1648" s="173"/>
      <c r="J1648" s="173"/>
      <c r="K1648" s="173"/>
      <c r="L1648" s="173"/>
      <c r="M1648" s="173"/>
      <c r="N1648" s="173"/>
      <c r="O1648" s="173"/>
      <c r="P1648" s="173"/>
    </row>
    <row r="1649" hidden="1">
      <c r="A1649" s="172"/>
      <c r="B1649" s="173"/>
      <c r="C1649" s="173"/>
      <c r="D1649" s="173"/>
      <c r="E1649" s="173"/>
      <c r="F1649" s="173"/>
      <c r="G1649" s="173"/>
      <c r="H1649" s="173"/>
      <c r="I1649" s="173"/>
      <c r="J1649" s="173"/>
      <c r="K1649" s="173"/>
      <c r="L1649" s="173"/>
      <c r="M1649" s="173"/>
      <c r="N1649" s="173"/>
      <c r="O1649" s="173"/>
      <c r="P1649" s="173"/>
    </row>
    <row r="1650" hidden="1">
      <c r="A1650" s="172"/>
      <c r="B1650" s="173"/>
      <c r="C1650" s="173"/>
      <c r="D1650" s="173"/>
      <c r="E1650" s="173"/>
      <c r="F1650" s="173"/>
      <c r="G1650" s="173"/>
      <c r="H1650" s="173"/>
      <c r="I1650" s="173"/>
      <c r="J1650" s="173"/>
      <c r="K1650" s="173"/>
      <c r="L1650" s="173"/>
      <c r="M1650" s="173"/>
      <c r="N1650" s="173"/>
      <c r="O1650" s="173"/>
      <c r="P1650" s="173"/>
    </row>
    <row r="1651" hidden="1">
      <c r="A1651" s="172"/>
      <c r="B1651" s="173"/>
      <c r="C1651" s="173"/>
      <c r="D1651" s="173"/>
      <c r="E1651" s="173"/>
      <c r="F1651" s="173"/>
      <c r="G1651" s="173"/>
      <c r="H1651" s="173"/>
      <c r="I1651" s="173"/>
      <c r="J1651" s="173"/>
      <c r="K1651" s="173"/>
      <c r="L1651" s="173"/>
      <c r="M1651" s="173"/>
      <c r="N1651" s="173"/>
      <c r="O1651" s="173"/>
      <c r="P1651" s="173"/>
    </row>
    <row r="1652" hidden="1">
      <c r="A1652" s="172"/>
      <c r="B1652" s="173"/>
      <c r="C1652" s="173"/>
      <c r="D1652" s="173"/>
      <c r="E1652" s="173"/>
      <c r="F1652" s="173"/>
      <c r="G1652" s="173"/>
      <c r="H1652" s="173"/>
      <c r="I1652" s="173"/>
      <c r="J1652" s="173"/>
      <c r="K1652" s="173"/>
      <c r="L1652" s="173"/>
      <c r="M1652" s="173"/>
      <c r="N1652" s="173"/>
      <c r="O1652" s="173"/>
      <c r="P1652" s="173"/>
    </row>
    <row r="1653" hidden="1">
      <c r="A1653" s="172"/>
      <c r="B1653" s="173"/>
      <c r="C1653" s="173"/>
      <c r="D1653" s="173"/>
      <c r="E1653" s="173"/>
      <c r="F1653" s="173"/>
      <c r="G1653" s="173"/>
      <c r="H1653" s="173"/>
      <c r="I1653" s="173"/>
      <c r="J1653" s="173"/>
      <c r="K1653" s="173"/>
      <c r="L1653" s="173"/>
      <c r="M1653" s="173"/>
      <c r="N1653" s="173"/>
      <c r="O1653" s="173"/>
      <c r="P1653" s="173"/>
    </row>
    <row r="1654" hidden="1">
      <c r="A1654" s="172"/>
      <c r="B1654" s="173"/>
      <c r="C1654" s="173"/>
      <c r="D1654" s="173"/>
      <c r="E1654" s="173"/>
      <c r="F1654" s="173"/>
      <c r="G1654" s="173"/>
      <c r="H1654" s="173"/>
      <c r="I1654" s="173"/>
      <c r="J1654" s="173"/>
      <c r="K1654" s="173"/>
      <c r="L1654" s="173"/>
      <c r="M1654" s="173"/>
      <c r="N1654" s="173"/>
      <c r="O1654" s="173"/>
      <c r="P1654" s="173"/>
    </row>
    <row r="1655" hidden="1">
      <c r="A1655" s="172"/>
      <c r="B1655" s="173"/>
      <c r="C1655" s="173"/>
      <c r="D1655" s="173"/>
      <c r="E1655" s="173"/>
      <c r="F1655" s="173"/>
      <c r="G1655" s="173"/>
      <c r="H1655" s="173"/>
      <c r="I1655" s="173"/>
      <c r="J1655" s="173"/>
      <c r="K1655" s="173"/>
      <c r="L1655" s="173"/>
      <c r="M1655" s="173"/>
      <c r="N1655" s="173"/>
      <c r="O1655" s="173"/>
      <c r="P1655" s="173"/>
    </row>
    <row r="1656" hidden="1">
      <c r="A1656" s="172"/>
      <c r="B1656" s="173"/>
      <c r="C1656" s="173"/>
      <c r="D1656" s="173"/>
      <c r="E1656" s="173"/>
      <c r="F1656" s="173"/>
      <c r="G1656" s="173"/>
      <c r="H1656" s="173"/>
      <c r="I1656" s="173"/>
      <c r="J1656" s="173"/>
      <c r="K1656" s="173"/>
      <c r="L1656" s="173"/>
      <c r="M1656" s="173"/>
      <c r="N1656" s="173"/>
      <c r="O1656" s="173"/>
      <c r="P1656" s="173"/>
    </row>
    <row r="1657" hidden="1">
      <c r="A1657" s="172"/>
      <c r="B1657" s="173"/>
      <c r="C1657" s="173"/>
      <c r="D1657" s="173"/>
      <c r="E1657" s="173"/>
      <c r="F1657" s="173"/>
      <c r="G1657" s="173"/>
      <c r="H1657" s="173"/>
      <c r="I1657" s="173"/>
      <c r="J1657" s="173"/>
      <c r="K1657" s="173"/>
      <c r="L1657" s="173"/>
      <c r="M1657" s="173"/>
      <c r="N1657" s="173"/>
      <c r="O1657" s="173"/>
      <c r="P1657" s="173"/>
    </row>
    <row r="1658" hidden="1">
      <c r="A1658" s="172"/>
      <c r="B1658" s="173"/>
      <c r="C1658" s="173"/>
      <c r="D1658" s="173"/>
      <c r="E1658" s="173"/>
      <c r="F1658" s="173"/>
      <c r="G1658" s="173"/>
      <c r="H1658" s="173"/>
      <c r="I1658" s="173"/>
      <c r="J1658" s="173"/>
      <c r="K1658" s="173"/>
      <c r="L1658" s="173"/>
      <c r="M1658" s="173"/>
      <c r="N1658" s="173"/>
      <c r="O1658" s="173"/>
      <c r="P1658" s="173"/>
    </row>
    <row r="1659" hidden="1">
      <c r="A1659" s="172"/>
      <c r="B1659" s="173"/>
      <c r="C1659" s="173"/>
      <c r="D1659" s="173"/>
      <c r="E1659" s="173"/>
      <c r="F1659" s="173"/>
      <c r="G1659" s="173"/>
      <c r="H1659" s="173"/>
      <c r="I1659" s="173"/>
      <c r="J1659" s="173"/>
      <c r="K1659" s="173"/>
      <c r="L1659" s="173"/>
      <c r="M1659" s="173"/>
      <c r="N1659" s="173"/>
      <c r="O1659" s="173"/>
      <c r="P1659" s="173"/>
    </row>
    <row r="1660" hidden="1">
      <c r="A1660" s="172"/>
      <c r="B1660" s="173"/>
      <c r="C1660" s="173"/>
      <c r="D1660" s="173"/>
      <c r="E1660" s="173"/>
      <c r="F1660" s="173"/>
      <c r="G1660" s="173"/>
      <c r="H1660" s="173"/>
      <c r="I1660" s="173"/>
      <c r="J1660" s="173"/>
      <c r="K1660" s="173"/>
      <c r="L1660" s="173"/>
      <c r="M1660" s="173"/>
      <c r="N1660" s="173"/>
      <c r="O1660" s="173"/>
      <c r="P1660" s="173"/>
    </row>
    <row r="1661" hidden="1">
      <c r="A1661" s="172"/>
      <c r="B1661" s="173"/>
      <c r="C1661" s="173"/>
      <c r="D1661" s="173"/>
      <c r="E1661" s="173"/>
      <c r="F1661" s="173"/>
      <c r="G1661" s="173"/>
      <c r="H1661" s="173"/>
      <c r="I1661" s="173"/>
      <c r="J1661" s="173"/>
      <c r="K1661" s="173"/>
      <c r="L1661" s="173"/>
      <c r="M1661" s="173"/>
      <c r="N1661" s="173"/>
      <c r="O1661" s="173"/>
      <c r="P1661" s="173"/>
    </row>
    <row r="1662" hidden="1">
      <c r="A1662" s="172"/>
      <c r="B1662" s="173"/>
      <c r="C1662" s="173"/>
      <c r="D1662" s="173"/>
      <c r="E1662" s="173"/>
      <c r="F1662" s="173"/>
      <c r="G1662" s="173"/>
      <c r="H1662" s="173"/>
      <c r="I1662" s="173"/>
      <c r="J1662" s="173"/>
      <c r="K1662" s="173"/>
      <c r="L1662" s="173"/>
      <c r="M1662" s="173"/>
      <c r="N1662" s="173"/>
      <c r="O1662" s="173"/>
      <c r="P1662" s="173"/>
    </row>
    <row r="1663" hidden="1">
      <c r="A1663" s="172"/>
      <c r="B1663" s="173"/>
      <c r="C1663" s="173"/>
      <c r="D1663" s="173"/>
      <c r="E1663" s="173"/>
      <c r="F1663" s="173"/>
      <c r="G1663" s="173"/>
      <c r="H1663" s="173"/>
      <c r="I1663" s="173"/>
      <c r="J1663" s="173"/>
      <c r="K1663" s="173"/>
      <c r="L1663" s="173"/>
      <c r="M1663" s="173"/>
      <c r="N1663" s="173"/>
      <c r="O1663" s="173"/>
      <c r="P1663" s="173"/>
    </row>
    <row r="1664" hidden="1">
      <c r="A1664" s="172"/>
      <c r="B1664" s="173"/>
      <c r="C1664" s="173"/>
      <c r="D1664" s="173"/>
      <c r="E1664" s="173"/>
      <c r="F1664" s="173"/>
      <c r="G1664" s="173"/>
      <c r="H1664" s="173"/>
      <c r="I1664" s="173"/>
      <c r="J1664" s="173"/>
      <c r="K1664" s="173"/>
      <c r="L1664" s="173"/>
      <c r="M1664" s="173"/>
      <c r="N1664" s="173"/>
      <c r="O1664" s="173"/>
      <c r="P1664" s="173"/>
    </row>
    <row r="1665" hidden="1">
      <c r="A1665" s="172"/>
      <c r="B1665" s="173"/>
      <c r="C1665" s="173"/>
      <c r="D1665" s="173"/>
      <c r="E1665" s="173"/>
      <c r="F1665" s="173"/>
      <c r="G1665" s="173"/>
      <c r="H1665" s="173"/>
      <c r="I1665" s="173"/>
      <c r="J1665" s="173"/>
      <c r="K1665" s="173"/>
      <c r="L1665" s="173"/>
      <c r="M1665" s="173"/>
      <c r="N1665" s="173"/>
      <c r="O1665" s="173"/>
      <c r="P1665" s="173"/>
    </row>
    <row r="1666" hidden="1">
      <c r="A1666" s="172"/>
      <c r="B1666" s="173"/>
      <c r="C1666" s="173"/>
      <c r="D1666" s="173"/>
      <c r="E1666" s="173"/>
      <c r="F1666" s="173"/>
      <c r="G1666" s="173"/>
      <c r="H1666" s="173"/>
      <c r="I1666" s="173"/>
      <c r="J1666" s="173"/>
      <c r="K1666" s="173"/>
      <c r="L1666" s="173"/>
      <c r="M1666" s="173"/>
      <c r="N1666" s="173"/>
      <c r="O1666" s="173"/>
      <c r="P1666" s="173"/>
    </row>
    <row r="1667" hidden="1">
      <c r="A1667" s="172"/>
      <c r="B1667" s="173"/>
      <c r="C1667" s="173"/>
      <c r="D1667" s="173"/>
      <c r="E1667" s="173"/>
      <c r="F1667" s="173"/>
      <c r="G1667" s="173"/>
      <c r="H1667" s="173"/>
      <c r="I1667" s="173"/>
      <c r="J1667" s="173"/>
      <c r="K1667" s="173"/>
      <c r="L1667" s="173"/>
      <c r="M1667" s="173"/>
      <c r="N1667" s="173"/>
      <c r="O1667" s="173"/>
      <c r="P1667" s="173"/>
    </row>
    <row r="1668" hidden="1">
      <c r="A1668" s="172"/>
      <c r="B1668" s="173"/>
      <c r="C1668" s="173"/>
      <c r="D1668" s="173"/>
      <c r="E1668" s="173"/>
      <c r="F1668" s="173"/>
      <c r="G1668" s="173"/>
      <c r="H1668" s="173"/>
      <c r="I1668" s="173"/>
      <c r="J1668" s="173"/>
      <c r="K1668" s="173"/>
      <c r="L1668" s="173"/>
      <c r="M1668" s="173"/>
      <c r="N1668" s="173"/>
      <c r="O1668" s="173"/>
      <c r="P1668" s="173"/>
    </row>
    <row r="1669" hidden="1">
      <c r="A1669" s="172"/>
      <c r="B1669" s="173"/>
      <c r="C1669" s="173"/>
      <c r="D1669" s="173"/>
      <c r="E1669" s="173"/>
      <c r="F1669" s="173"/>
      <c r="G1669" s="173"/>
      <c r="H1669" s="173"/>
      <c r="I1669" s="173"/>
      <c r="J1669" s="173"/>
      <c r="K1669" s="173"/>
      <c r="L1669" s="173"/>
      <c r="M1669" s="173"/>
      <c r="N1669" s="173"/>
      <c r="O1669" s="173"/>
      <c r="P1669" s="173"/>
    </row>
    <row r="1670" hidden="1">
      <c r="A1670" s="172"/>
      <c r="B1670" s="173"/>
      <c r="C1670" s="173"/>
      <c r="D1670" s="173"/>
      <c r="E1670" s="173"/>
      <c r="F1670" s="173"/>
      <c r="G1670" s="173"/>
      <c r="H1670" s="173"/>
      <c r="I1670" s="173"/>
      <c r="J1670" s="173"/>
      <c r="K1670" s="173"/>
      <c r="L1670" s="173"/>
      <c r="M1670" s="173"/>
      <c r="N1670" s="173"/>
      <c r="O1670" s="173"/>
      <c r="P1670" s="173"/>
    </row>
    <row r="1671" hidden="1">
      <c r="A1671" s="172"/>
      <c r="B1671" s="173"/>
      <c r="C1671" s="173"/>
      <c r="D1671" s="173"/>
      <c r="E1671" s="173"/>
      <c r="F1671" s="173"/>
      <c r="G1671" s="173"/>
      <c r="H1671" s="173"/>
      <c r="I1671" s="173"/>
      <c r="J1671" s="173"/>
      <c r="K1671" s="173"/>
      <c r="L1671" s="173"/>
      <c r="M1671" s="173"/>
      <c r="N1671" s="173"/>
      <c r="O1671" s="173"/>
      <c r="P1671" s="173"/>
    </row>
    <row r="1672" hidden="1">
      <c r="A1672" s="172"/>
      <c r="B1672" s="173"/>
      <c r="C1672" s="173"/>
      <c r="D1672" s="173"/>
      <c r="E1672" s="173"/>
      <c r="F1672" s="173"/>
      <c r="G1672" s="173"/>
      <c r="H1672" s="173"/>
      <c r="I1672" s="173"/>
      <c r="J1672" s="173"/>
      <c r="K1672" s="173"/>
      <c r="L1672" s="173"/>
      <c r="M1672" s="173"/>
      <c r="N1672" s="173"/>
      <c r="O1672" s="173"/>
      <c r="P1672" s="173"/>
    </row>
    <row r="1673" hidden="1">
      <c r="A1673" s="172"/>
      <c r="B1673" s="173"/>
      <c r="C1673" s="173"/>
      <c r="D1673" s="173"/>
      <c r="E1673" s="173"/>
      <c r="F1673" s="173"/>
      <c r="G1673" s="173"/>
      <c r="H1673" s="173"/>
      <c r="I1673" s="173"/>
      <c r="J1673" s="173"/>
      <c r="K1673" s="173"/>
      <c r="L1673" s="173"/>
      <c r="M1673" s="173"/>
      <c r="N1673" s="173"/>
      <c r="O1673" s="173"/>
      <c r="P1673" s="173"/>
    </row>
    <row r="1674" hidden="1">
      <c r="A1674" s="172"/>
      <c r="B1674" s="173"/>
      <c r="C1674" s="173"/>
      <c r="D1674" s="173"/>
      <c r="E1674" s="173"/>
      <c r="F1674" s="173"/>
      <c r="G1674" s="173"/>
      <c r="H1674" s="173"/>
      <c r="I1674" s="173"/>
      <c r="J1674" s="173"/>
      <c r="K1674" s="173"/>
      <c r="L1674" s="173"/>
      <c r="M1674" s="173"/>
      <c r="N1674" s="173"/>
      <c r="O1674" s="173"/>
      <c r="P1674" s="173"/>
    </row>
    <row r="1675" hidden="1">
      <c r="A1675" s="172"/>
      <c r="B1675" s="173"/>
      <c r="C1675" s="173"/>
      <c r="D1675" s="173"/>
      <c r="E1675" s="173"/>
      <c r="F1675" s="173"/>
      <c r="G1675" s="173"/>
      <c r="H1675" s="173"/>
      <c r="I1675" s="173"/>
      <c r="J1675" s="173"/>
      <c r="K1675" s="173"/>
      <c r="L1675" s="173"/>
      <c r="M1675" s="173"/>
      <c r="N1675" s="173"/>
      <c r="O1675" s="173"/>
      <c r="P1675" s="173"/>
    </row>
    <row r="1676" hidden="1">
      <c r="A1676" s="172"/>
      <c r="B1676" s="173"/>
      <c r="C1676" s="173"/>
      <c r="D1676" s="173"/>
      <c r="E1676" s="173"/>
      <c r="F1676" s="173"/>
      <c r="G1676" s="173"/>
      <c r="H1676" s="173"/>
      <c r="I1676" s="173"/>
      <c r="J1676" s="173"/>
      <c r="K1676" s="173"/>
      <c r="L1676" s="173"/>
      <c r="M1676" s="173"/>
      <c r="N1676" s="173"/>
      <c r="O1676" s="173"/>
      <c r="P1676" s="173"/>
    </row>
    <row r="1677" hidden="1">
      <c r="A1677" s="172"/>
      <c r="B1677" s="173"/>
      <c r="C1677" s="173"/>
      <c r="D1677" s="173"/>
      <c r="E1677" s="173"/>
      <c r="F1677" s="173"/>
      <c r="G1677" s="173"/>
      <c r="H1677" s="173"/>
      <c r="I1677" s="173"/>
      <c r="J1677" s="173"/>
      <c r="K1677" s="173"/>
      <c r="L1677" s="173"/>
      <c r="M1677" s="173"/>
      <c r="N1677" s="173"/>
      <c r="O1677" s="173"/>
      <c r="P1677" s="173"/>
    </row>
    <row r="1678" hidden="1">
      <c r="A1678" s="172"/>
      <c r="B1678" s="173"/>
      <c r="C1678" s="173"/>
      <c r="D1678" s="173"/>
      <c r="E1678" s="173"/>
      <c r="F1678" s="173"/>
      <c r="G1678" s="173"/>
      <c r="H1678" s="173"/>
      <c r="I1678" s="173"/>
      <c r="J1678" s="173"/>
      <c r="K1678" s="173"/>
      <c r="L1678" s="173"/>
      <c r="M1678" s="173"/>
      <c r="N1678" s="173"/>
      <c r="O1678" s="173"/>
      <c r="P1678" s="173"/>
    </row>
    <row r="1679" hidden="1">
      <c r="A1679" s="172"/>
      <c r="B1679" s="173"/>
      <c r="C1679" s="173"/>
      <c r="D1679" s="173"/>
      <c r="E1679" s="173"/>
      <c r="F1679" s="173"/>
      <c r="G1679" s="173"/>
      <c r="H1679" s="173"/>
      <c r="I1679" s="173"/>
      <c r="J1679" s="173"/>
      <c r="K1679" s="173"/>
      <c r="L1679" s="173"/>
      <c r="M1679" s="173"/>
      <c r="N1679" s="173"/>
      <c r="O1679" s="173"/>
      <c r="P1679" s="173"/>
    </row>
    <row r="1680" hidden="1">
      <c r="A1680" s="172"/>
      <c r="B1680" s="173"/>
      <c r="C1680" s="173"/>
      <c r="D1680" s="173"/>
      <c r="E1680" s="173"/>
      <c r="F1680" s="173"/>
      <c r="G1680" s="173"/>
      <c r="H1680" s="173"/>
      <c r="I1680" s="173"/>
      <c r="J1680" s="173"/>
      <c r="K1680" s="173"/>
      <c r="L1680" s="173"/>
      <c r="M1680" s="173"/>
      <c r="N1680" s="173"/>
      <c r="O1680" s="173"/>
      <c r="P1680" s="173"/>
    </row>
    <row r="1681" hidden="1">
      <c r="A1681" s="172"/>
      <c r="B1681" s="173"/>
      <c r="C1681" s="173"/>
      <c r="D1681" s="173"/>
      <c r="E1681" s="173"/>
      <c r="F1681" s="173"/>
      <c r="G1681" s="173"/>
      <c r="H1681" s="173"/>
      <c r="I1681" s="173"/>
      <c r="J1681" s="173"/>
      <c r="K1681" s="173"/>
      <c r="L1681" s="173"/>
      <c r="M1681" s="173"/>
      <c r="N1681" s="173"/>
      <c r="O1681" s="173"/>
      <c r="P1681" s="173"/>
    </row>
    <row r="1682" hidden="1">
      <c r="A1682" s="172"/>
      <c r="B1682" s="173"/>
      <c r="C1682" s="173"/>
      <c r="D1682" s="173"/>
      <c r="E1682" s="173"/>
      <c r="F1682" s="173"/>
      <c r="G1682" s="173"/>
      <c r="H1682" s="173"/>
      <c r="I1682" s="173"/>
      <c r="J1682" s="173"/>
      <c r="K1682" s="173"/>
      <c r="L1682" s="173"/>
      <c r="M1682" s="173"/>
      <c r="N1682" s="173"/>
      <c r="O1682" s="173"/>
      <c r="P1682" s="173"/>
    </row>
    <row r="1683" hidden="1">
      <c r="A1683" s="172"/>
      <c r="B1683" s="173"/>
      <c r="C1683" s="173"/>
      <c r="D1683" s="173"/>
      <c r="E1683" s="173"/>
      <c r="F1683" s="173"/>
      <c r="G1683" s="173"/>
      <c r="H1683" s="173"/>
      <c r="I1683" s="173"/>
      <c r="J1683" s="173"/>
      <c r="K1683" s="173"/>
      <c r="L1683" s="173"/>
      <c r="M1683" s="173"/>
      <c r="N1683" s="173"/>
      <c r="O1683" s="173"/>
      <c r="P1683" s="173"/>
    </row>
    <row r="1684" hidden="1">
      <c r="A1684" s="172"/>
      <c r="B1684" s="173"/>
      <c r="C1684" s="173"/>
      <c r="D1684" s="173"/>
      <c r="E1684" s="173"/>
      <c r="F1684" s="173"/>
      <c r="G1684" s="173"/>
      <c r="H1684" s="173"/>
      <c r="I1684" s="173"/>
      <c r="J1684" s="173"/>
      <c r="K1684" s="173"/>
      <c r="L1684" s="173"/>
      <c r="M1684" s="173"/>
      <c r="N1684" s="173"/>
      <c r="O1684" s="173"/>
      <c r="P1684" s="173"/>
    </row>
    <row r="1685" hidden="1">
      <c r="A1685" s="172"/>
      <c r="B1685" s="173"/>
      <c r="C1685" s="173"/>
      <c r="D1685" s="173"/>
      <c r="E1685" s="173"/>
      <c r="F1685" s="173"/>
      <c r="G1685" s="173"/>
      <c r="H1685" s="173"/>
      <c r="I1685" s="173"/>
      <c r="J1685" s="173"/>
      <c r="K1685" s="173"/>
      <c r="L1685" s="173"/>
      <c r="M1685" s="173"/>
      <c r="N1685" s="173"/>
      <c r="O1685" s="173"/>
      <c r="P1685" s="173"/>
    </row>
    <row r="1686" hidden="1">
      <c r="A1686" s="172"/>
      <c r="B1686" s="173"/>
      <c r="C1686" s="173"/>
      <c r="D1686" s="173"/>
      <c r="E1686" s="173"/>
      <c r="F1686" s="173"/>
      <c r="G1686" s="173"/>
      <c r="H1686" s="173"/>
      <c r="I1686" s="173"/>
      <c r="J1686" s="173"/>
      <c r="K1686" s="173"/>
      <c r="L1686" s="173"/>
      <c r="M1686" s="173"/>
      <c r="N1686" s="173"/>
      <c r="O1686" s="173"/>
      <c r="P1686" s="173"/>
    </row>
    <row r="1687" hidden="1">
      <c r="A1687" s="172"/>
      <c r="B1687" s="173"/>
      <c r="C1687" s="173"/>
      <c r="D1687" s="173"/>
      <c r="E1687" s="173"/>
      <c r="F1687" s="173"/>
      <c r="G1687" s="173"/>
      <c r="H1687" s="173"/>
      <c r="I1687" s="173"/>
      <c r="J1687" s="173"/>
      <c r="K1687" s="173"/>
      <c r="L1687" s="173"/>
      <c r="M1687" s="173"/>
      <c r="N1687" s="173"/>
      <c r="O1687" s="173"/>
      <c r="P1687" s="173"/>
    </row>
    <row r="1688" hidden="1">
      <c r="A1688" s="172"/>
      <c r="B1688" s="173"/>
      <c r="C1688" s="173"/>
      <c r="D1688" s="173"/>
      <c r="E1688" s="173"/>
      <c r="F1688" s="173"/>
      <c r="G1688" s="173"/>
      <c r="H1688" s="173"/>
      <c r="I1688" s="173"/>
      <c r="J1688" s="173"/>
      <c r="K1688" s="173"/>
      <c r="L1688" s="173"/>
      <c r="M1688" s="173"/>
      <c r="N1688" s="173"/>
      <c r="O1688" s="173"/>
      <c r="P1688" s="173"/>
    </row>
    <row r="1689" hidden="1">
      <c r="A1689" s="172"/>
      <c r="B1689" s="173"/>
      <c r="C1689" s="173"/>
      <c r="D1689" s="173"/>
      <c r="E1689" s="173"/>
      <c r="F1689" s="173"/>
      <c r="G1689" s="173"/>
      <c r="H1689" s="173"/>
      <c r="I1689" s="173"/>
      <c r="J1689" s="173"/>
      <c r="K1689" s="173"/>
      <c r="L1689" s="173"/>
      <c r="M1689" s="173"/>
      <c r="N1689" s="173"/>
      <c r="O1689" s="173"/>
      <c r="P1689" s="173"/>
    </row>
    <row r="1690" hidden="1">
      <c r="A1690" s="172"/>
      <c r="B1690" s="173"/>
      <c r="C1690" s="173"/>
      <c r="D1690" s="173"/>
      <c r="E1690" s="173"/>
      <c r="F1690" s="173"/>
      <c r="G1690" s="173"/>
      <c r="H1690" s="173"/>
      <c r="I1690" s="173"/>
      <c r="J1690" s="173"/>
      <c r="K1690" s="173"/>
      <c r="L1690" s="173"/>
      <c r="M1690" s="173"/>
      <c r="N1690" s="173"/>
      <c r="O1690" s="173"/>
      <c r="P1690" s="173"/>
    </row>
    <row r="1691" hidden="1">
      <c r="A1691" s="172"/>
      <c r="B1691" s="173"/>
      <c r="C1691" s="173"/>
      <c r="D1691" s="173"/>
      <c r="E1691" s="173"/>
      <c r="F1691" s="173"/>
      <c r="G1691" s="173"/>
      <c r="H1691" s="173"/>
      <c r="I1691" s="173"/>
      <c r="J1691" s="173"/>
      <c r="K1691" s="173"/>
      <c r="L1691" s="173"/>
      <c r="M1691" s="173"/>
      <c r="N1691" s="173"/>
      <c r="O1691" s="173"/>
      <c r="P1691" s="173"/>
    </row>
    <row r="1692" hidden="1">
      <c r="A1692" s="172"/>
      <c r="B1692" s="173"/>
      <c r="C1692" s="173"/>
      <c r="D1692" s="173"/>
      <c r="E1692" s="173"/>
      <c r="F1692" s="173"/>
      <c r="G1692" s="173"/>
      <c r="H1692" s="173"/>
      <c r="I1692" s="173"/>
      <c r="J1692" s="173"/>
      <c r="K1692" s="173"/>
      <c r="L1692" s="173"/>
      <c r="M1692" s="173"/>
      <c r="N1692" s="173"/>
      <c r="O1692" s="173"/>
      <c r="P1692" s="173"/>
    </row>
    <row r="1693" hidden="1">
      <c r="A1693" s="172"/>
      <c r="B1693" s="173"/>
      <c r="C1693" s="173"/>
      <c r="D1693" s="173"/>
      <c r="E1693" s="173"/>
      <c r="F1693" s="173"/>
      <c r="G1693" s="173"/>
      <c r="H1693" s="173"/>
      <c r="I1693" s="173"/>
      <c r="J1693" s="173"/>
      <c r="K1693" s="173"/>
      <c r="L1693" s="173"/>
      <c r="M1693" s="173"/>
      <c r="N1693" s="173"/>
      <c r="O1693" s="173"/>
      <c r="P1693" s="173"/>
    </row>
    <row r="1694" hidden="1">
      <c r="A1694" s="172"/>
      <c r="B1694" s="173"/>
      <c r="C1694" s="173"/>
      <c r="D1694" s="173"/>
      <c r="E1694" s="173"/>
      <c r="F1694" s="173"/>
      <c r="G1694" s="173"/>
      <c r="H1694" s="173"/>
      <c r="I1694" s="173"/>
      <c r="J1694" s="173"/>
      <c r="K1694" s="173"/>
      <c r="L1694" s="173"/>
      <c r="M1694" s="173"/>
      <c r="N1694" s="173"/>
      <c r="O1694" s="173"/>
      <c r="P1694" s="173"/>
    </row>
    <row r="1695" hidden="1">
      <c r="A1695" s="172"/>
      <c r="B1695" s="173"/>
      <c r="C1695" s="173"/>
      <c r="D1695" s="173"/>
      <c r="E1695" s="173"/>
      <c r="F1695" s="173"/>
      <c r="G1695" s="173"/>
      <c r="H1695" s="173"/>
      <c r="I1695" s="173"/>
      <c r="J1695" s="173"/>
      <c r="K1695" s="173"/>
      <c r="L1695" s="173"/>
      <c r="M1695" s="173"/>
      <c r="N1695" s="173"/>
      <c r="O1695" s="173"/>
      <c r="P1695" s="173"/>
    </row>
    <row r="1696" hidden="1">
      <c r="A1696" s="172"/>
      <c r="B1696" s="173"/>
      <c r="C1696" s="173"/>
      <c r="D1696" s="173"/>
      <c r="E1696" s="173"/>
      <c r="F1696" s="173"/>
      <c r="G1696" s="173"/>
      <c r="H1696" s="173"/>
      <c r="I1696" s="173"/>
      <c r="J1696" s="173"/>
      <c r="K1696" s="173"/>
      <c r="L1696" s="173"/>
      <c r="M1696" s="173"/>
      <c r="N1696" s="173"/>
      <c r="O1696" s="173"/>
      <c r="P1696" s="173"/>
    </row>
    <row r="1697" hidden="1">
      <c r="A1697" s="172"/>
      <c r="B1697" s="173"/>
      <c r="C1697" s="173"/>
      <c r="D1697" s="173"/>
      <c r="E1697" s="173"/>
      <c r="F1697" s="173"/>
      <c r="G1697" s="173"/>
      <c r="H1697" s="173"/>
      <c r="I1697" s="173"/>
      <c r="J1697" s="173"/>
      <c r="K1697" s="173"/>
      <c r="L1697" s="173"/>
      <c r="M1697" s="173"/>
      <c r="N1697" s="173"/>
      <c r="O1697" s="173"/>
      <c r="P1697" s="173"/>
    </row>
    <row r="1698" hidden="1">
      <c r="A1698" s="172"/>
      <c r="B1698" s="173"/>
      <c r="C1698" s="173"/>
      <c r="D1698" s="173"/>
      <c r="E1698" s="173"/>
      <c r="F1698" s="173"/>
      <c r="G1698" s="173"/>
      <c r="H1698" s="173"/>
      <c r="I1698" s="173"/>
      <c r="J1698" s="173"/>
      <c r="K1698" s="173"/>
      <c r="L1698" s="173"/>
      <c r="M1698" s="173"/>
      <c r="N1698" s="173"/>
      <c r="O1698" s="173"/>
      <c r="P1698" s="173"/>
    </row>
    <row r="1699" hidden="1">
      <c r="A1699" s="172"/>
      <c r="B1699" s="173"/>
      <c r="C1699" s="173"/>
      <c r="D1699" s="173"/>
      <c r="E1699" s="173"/>
      <c r="F1699" s="173"/>
      <c r="G1699" s="173"/>
      <c r="H1699" s="173"/>
      <c r="I1699" s="173"/>
      <c r="J1699" s="173"/>
      <c r="K1699" s="173"/>
      <c r="L1699" s="173"/>
      <c r="M1699" s="173"/>
      <c r="N1699" s="173"/>
      <c r="O1699" s="173"/>
      <c r="P1699" s="173"/>
    </row>
    <row r="1700" hidden="1">
      <c r="A1700" s="172"/>
      <c r="B1700" s="173"/>
      <c r="C1700" s="173"/>
      <c r="D1700" s="173"/>
      <c r="E1700" s="173"/>
      <c r="F1700" s="173"/>
      <c r="G1700" s="173"/>
      <c r="H1700" s="173"/>
      <c r="I1700" s="173"/>
      <c r="J1700" s="173"/>
      <c r="K1700" s="173"/>
      <c r="L1700" s="173"/>
      <c r="M1700" s="173"/>
      <c r="N1700" s="173"/>
      <c r="O1700" s="173"/>
      <c r="P1700" s="173"/>
    </row>
    <row r="1701" hidden="1">
      <c r="A1701" s="172"/>
      <c r="B1701" s="173"/>
      <c r="C1701" s="173"/>
      <c r="D1701" s="173"/>
      <c r="E1701" s="173"/>
      <c r="F1701" s="173"/>
      <c r="G1701" s="173"/>
      <c r="H1701" s="173"/>
      <c r="I1701" s="173"/>
      <c r="J1701" s="173"/>
      <c r="K1701" s="173"/>
      <c r="L1701" s="173"/>
      <c r="M1701" s="173"/>
      <c r="N1701" s="173"/>
      <c r="O1701" s="173"/>
      <c r="P1701" s="173"/>
    </row>
    <row r="1702" hidden="1">
      <c r="A1702" s="172"/>
      <c r="B1702" s="173"/>
      <c r="C1702" s="173"/>
      <c r="D1702" s="173"/>
      <c r="E1702" s="173"/>
      <c r="F1702" s="173"/>
      <c r="G1702" s="173"/>
      <c r="H1702" s="173"/>
      <c r="I1702" s="173"/>
      <c r="J1702" s="173"/>
      <c r="K1702" s="173"/>
      <c r="L1702" s="173"/>
      <c r="M1702" s="173"/>
      <c r="N1702" s="173"/>
      <c r="O1702" s="173"/>
      <c r="P1702" s="173"/>
    </row>
    <row r="1703" hidden="1">
      <c r="A1703" s="172"/>
      <c r="B1703" s="173"/>
      <c r="C1703" s="173"/>
      <c r="D1703" s="173"/>
      <c r="E1703" s="173"/>
      <c r="F1703" s="173"/>
      <c r="G1703" s="173"/>
      <c r="H1703" s="173"/>
      <c r="I1703" s="173"/>
      <c r="J1703" s="173"/>
      <c r="K1703" s="173"/>
      <c r="L1703" s="173"/>
      <c r="M1703" s="173"/>
      <c r="N1703" s="173"/>
      <c r="O1703" s="173"/>
      <c r="P1703" s="173"/>
    </row>
    <row r="1704" hidden="1">
      <c r="A1704" s="172"/>
      <c r="B1704" s="173"/>
      <c r="C1704" s="173"/>
      <c r="D1704" s="173"/>
      <c r="E1704" s="173"/>
      <c r="F1704" s="173"/>
      <c r="G1704" s="173"/>
      <c r="H1704" s="173"/>
      <c r="I1704" s="173"/>
      <c r="J1704" s="173"/>
      <c r="K1704" s="173"/>
      <c r="L1704" s="173"/>
      <c r="M1704" s="173"/>
      <c r="N1704" s="173"/>
      <c r="O1704" s="173"/>
      <c r="P1704" s="173"/>
    </row>
    <row r="1705" hidden="1">
      <c r="A1705" s="172"/>
      <c r="B1705" s="173"/>
      <c r="C1705" s="173"/>
      <c r="D1705" s="173"/>
      <c r="E1705" s="173"/>
      <c r="F1705" s="173"/>
      <c r="G1705" s="173"/>
      <c r="H1705" s="173"/>
      <c r="I1705" s="173"/>
      <c r="J1705" s="173"/>
      <c r="K1705" s="173"/>
      <c r="L1705" s="173"/>
      <c r="M1705" s="173"/>
      <c r="N1705" s="173"/>
      <c r="O1705" s="173"/>
      <c r="P1705" s="173"/>
    </row>
    <row r="1706" hidden="1">
      <c r="A1706" s="172"/>
      <c r="B1706" s="173"/>
      <c r="C1706" s="173"/>
      <c r="D1706" s="173"/>
      <c r="E1706" s="173"/>
      <c r="F1706" s="173"/>
      <c r="G1706" s="173"/>
      <c r="H1706" s="173"/>
      <c r="I1706" s="173"/>
      <c r="J1706" s="173"/>
      <c r="K1706" s="173"/>
      <c r="L1706" s="173"/>
      <c r="M1706" s="173"/>
      <c r="N1706" s="173"/>
      <c r="O1706" s="173"/>
      <c r="P1706" s="173"/>
    </row>
    <row r="1707" hidden="1">
      <c r="A1707" s="172"/>
      <c r="B1707" s="173"/>
      <c r="C1707" s="173"/>
      <c r="D1707" s="173"/>
      <c r="E1707" s="173"/>
      <c r="F1707" s="173"/>
      <c r="G1707" s="173"/>
      <c r="H1707" s="173"/>
      <c r="I1707" s="173"/>
      <c r="J1707" s="173"/>
      <c r="K1707" s="173"/>
      <c r="L1707" s="173"/>
      <c r="M1707" s="173"/>
      <c r="N1707" s="173"/>
      <c r="O1707" s="173"/>
      <c r="P1707" s="173"/>
    </row>
    <row r="1708" hidden="1">
      <c r="A1708" s="172"/>
      <c r="B1708" s="173"/>
      <c r="C1708" s="173"/>
      <c r="D1708" s="173"/>
      <c r="E1708" s="173"/>
      <c r="F1708" s="173"/>
      <c r="G1708" s="173"/>
      <c r="H1708" s="173"/>
      <c r="I1708" s="173"/>
      <c r="J1708" s="173"/>
      <c r="K1708" s="173"/>
      <c r="L1708" s="173"/>
      <c r="M1708" s="173"/>
      <c r="N1708" s="173"/>
      <c r="O1708" s="173"/>
      <c r="P1708" s="173"/>
    </row>
    <row r="1709" hidden="1">
      <c r="A1709" s="172"/>
      <c r="B1709" s="173"/>
      <c r="C1709" s="173"/>
      <c r="D1709" s="173"/>
      <c r="E1709" s="173"/>
      <c r="F1709" s="173"/>
      <c r="G1709" s="173"/>
      <c r="H1709" s="173"/>
      <c r="I1709" s="173"/>
      <c r="J1709" s="173"/>
      <c r="K1709" s="173"/>
      <c r="L1709" s="173"/>
      <c r="M1709" s="173"/>
      <c r="N1709" s="173"/>
      <c r="O1709" s="173"/>
      <c r="P1709" s="173"/>
    </row>
    <row r="1710" hidden="1">
      <c r="A1710" s="172"/>
      <c r="B1710" s="173"/>
      <c r="C1710" s="173"/>
      <c r="D1710" s="173"/>
      <c r="E1710" s="173"/>
      <c r="F1710" s="173"/>
      <c r="G1710" s="173"/>
      <c r="H1710" s="173"/>
      <c r="I1710" s="173"/>
      <c r="J1710" s="173"/>
      <c r="K1710" s="173"/>
      <c r="L1710" s="173"/>
      <c r="M1710" s="173"/>
      <c r="N1710" s="173"/>
      <c r="O1710" s="173"/>
      <c r="P1710" s="173"/>
    </row>
    <row r="1711" hidden="1">
      <c r="A1711" s="172"/>
      <c r="B1711" s="173"/>
      <c r="C1711" s="173"/>
      <c r="D1711" s="173"/>
      <c r="E1711" s="173"/>
      <c r="F1711" s="173"/>
      <c r="G1711" s="173"/>
      <c r="H1711" s="173"/>
      <c r="I1711" s="173"/>
      <c r="J1711" s="173"/>
      <c r="K1711" s="173"/>
      <c r="L1711" s="173"/>
      <c r="M1711" s="173"/>
      <c r="N1711" s="173"/>
      <c r="O1711" s="173"/>
      <c r="P1711" s="173"/>
    </row>
    <row r="1712" hidden="1">
      <c r="A1712" s="172"/>
      <c r="B1712" s="173"/>
      <c r="C1712" s="173"/>
      <c r="D1712" s="173"/>
      <c r="E1712" s="173"/>
      <c r="F1712" s="173"/>
      <c r="G1712" s="173"/>
      <c r="H1712" s="173"/>
      <c r="I1712" s="173"/>
      <c r="J1712" s="173"/>
      <c r="K1712" s="173"/>
      <c r="L1712" s="173"/>
      <c r="M1712" s="173"/>
      <c r="N1712" s="173"/>
      <c r="O1712" s="173"/>
      <c r="P1712" s="173"/>
    </row>
    <row r="1713" hidden="1">
      <c r="A1713" s="172"/>
      <c r="B1713" s="173"/>
      <c r="C1713" s="173"/>
      <c r="D1713" s="173"/>
      <c r="E1713" s="173"/>
      <c r="F1713" s="173"/>
      <c r="G1713" s="173"/>
      <c r="H1713" s="173"/>
      <c r="I1713" s="173"/>
      <c r="J1713" s="173"/>
      <c r="K1713" s="173"/>
      <c r="L1713" s="173"/>
      <c r="M1713" s="173"/>
      <c r="N1713" s="173"/>
      <c r="O1713" s="173"/>
      <c r="P1713" s="173"/>
    </row>
    <row r="1714" hidden="1">
      <c r="A1714" s="172"/>
      <c r="B1714" s="173"/>
      <c r="C1714" s="173"/>
      <c r="D1714" s="173"/>
      <c r="E1714" s="173"/>
      <c r="F1714" s="173"/>
      <c r="G1714" s="173"/>
      <c r="H1714" s="173"/>
      <c r="I1714" s="173"/>
      <c r="J1714" s="173"/>
      <c r="K1714" s="173"/>
      <c r="L1714" s="173"/>
      <c r="M1714" s="173"/>
      <c r="N1714" s="173"/>
      <c r="O1714" s="173"/>
      <c r="P1714" s="173"/>
    </row>
    <row r="1715" hidden="1">
      <c r="A1715" s="172"/>
      <c r="B1715" s="173"/>
      <c r="C1715" s="173"/>
      <c r="D1715" s="173"/>
      <c r="E1715" s="173"/>
      <c r="F1715" s="173"/>
      <c r="G1715" s="173"/>
      <c r="H1715" s="173"/>
      <c r="I1715" s="173"/>
      <c r="J1715" s="173"/>
      <c r="K1715" s="173"/>
      <c r="L1715" s="173"/>
      <c r="M1715" s="173"/>
      <c r="N1715" s="173"/>
      <c r="O1715" s="173"/>
      <c r="P1715" s="173"/>
    </row>
    <row r="1716" hidden="1">
      <c r="A1716" s="172"/>
      <c r="B1716" s="173"/>
      <c r="C1716" s="173"/>
      <c r="D1716" s="173"/>
      <c r="E1716" s="173"/>
      <c r="F1716" s="173"/>
      <c r="G1716" s="173"/>
      <c r="H1716" s="173"/>
      <c r="I1716" s="173"/>
      <c r="J1716" s="173"/>
      <c r="K1716" s="173"/>
      <c r="L1716" s="173"/>
      <c r="M1716" s="173"/>
      <c r="N1716" s="173"/>
      <c r="O1716" s="173"/>
      <c r="P1716" s="173"/>
    </row>
    <row r="1717" hidden="1">
      <c r="A1717" s="172"/>
      <c r="B1717" s="173"/>
      <c r="C1717" s="173"/>
      <c r="D1717" s="173"/>
      <c r="E1717" s="173"/>
      <c r="F1717" s="173"/>
      <c r="G1717" s="173"/>
      <c r="H1717" s="173"/>
      <c r="I1717" s="173"/>
      <c r="J1717" s="173"/>
      <c r="K1717" s="173"/>
      <c r="L1717" s="173"/>
      <c r="M1717" s="173"/>
      <c r="N1717" s="173"/>
      <c r="O1717" s="173"/>
      <c r="P1717" s="173"/>
    </row>
    <row r="1718" hidden="1">
      <c r="A1718" s="172"/>
      <c r="B1718" s="173"/>
      <c r="C1718" s="173"/>
      <c r="D1718" s="173"/>
      <c r="E1718" s="173"/>
      <c r="F1718" s="173"/>
      <c r="G1718" s="173"/>
      <c r="H1718" s="173"/>
      <c r="I1718" s="173"/>
      <c r="J1718" s="173"/>
      <c r="K1718" s="173"/>
      <c r="L1718" s="173"/>
      <c r="M1718" s="173"/>
      <c r="N1718" s="173"/>
      <c r="O1718" s="173"/>
      <c r="P1718" s="173"/>
    </row>
    <row r="1719" hidden="1">
      <c r="A1719" s="172"/>
      <c r="B1719" s="173"/>
      <c r="C1719" s="173"/>
      <c r="D1719" s="173"/>
      <c r="E1719" s="173"/>
      <c r="F1719" s="173"/>
      <c r="G1719" s="173"/>
      <c r="H1719" s="173"/>
      <c r="I1719" s="173"/>
      <c r="J1719" s="173"/>
      <c r="K1719" s="173"/>
      <c r="L1719" s="173"/>
      <c r="M1719" s="173"/>
      <c r="N1719" s="173"/>
      <c r="O1719" s="173"/>
      <c r="P1719" s="173"/>
    </row>
    <row r="1720" hidden="1">
      <c r="A1720" s="172"/>
      <c r="B1720" s="173"/>
      <c r="C1720" s="173"/>
      <c r="D1720" s="173"/>
      <c r="E1720" s="173"/>
      <c r="F1720" s="173"/>
      <c r="G1720" s="173"/>
      <c r="H1720" s="173"/>
      <c r="I1720" s="173"/>
      <c r="J1720" s="173"/>
      <c r="K1720" s="173"/>
      <c r="L1720" s="173"/>
      <c r="M1720" s="173"/>
      <c r="N1720" s="173"/>
      <c r="O1720" s="173"/>
      <c r="P1720" s="173"/>
    </row>
    <row r="1721" hidden="1">
      <c r="A1721" s="172"/>
      <c r="B1721" s="173"/>
      <c r="C1721" s="173"/>
      <c r="D1721" s="173"/>
      <c r="E1721" s="173"/>
      <c r="F1721" s="173"/>
      <c r="G1721" s="173"/>
      <c r="H1721" s="173"/>
      <c r="I1721" s="173"/>
      <c r="J1721" s="173"/>
      <c r="K1721" s="173"/>
      <c r="L1721" s="173"/>
      <c r="M1721" s="173"/>
      <c r="N1721" s="173"/>
      <c r="O1721" s="173"/>
      <c r="P1721" s="173"/>
    </row>
    <row r="1722" hidden="1">
      <c r="A1722" s="172"/>
      <c r="B1722" s="173"/>
      <c r="C1722" s="173"/>
      <c r="D1722" s="173"/>
      <c r="E1722" s="173"/>
      <c r="F1722" s="173"/>
      <c r="G1722" s="173"/>
      <c r="H1722" s="173"/>
      <c r="I1722" s="173"/>
      <c r="J1722" s="173"/>
      <c r="K1722" s="173"/>
      <c r="L1722" s="173"/>
      <c r="M1722" s="173"/>
      <c r="N1722" s="173"/>
      <c r="O1722" s="173"/>
      <c r="P1722" s="173"/>
    </row>
    <row r="1723" hidden="1">
      <c r="A1723" s="172"/>
      <c r="B1723" s="173"/>
      <c r="C1723" s="173"/>
      <c r="D1723" s="173"/>
      <c r="E1723" s="173"/>
      <c r="F1723" s="173"/>
      <c r="G1723" s="173"/>
      <c r="H1723" s="173"/>
      <c r="I1723" s="173"/>
      <c r="J1723" s="173"/>
      <c r="K1723" s="173"/>
      <c r="L1723" s="173"/>
      <c r="M1723" s="173"/>
      <c r="N1723" s="173"/>
      <c r="O1723" s="173"/>
      <c r="P1723" s="173"/>
    </row>
    <row r="1724" hidden="1">
      <c r="A1724" s="172"/>
      <c r="B1724" s="173"/>
      <c r="C1724" s="173"/>
      <c r="D1724" s="173"/>
      <c r="E1724" s="173"/>
      <c r="F1724" s="173"/>
      <c r="G1724" s="173"/>
      <c r="H1724" s="173"/>
      <c r="I1724" s="173"/>
      <c r="J1724" s="173"/>
      <c r="K1724" s="173"/>
      <c r="L1724" s="173"/>
      <c r="M1724" s="173"/>
      <c r="N1724" s="173"/>
      <c r="O1724" s="173"/>
      <c r="P1724" s="173"/>
    </row>
    <row r="1725" hidden="1">
      <c r="A1725" s="172"/>
      <c r="B1725" s="173"/>
      <c r="C1725" s="173"/>
      <c r="D1725" s="173"/>
      <c r="E1725" s="173"/>
      <c r="F1725" s="173"/>
      <c r="G1725" s="173"/>
      <c r="H1725" s="173"/>
      <c r="I1725" s="173"/>
      <c r="J1725" s="173"/>
      <c r="K1725" s="173"/>
      <c r="L1725" s="173"/>
      <c r="M1725" s="173"/>
      <c r="N1725" s="173"/>
      <c r="O1725" s="173"/>
      <c r="P1725" s="173"/>
    </row>
    <row r="1726" hidden="1">
      <c r="A1726" s="172"/>
      <c r="B1726" s="173"/>
      <c r="C1726" s="173"/>
      <c r="D1726" s="173"/>
      <c r="E1726" s="173"/>
      <c r="F1726" s="173"/>
      <c r="G1726" s="173"/>
      <c r="H1726" s="173"/>
      <c r="I1726" s="173"/>
      <c r="J1726" s="173"/>
      <c r="K1726" s="173"/>
      <c r="L1726" s="173"/>
      <c r="M1726" s="173"/>
      <c r="N1726" s="173"/>
      <c r="O1726" s="173"/>
      <c r="P1726" s="173"/>
    </row>
    <row r="1727" hidden="1">
      <c r="A1727" s="172"/>
      <c r="B1727" s="173"/>
      <c r="C1727" s="173"/>
      <c r="D1727" s="173"/>
      <c r="E1727" s="173"/>
      <c r="F1727" s="173"/>
      <c r="G1727" s="173"/>
      <c r="H1727" s="173"/>
      <c r="I1727" s="173"/>
      <c r="J1727" s="173"/>
      <c r="K1727" s="173"/>
      <c r="L1727" s="173"/>
      <c r="M1727" s="173"/>
      <c r="N1727" s="173"/>
      <c r="O1727" s="173"/>
      <c r="P1727" s="173"/>
    </row>
    <row r="1728" hidden="1">
      <c r="A1728" s="172"/>
      <c r="B1728" s="173"/>
      <c r="C1728" s="173"/>
      <c r="D1728" s="173"/>
      <c r="E1728" s="173"/>
      <c r="F1728" s="173"/>
      <c r="G1728" s="173"/>
      <c r="H1728" s="173"/>
      <c r="I1728" s="173"/>
      <c r="J1728" s="173"/>
      <c r="K1728" s="173"/>
      <c r="L1728" s="173"/>
      <c r="M1728" s="173"/>
      <c r="N1728" s="173"/>
      <c r="O1728" s="173"/>
      <c r="P1728" s="173"/>
    </row>
    <row r="1729" hidden="1">
      <c r="A1729" s="172"/>
      <c r="B1729" s="173"/>
      <c r="C1729" s="173"/>
      <c r="D1729" s="173"/>
      <c r="E1729" s="173"/>
      <c r="F1729" s="173"/>
      <c r="G1729" s="173"/>
      <c r="H1729" s="173"/>
      <c r="I1729" s="173"/>
      <c r="J1729" s="173"/>
      <c r="K1729" s="173"/>
      <c r="L1729" s="173"/>
      <c r="M1729" s="173"/>
      <c r="N1729" s="173"/>
      <c r="O1729" s="173"/>
      <c r="P1729" s="173"/>
    </row>
    <row r="1730" hidden="1">
      <c r="A1730" s="172"/>
      <c r="B1730" s="173"/>
      <c r="C1730" s="173"/>
      <c r="D1730" s="173"/>
      <c r="E1730" s="173"/>
      <c r="F1730" s="173"/>
      <c r="G1730" s="173"/>
      <c r="H1730" s="173"/>
      <c r="I1730" s="173"/>
      <c r="J1730" s="173"/>
      <c r="K1730" s="173"/>
      <c r="L1730" s="173"/>
      <c r="M1730" s="173"/>
      <c r="N1730" s="173"/>
      <c r="O1730" s="173"/>
      <c r="P1730" s="173"/>
    </row>
    <row r="1731" hidden="1">
      <c r="A1731" s="172"/>
      <c r="B1731" s="173"/>
      <c r="C1731" s="173"/>
      <c r="D1731" s="173"/>
      <c r="E1731" s="173"/>
      <c r="F1731" s="173"/>
      <c r="G1731" s="173"/>
      <c r="H1731" s="173"/>
      <c r="I1731" s="173"/>
      <c r="J1731" s="173"/>
      <c r="K1731" s="173"/>
      <c r="L1731" s="173"/>
      <c r="M1731" s="173"/>
      <c r="N1731" s="173"/>
      <c r="O1731" s="173"/>
      <c r="P1731" s="173"/>
    </row>
    <row r="1732" hidden="1">
      <c r="A1732" s="172"/>
      <c r="B1732" s="173"/>
      <c r="C1732" s="173"/>
      <c r="D1732" s="173"/>
      <c r="E1732" s="173"/>
      <c r="F1732" s="173"/>
      <c r="G1732" s="173"/>
      <c r="H1732" s="173"/>
      <c r="I1732" s="173"/>
      <c r="J1732" s="173"/>
      <c r="K1732" s="173"/>
      <c r="L1732" s="173"/>
      <c r="M1732" s="173"/>
      <c r="N1732" s="173"/>
      <c r="O1732" s="173"/>
      <c r="P1732" s="173"/>
    </row>
    <row r="1733" hidden="1">
      <c r="A1733" s="172"/>
      <c r="B1733" s="173"/>
      <c r="C1733" s="173"/>
      <c r="D1733" s="173"/>
      <c r="E1733" s="173"/>
      <c r="F1733" s="173"/>
      <c r="G1733" s="173"/>
      <c r="H1733" s="173"/>
      <c r="I1733" s="173"/>
      <c r="J1733" s="173"/>
      <c r="K1733" s="173"/>
      <c r="L1733" s="173"/>
      <c r="M1733" s="173"/>
      <c r="N1733" s="173"/>
      <c r="O1733" s="173"/>
      <c r="P1733" s="173"/>
    </row>
    <row r="1734" hidden="1">
      <c r="A1734" s="172"/>
      <c r="B1734" s="173"/>
      <c r="C1734" s="173"/>
      <c r="D1734" s="173"/>
      <c r="E1734" s="173"/>
      <c r="F1734" s="173"/>
      <c r="G1734" s="173"/>
      <c r="H1734" s="173"/>
      <c r="I1734" s="173"/>
      <c r="J1734" s="173"/>
      <c r="K1734" s="173"/>
      <c r="L1734" s="173"/>
      <c r="M1734" s="173"/>
      <c r="N1734" s="173"/>
      <c r="O1734" s="173"/>
      <c r="P1734" s="173"/>
    </row>
    <row r="1735" hidden="1">
      <c r="A1735" s="172"/>
      <c r="B1735" s="173"/>
      <c r="C1735" s="173"/>
      <c r="D1735" s="173"/>
      <c r="E1735" s="173"/>
      <c r="F1735" s="173"/>
      <c r="G1735" s="173"/>
      <c r="H1735" s="173"/>
      <c r="I1735" s="173"/>
      <c r="J1735" s="173"/>
      <c r="K1735" s="173"/>
      <c r="L1735" s="173"/>
      <c r="M1735" s="173"/>
      <c r="N1735" s="173"/>
      <c r="O1735" s="173"/>
      <c r="P1735" s="173"/>
    </row>
    <row r="1736" hidden="1">
      <c r="A1736" s="172"/>
      <c r="B1736" s="173"/>
      <c r="C1736" s="173"/>
      <c r="D1736" s="173"/>
      <c r="E1736" s="173"/>
      <c r="F1736" s="173"/>
      <c r="G1736" s="173"/>
      <c r="H1736" s="173"/>
      <c r="I1736" s="173"/>
      <c r="J1736" s="173"/>
      <c r="K1736" s="173"/>
      <c r="L1736" s="173"/>
      <c r="M1736" s="173"/>
      <c r="N1736" s="173"/>
      <c r="O1736" s="173"/>
      <c r="P1736" s="173"/>
    </row>
    <row r="1737" hidden="1">
      <c r="A1737" s="172"/>
      <c r="B1737" s="173"/>
      <c r="C1737" s="173"/>
      <c r="D1737" s="173"/>
      <c r="E1737" s="173"/>
      <c r="F1737" s="173"/>
      <c r="G1737" s="173"/>
      <c r="H1737" s="173"/>
      <c r="I1737" s="173"/>
      <c r="J1737" s="173"/>
      <c r="K1737" s="173"/>
      <c r="L1737" s="173"/>
      <c r="M1737" s="173"/>
      <c r="N1737" s="173"/>
      <c r="O1737" s="173"/>
      <c r="P1737" s="173"/>
    </row>
    <row r="1738" hidden="1">
      <c r="A1738" s="172"/>
      <c r="B1738" s="173"/>
      <c r="C1738" s="173"/>
      <c r="D1738" s="173"/>
      <c r="E1738" s="173"/>
      <c r="F1738" s="173"/>
      <c r="G1738" s="173"/>
      <c r="H1738" s="173"/>
      <c r="I1738" s="173"/>
      <c r="J1738" s="173"/>
      <c r="K1738" s="173"/>
      <c r="L1738" s="173"/>
      <c r="M1738" s="173"/>
      <c r="N1738" s="173"/>
      <c r="O1738" s="173"/>
      <c r="P1738" s="173"/>
    </row>
    <row r="1739" hidden="1">
      <c r="A1739" s="172"/>
      <c r="B1739" s="173"/>
      <c r="C1739" s="173"/>
      <c r="D1739" s="173"/>
      <c r="E1739" s="173"/>
      <c r="F1739" s="173"/>
      <c r="G1739" s="173"/>
      <c r="H1739" s="173"/>
      <c r="I1739" s="173"/>
      <c r="J1739" s="173"/>
      <c r="K1739" s="173"/>
      <c r="L1739" s="173"/>
      <c r="M1739" s="173"/>
      <c r="N1739" s="173"/>
      <c r="O1739" s="173"/>
      <c r="P1739" s="173"/>
    </row>
    <row r="1740" hidden="1">
      <c r="A1740" s="172"/>
      <c r="B1740" s="173"/>
      <c r="C1740" s="173"/>
      <c r="D1740" s="173"/>
      <c r="E1740" s="173"/>
      <c r="F1740" s="173"/>
      <c r="G1740" s="173"/>
      <c r="H1740" s="173"/>
      <c r="I1740" s="173"/>
      <c r="J1740" s="173"/>
      <c r="K1740" s="173"/>
      <c r="L1740" s="173"/>
      <c r="M1740" s="173"/>
      <c r="N1740" s="173"/>
      <c r="O1740" s="173"/>
      <c r="P1740" s="173"/>
    </row>
    <row r="1741" hidden="1">
      <c r="A1741" s="172"/>
      <c r="B1741" s="173"/>
      <c r="C1741" s="173"/>
      <c r="D1741" s="173"/>
      <c r="E1741" s="173"/>
      <c r="F1741" s="173"/>
      <c r="G1741" s="173"/>
      <c r="H1741" s="173"/>
      <c r="I1741" s="173"/>
      <c r="J1741" s="173"/>
      <c r="K1741" s="173"/>
      <c r="L1741" s="173"/>
      <c r="M1741" s="173"/>
      <c r="N1741" s="173"/>
      <c r="O1741" s="173"/>
      <c r="P1741" s="173"/>
    </row>
    <row r="1742" hidden="1">
      <c r="A1742" s="172"/>
      <c r="B1742" s="173"/>
      <c r="C1742" s="173"/>
      <c r="D1742" s="173"/>
      <c r="E1742" s="173"/>
      <c r="F1742" s="173"/>
      <c r="G1742" s="173"/>
      <c r="H1742" s="173"/>
      <c r="I1742" s="173"/>
      <c r="J1742" s="173"/>
      <c r="K1742" s="173"/>
      <c r="L1742" s="173"/>
      <c r="M1742" s="173"/>
      <c r="N1742" s="173"/>
      <c r="O1742" s="173"/>
      <c r="P1742" s="173"/>
    </row>
    <row r="1743" hidden="1">
      <c r="A1743" s="172"/>
      <c r="B1743" s="173"/>
      <c r="C1743" s="173"/>
      <c r="D1743" s="173"/>
      <c r="E1743" s="173"/>
      <c r="F1743" s="173"/>
      <c r="G1743" s="173"/>
      <c r="H1743" s="173"/>
      <c r="I1743" s="173"/>
      <c r="J1743" s="173"/>
      <c r="K1743" s="173"/>
      <c r="L1743" s="173"/>
      <c r="M1743" s="173"/>
      <c r="N1743" s="173"/>
      <c r="O1743" s="173"/>
      <c r="P1743" s="173"/>
    </row>
    <row r="1744" hidden="1">
      <c r="A1744" s="172"/>
      <c r="B1744" s="173"/>
      <c r="C1744" s="173"/>
      <c r="D1744" s="173"/>
      <c r="E1744" s="173"/>
      <c r="F1744" s="173"/>
      <c r="G1744" s="173"/>
      <c r="H1744" s="173"/>
      <c r="I1744" s="173"/>
      <c r="J1744" s="173"/>
      <c r="K1744" s="173"/>
      <c r="L1744" s="173"/>
      <c r="M1744" s="173"/>
      <c r="N1744" s="173"/>
      <c r="O1744" s="173"/>
      <c r="P1744" s="173"/>
    </row>
    <row r="1745" hidden="1">
      <c r="A1745" s="172"/>
      <c r="B1745" s="173"/>
      <c r="C1745" s="173"/>
      <c r="D1745" s="173"/>
      <c r="E1745" s="173"/>
      <c r="F1745" s="173"/>
      <c r="G1745" s="173"/>
      <c r="H1745" s="173"/>
      <c r="I1745" s="173"/>
      <c r="J1745" s="173"/>
      <c r="K1745" s="173"/>
      <c r="L1745" s="173"/>
      <c r="M1745" s="173"/>
      <c r="N1745" s="173"/>
      <c r="O1745" s="173"/>
      <c r="P1745" s="173"/>
    </row>
    <row r="1746" hidden="1">
      <c r="A1746" s="172"/>
      <c r="B1746" s="173"/>
      <c r="C1746" s="173"/>
      <c r="D1746" s="173"/>
      <c r="E1746" s="173"/>
      <c r="F1746" s="173"/>
      <c r="G1746" s="173"/>
      <c r="H1746" s="173"/>
      <c r="I1746" s="173"/>
      <c r="J1746" s="173"/>
      <c r="K1746" s="173"/>
      <c r="L1746" s="173"/>
      <c r="M1746" s="173"/>
      <c r="N1746" s="173"/>
      <c r="O1746" s="173"/>
      <c r="P1746" s="173"/>
    </row>
    <row r="1747" hidden="1">
      <c r="A1747" s="172"/>
      <c r="B1747" s="173"/>
      <c r="C1747" s="173"/>
      <c r="D1747" s="173"/>
      <c r="E1747" s="173"/>
      <c r="F1747" s="173"/>
      <c r="G1747" s="173"/>
      <c r="H1747" s="173"/>
      <c r="I1747" s="173"/>
      <c r="J1747" s="173"/>
      <c r="K1747" s="173"/>
      <c r="L1747" s="173"/>
      <c r="M1747" s="173"/>
      <c r="N1747" s="173"/>
      <c r="O1747" s="173"/>
      <c r="P1747" s="173"/>
    </row>
    <row r="1748" hidden="1">
      <c r="A1748" s="172"/>
      <c r="B1748" s="173"/>
      <c r="C1748" s="173"/>
      <c r="D1748" s="173"/>
      <c r="E1748" s="173"/>
      <c r="F1748" s="173"/>
      <c r="G1748" s="173"/>
      <c r="H1748" s="173"/>
      <c r="I1748" s="173"/>
      <c r="J1748" s="173"/>
      <c r="K1748" s="173"/>
      <c r="L1748" s="173"/>
      <c r="M1748" s="173"/>
      <c r="N1748" s="173"/>
      <c r="O1748" s="173"/>
      <c r="P1748" s="173"/>
    </row>
    <row r="1749" hidden="1">
      <c r="A1749" s="172"/>
      <c r="B1749" s="173"/>
      <c r="C1749" s="173"/>
      <c r="D1749" s="173"/>
      <c r="E1749" s="173"/>
      <c r="F1749" s="173"/>
      <c r="G1749" s="173"/>
      <c r="H1749" s="173"/>
      <c r="I1749" s="173"/>
      <c r="J1749" s="173"/>
      <c r="K1749" s="173"/>
      <c r="L1749" s="173"/>
      <c r="M1749" s="173"/>
      <c r="N1749" s="173"/>
      <c r="O1749" s="173"/>
      <c r="P1749" s="173"/>
    </row>
    <row r="1750" hidden="1">
      <c r="A1750" s="172"/>
      <c r="B1750" s="173"/>
      <c r="C1750" s="173"/>
      <c r="D1750" s="173"/>
      <c r="E1750" s="173"/>
      <c r="F1750" s="173"/>
      <c r="G1750" s="173"/>
      <c r="H1750" s="173"/>
      <c r="I1750" s="173"/>
      <c r="J1750" s="173"/>
      <c r="K1750" s="173"/>
      <c r="L1750" s="173"/>
      <c r="M1750" s="173"/>
      <c r="N1750" s="173"/>
      <c r="O1750" s="173"/>
      <c r="P1750" s="173"/>
    </row>
    <row r="1751" hidden="1">
      <c r="A1751" s="172"/>
      <c r="B1751" s="173"/>
      <c r="C1751" s="173"/>
      <c r="D1751" s="173"/>
      <c r="E1751" s="173"/>
      <c r="F1751" s="173"/>
      <c r="G1751" s="173"/>
      <c r="H1751" s="173"/>
      <c r="I1751" s="173"/>
      <c r="J1751" s="173"/>
      <c r="K1751" s="173"/>
      <c r="L1751" s="173"/>
      <c r="M1751" s="173"/>
      <c r="N1751" s="173"/>
      <c r="O1751" s="173"/>
      <c r="P1751" s="173"/>
    </row>
    <row r="1752" hidden="1">
      <c r="A1752" s="172"/>
      <c r="B1752" s="173"/>
      <c r="C1752" s="173"/>
      <c r="D1752" s="173"/>
      <c r="E1752" s="173"/>
      <c r="F1752" s="173"/>
      <c r="G1752" s="173"/>
      <c r="H1752" s="173"/>
      <c r="I1752" s="173"/>
      <c r="J1752" s="173"/>
      <c r="K1752" s="173"/>
      <c r="L1752" s="173"/>
      <c r="M1752" s="173"/>
      <c r="N1752" s="173"/>
      <c r="O1752" s="173"/>
      <c r="P1752" s="173"/>
    </row>
    <row r="1753" hidden="1">
      <c r="A1753" s="172"/>
      <c r="B1753" s="173"/>
      <c r="C1753" s="173"/>
      <c r="D1753" s="173"/>
      <c r="E1753" s="173"/>
      <c r="F1753" s="173"/>
      <c r="G1753" s="173"/>
      <c r="H1753" s="173"/>
      <c r="I1753" s="173"/>
      <c r="J1753" s="173"/>
      <c r="K1753" s="173"/>
      <c r="L1753" s="173"/>
      <c r="M1753" s="173"/>
      <c r="N1753" s="173"/>
      <c r="O1753" s="173"/>
      <c r="P1753" s="173"/>
    </row>
    <row r="1754" hidden="1">
      <c r="A1754" s="172"/>
      <c r="B1754" s="173"/>
      <c r="C1754" s="173"/>
      <c r="D1754" s="173"/>
      <c r="E1754" s="173"/>
      <c r="F1754" s="173"/>
      <c r="G1754" s="173"/>
      <c r="H1754" s="173"/>
      <c r="I1754" s="173"/>
      <c r="J1754" s="173"/>
      <c r="K1754" s="173"/>
      <c r="L1754" s="173"/>
      <c r="M1754" s="173"/>
      <c r="N1754" s="173"/>
      <c r="O1754" s="173"/>
      <c r="P1754" s="173"/>
    </row>
    <row r="1755" hidden="1">
      <c r="A1755" s="172"/>
      <c r="B1755" s="173"/>
      <c r="C1755" s="173"/>
      <c r="D1755" s="173"/>
      <c r="E1755" s="173"/>
      <c r="F1755" s="173"/>
      <c r="G1755" s="173"/>
      <c r="H1755" s="173"/>
      <c r="I1755" s="173"/>
      <c r="J1755" s="173"/>
      <c r="K1755" s="173"/>
      <c r="L1755" s="173"/>
      <c r="M1755" s="173"/>
      <c r="N1755" s="173"/>
      <c r="O1755" s="173"/>
      <c r="P1755" s="173"/>
    </row>
    <row r="1756" hidden="1">
      <c r="A1756" s="172"/>
      <c r="B1756" s="173"/>
      <c r="C1756" s="173"/>
      <c r="D1756" s="173"/>
      <c r="E1756" s="173"/>
      <c r="F1756" s="173"/>
      <c r="G1756" s="173"/>
      <c r="H1756" s="173"/>
      <c r="I1756" s="173"/>
      <c r="J1756" s="173"/>
      <c r="K1756" s="173"/>
      <c r="L1756" s="173"/>
      <c r="M1756" s="173"/>
      <c r="N1756" s="173"/>
      <c r="O1756" s="173"/>
      <c r="P1756" s="173"/>
    </row>
    <row r="1757" hidden="1">
      <c r="A1757" s="172"/>
      <c r="B1757" s="173"/>
      <c r="C1757" s="173"/>
      <c r="D1757" s="173"/>
      <c r="E1757" s="173"/>
      <c r="F1757" s="173"/>
      <c r="G1757" s="173"/>
      <c r="H1757" s="173"/>
      <c r="I1757" s="173"/>
      <c r="J1757" s="173"/>
      <c r="K1757" s="173"/>
      <c r="L1757" s="173"/>
      <c r="M1757" s="173"/>
      <c r="N1757" s="173"/>
      <c r="O1757" s="173"/>
      <c r="P1757" s="173"/>
    </row>
    <row r="1758" hidden="1">
      <c r="A1758" s="172"/>
      <c r="B1758" s="173"/>
      <c r="C1758" s="173"/>
      <c r="D1758" s="173"/>
      <c r="E1758" s="173"/>
      <c r="F1758" s="173"/>
      <c r="G1758" s="173"/>
      <c r="H1758" s="173"/>
      <c r="I1758" s="173"/>
      <c r="J1758" s="173"/>
      <c r="K1758" s="173"/>
      <c r="L1758" s="173"/>
      <c r="M1758" s="173"/>
      <c r="N1758" s="173"/>
      <c r="O1758" s="173"/>
      <c r="P1758" s="173"/>
    </row>
    <row r="1759" hidden="1">
      <c r="A1759" s="172"/>
      <c r="B1759" s="173"/>
      <c r="C1759" s="173"/>
      <c r="D1759" s="173"/>
      <c r="E1759" s="173"/>
      <c r="F1759" s="173"/>
      <c r="G1759" s="173"/>
      <c r="H1759" s="173"/>
      <c r="I1759" s="173"/>
      <c r="J1759" s="173"/>
      <c r="K1759" s="173"/>
      <c r="L1759" s="173"/>
      <c r="M1759" s="173"/>
      <c r="N1759" s="173"/>
      <c r="O1759" s="173"/>
      <c r="P1759" s="173"/>
    </row>
    <row r="1760" hidden="1">
      <c r="A1760" s="172"/>
      <c r="B1760" s="173"/>
      <c r="C1760" s="173"/>
      <c r="D1760" s="173"/>
      <c r="E1760" s="173"/>
      <c r="F1760" s="173"/>
      <c r="G1760" s="173"/>
      <c r="H1760" s="173"/>
      <c r="I1760" s="173"/>
      <c r="J1760" s="173"/>
      <c r="K1760" s="173"/>
      <c r="L1760" s="173"/>
      <c r="M1760" s="173"/>
      <c r="N1760" s="173"/>
      <c r="O1760" s="173"/>
      <c r="P1760" s="173"/>
    </row>
    <row r="1761" hidden="1">
      <c r="A1761" s="172"/>
      <c r="B1761" s="173"/>
      <c r="C1761" s="173"/>
      <c r="D1761" s="173"/>
      <c r="E1761" s="173"/>
      <c r="F1761" s="173"/>
      <c r="G1761" s="173"/>
      <c r="H1761" s="173"/>
      <c r="I1761" s="173"/>
      <c r="J1761" s="173"/>
      <c r="K1761" s="173"/>
      <c r="L1761" s="173"/>
      <c r="M1761" s="173"/>
      <c r="N1761" s="173"/>
      <c r="O1761" s="173"/>
      <c r="P1761" s="173"/>
    </row>
    <row r="1762" hidden="1">
      <c r="A1762" s="172"/>
      <c r="B1762" s="173"/>
      <c r="C1762" s="173"/>
      <c r="D1762" s="173"/>
      <c r="E1762" s="173"/>
      <c r="F1762" s="173"/>
      <c r="G1762" s="173"/>
      <c r="H1762" s="173"/>
      <c r="I1762" s="173"/>
      <c r="J1762" s="173"/>
      <c r="K1762" s="173"/>
      <c r="L1762" s="173"/>
      <c r="M1762" s="173"/>
      <c r="N1762" s="173"/>
      <c r="O1762" s="173"/>
      <c r="P1762" s="173"/>
    </row>
    <row r="1763" hidden="1">
      <c r="A1763" s="172"/>
      <c r="B1763" s="173"/>
      <c r="C1763" s="173"/>
      <c r="D1763" s="173"/>
      <c r="E1763" s="173"/>
      <c r="F1763" s="173"/>
      <c r="G1763" s="173"/>
      <c r="H1763" s="173"/>
      <c r="I1763" s="173"/>
      <c r="J1763" s="173"/>
      <c r="K1763" s="173"/>
      <c r="L1763" s="173"/>
      <c r="M1763" s="173"/>
      <c r="N1763" s="173"/>
      <c r="O1763" s="173"/>
      <c r="P1763" s="173"/>
    </row>
    <row r="1764" hidden="1">
      <c r="A1764" s="172"/>
      <c r="B1764" s="173"/>
      <c r="C1764" s="173"/>
      <c r="D1764" s="173"/>
      <c r="E1764" s="173"/>
      <c r="F1764" s="173"/>
      <c r="G1764" s="173"/>
      <c r="H1764" s="173"/>
      <c r="I1764" s="173"/>
      <c r="J1764" s="173"/>
      <c r="K1764" s="173"/>
      <c r="L1764" s="173"/>
      <c r="M1764" s="173"/>
      <c r="N1764" s="173"/>
      <c r="O1764" s="173"/>
      <c r="P1764" s="173"/>
    </row>
    <row r="1765" hidden="1">
      <c r="A1765" s="172"/>
      <c r="B1765" s="173"/>
      <c r="C1765" s="173"/>
      <c r="D1765" s="173"/>
      <c r="E1765" s="173"/>
      <c r="F1765" s="173"/>
      <c r="G1765" s="173"/>
      <c r="H1765" s="173"/>
      <c r="I1765" s="173"/>
      <c r="J1765" s="173"/>
      <c r="K1765" s="173"/>
      <c r="L1765" s="173"/>
      <c r="M1765" s="173"/>
      <c r="N1765" s="173"/>
      <c r="O1765" s="173"/>
      <c r="P1765" s="173"/>
    </row>
    <row r="1766" hidden="1">
      <c r="A1766" s="172"/>
      <c r="B1766" s="173"/>
      <c r="C1766" s="173"/>
      <c r="D1766" s="173"/>
      <c r="E1766" s="173"/>
      <c r="F1766" s="173"/>
      <c r="G1766" s="173"/>
      <c r="H1766" s="173"/>
      <c r="I1766" s="173"/>
      <c r="J1766" s="173"/>
      <c r="K1766" s="173"/>
      <c r="L1766" s="173"/>
      <c r="M1766" s="173"/>
      <c r="N1766" s="173"/>
      <c r="O1766" s="173"/>
      <c r="P1766" s="173"/>
    </row>
    <row r="1767" hidden="1">
      <c r="A1767" s="172"/>
      <c r="B1767" s="173"/>
      <c r="C1767" s="173"/>
      <c r="D1767" s="173"/>
      <c r="E1767" s="173"/>
      <c r="F1767" s="173"/>
      <c r="G1767" s="173"/>
      <c r="H1767" s="173"/>
      <c r="I1767" s="173"/>
      <c r="J1767" s="173"/>
      <c r="K1767" s="173"/>
      <c r="L1767" s="173"/>
      <c r="M1767" s="173"/>
      <c r="N1767" s="173"/>
      <c r="O1767" s="173"/>
      <c r="P1767" s="173"/>
    </row>
    <row r="1768" hidden="1">
      <c r="A1768" s="172"/>
      <c r="B1768" s="173"/>
      <c r="C1768" s="173"/>
      <c r="D1768" s="173"/>
      <c r="E1768" s="173"/>
      <c r="F1768" s="173"/>
      <c r="G1768" s="173"/>
      <c r="H1768" s="173"/>
      <c r="I1768" s="173"/>
      <c r="J1768" s="173"/>
      <c r="K1768" s="173"/>
      <c r="L1768" s="173"/>
      <c r="M1768" s="173"/>
      <c r="N1768" s="173"/>
      <c r="O1768" s="173"/>
      <c r="P1768" s="173"/>
    </row>
    <row r="1769" hidden="1">
      <c r="A1769" s="172"/>
      <c r="B1769" s="173"/>
      <c r="C1769" s="173"/>
      <c r="D1769" s="173"/>
      <c r="E1769" s="173"/>
      <c r="F1769" s="173"/>
      <c r="G1769" s="173"/>
      <c r="H1769" s="173"/>
      <c r="I1769" s="173"/>
      <c r="J1769" s="173"/>
      <c r="K1769" s="173"/>
      <c r="L1769" s="173"/>
      <c r="M1769" s="173"/>
      <c r="N1769" s="173"/>
      <c r="O1769" s="173"/>
      <c r="P1769" s="173"/>
    </row>
    <row r="1770" hidden="1">
      <c r="A1770" s="172"/>
      <c r="B1770" s="173"/>
      <c r="C1770" s="173"/>
      <c r="D1770" s="173"/>
      <c r="E1770" s="173"/>
      <c r="F1770" s="173"/>
      <c r="G1770" s="173"/>
      <c r="H1770" s="173"/>
      <c r="I1770" s="173"/>
      <c r="J1770" s="173"/>
      <c r="K1770" s="173"/>
      <c r="L1770" s="173"/>
      <c r="M1770" s="173"/>
      <c r="N1770" s="173"/>
      <c r="O1770" s="173"/>
      <c r="P1770" s="173"/>
    </row>
    <row r="1771" hidden="1">
      <c r="A1771" s="172"/>
      <c r="B1771" s="173"/>
      <c r="C1771" s="173"/>
      <c r="D1771" s="173"/>
      <c r="E1771" s="173"/>
      <c r="F1771" s="173"/>
      <c r="G1771" s="173"/>
      <c r="H1771" s="173"/>
      <c r="I1771" s="173"/>
      <c r="J1771" s="173"/>
      <c r="K1771" s="173"/>
      <c r="L1771" s="173"/>
      <c r="M1771" s="173"/>
      <c r="N1771" s="173"/>
      <c r="O1771" s="173"/>
      <c r="P1771" s="173"/>
    </row>
    <row r="1772" hidden="1">
      <c r="A1772" s="172"/>
      <c r="B1772" s="173"/>
      <c r="C1772" s="173"/>
      <c r="D1772" s="173"/>
      <c r="E1772" s="173"/>
      <c r="F1772" s="173"/>
      <c r="G1772" s="173"/>
      <c r="H1772" s="173"/>
      <c r="I1772" s="173"/>
      <c r="J1772" s="173"/>
      <c r="K1772" s="173"/>
      <c r="L1772" s="173"/>
      <c r="M1772" s="173"/>
      <c r="N1772" s="173"/>
      <c r="O1772" s="173"/>
      <c r="P1772" s="173"/>
    </row>
    <row r="1773" hidden="1">
      <c r="A1773" s="172"/>
      <c r="B1773" s="173"/>
      <c r="C1773" s="173"/>
      <c r="D1773" s="173"/>
      <c r="E1773" s="173"/>
      <c r="F1773" s="173"/>
      <c r="G1773" s="173"/>
      <c r="H1773" s="173"/>
      <c r="I1773" s="173"/>
      <c r="J1773" s="173"/>
      <c r="K1773" s="173"/>
      <c r="L1773" s="173"/>
      <c r="M1773" s="173"/>
      <c r="N1773" s="173"/>
      <c r="O1773" s="173"/>
      <c r="P1773" s="173"/>
    </row>
    <row r="1774" hidden="1">
      <c r="A1774" s="172"/>
      <c r="B1774" s="173"/>
      <c r="C1774" s="173"/>
      <c r="D1774" s="173"/>
      <c r="E1774" s="173"/>
      <c r="F1774" s="173"/>
      <c r="G1774" s="173"/>
      <c r="H1774" s="173"/>
      <c r="I1774" s="173"/>
      <c r="J1774" s="173"/>
      <c r="K1774" s="173"/>
      <c r="L1774" s="173"/>
      <c r="M1774" s="173"/>
      <c r="N1774" s="173"/>
      <c r="O1774" s="173"/>
      <c r="P1774" s="173"/>
    </row>
    <row r="1775" hidden="1">
      <c r="A1775" s="172"/>
      <c r="B1775" s="173"/>
      <c r="C1775" s="173"/>
      <c r="D1775" s="173"/>
      <c r="E1775" s="173"/>
      <c r="F1775" s="173"/>
      <c r="G1775" s="173"/>
      <c r="H1775" s="173"/>
      <c r="I1775" s="173"/>
      <c r="J1775" s="173"/>
      <c r="K1775" s="173"/>
      <c r="L1775" s="173"/>
      <c r="M1775" s="173"/>
      <c r="N1775" s="173"/>
      <c r="O1775" s="173"/>
      <c r="P1775" s="173"/>
    </row>
    <row r="1776" hidden="1">
      <c r="A1776" s="172"/>
      <c r="B1776" s="173"/>
      <c r="C1776" s="173"/>
      <c r="D1776" s="173"/>
      <c r="E1776" s="173"/>
      <c r="F1776" s="173"/>
      <c r="G1776" s="173"/>
      <c r="H1776" s="173"/>
      <c r="I1776" s="173"/>
      <c r="J1776" s="173"/>
      <c r="K1776" s="173"/>
      <c r="L1776" s="173"/>
      <c r="M1776" s="173"/>
      <c r="N1776" s="173"/>
      <c r="O1776" s="173"/>
      <c r="P1776" s="173"/>
    </row>
    <row r="1777" hidden="1">
      <c r="A1777" s="172"/>
      <c r="B1777" s="173"/>
      <c r="C1777" s="173"/>
      <c r="D1777" s="173"/>
      <c r="E1777" s="173"/>
      <c r="F1777" s="173"/>
      <c r="G1777" s="173"/>
      <c r="H1777" s="173"/>
      <c r="I1777" s="173"/>
      <c r="J1777" s="173"/>
      <c r="K1777" s="173"/>
      <c r="L1777" s="173"/>
      <c r="M1777" s="173"/>
      <c r="N1777" s="173"/>
      <c r="O1777" s="173"/>
      <c r="P1777" s="173"/>
    </row>
    <row r="1778" hidden="1">
      <c r="A1778" s="172"/>
      <c r="B1778" s="173"/>
      <c r="C1778" s="173"/>
      <c r="D1778" s="173"/>
      <c r="E1778" s="173"/>
      <c r="F1778" s="173"/>
      <c r="G1778" s="173"/>
      <c r="H1778" s="173"/>
      <c r="I1778" s="173"/>
      <c r="J1778" s="173"/>
      <c r="K1778" s="173"/>
      <c r="L1778" s="173"/>
      <c r="M1778" s="173"/>
      <c r="N1778" s="173"/>
      <c r="O1778" s="173"/>
      <c r="P1778" s="173"/>
    </row>
    <row r="1779" hidden="1">
      <c r="A1779" s="172"/>
      <c r="B1779" s="173"/>
      <c r="C1779" s="173"/>
      <c r="D1779" s="173"/>
      <c r="E1779" s="173"/>
      <c r="F1779" s="173"/>
      <c r="G1779" s="173"/>
      <c r="H1779" s="173"/>
      <c r="I1779" s="173"/>
      <c r="J1779" s="173"/>
      <c r="K1779" s="173"/>
      <c r="L1779" s="173"/>
      <c r="M1779" s="173"/>
      <c r="N1779" s="173"/>
      <c r="O1779" s="173"/>
      <c r="P1779" s="173"/>
    </row>
    <row r="1780" hidden="1">
      <c r="A1780" s="172"/>
      <c r="B1780" s="173"/>
      <c r="C1780" s="173"/>
      <c r="D1780" s="173"/>
      <c r="E1780" s="173"/>
      <c r="F1780" s="173"/>
      <c r="G1780" s="173"/>
      <c r="H1780" s="173"/>
      <c r="I1780" s="173"/>
      <c r="J1780" s="173"/>
      <c r="K1780" s="173"/>
      <c r="L1780" s="173"/>
      <c r="M1780" s="173"/>
      <c r="N1780" s="173"/>
      <c r="O1780" s="173"/>
      <c r="P1780" s="173"/>
    </row>
    <row r="1781" hidden="1">
      <c r="A1781" s="172"/>
      <c r="B1781" s="173"/>
      <c r="C1781" s="173"/>
      <c r="D1781" s="173"/>
      <c r="E1781" s="173"/>
      <c r="F1781" s="173"/>
      <c r="G1781" s="173"/>
      <c r="H1781" s="173"/>
      <c r="I1781" s="173"/>
      <c r="J1781" s="173"/>
      <c r="K1781" s="173"/>
      <c r="L1781" s="173"/>
      <c r="M1781" s="173"/>
      <c r="N1781" s="173"/>
      <c r="O1781" s="173"/>
      <c r="P1781" s="173"/>
    </row>
    <row r="1782" hidden="1">
      <c r="A1782" s="172"/>
      <c r="B1782" s="173"/>
      <c r="C1782" s="173"/>
      <c r="D1782" s="173"/>
      <c r="E1782" s="173"/>
      <c r="F1782" s="173"/>
      <c r="G1782" s="173"/>
      <c r="H1782" s="173"/>
      <c r="I1782" s="173"/>
      <c r="J1782" s="173"/>
      <c r="K1782" s="173"/>
      <c r="L1782" s="173"/>
      <c r="M1782" s="173"/>
      <c r="N1782" s="173"/>
      <c r="O1782" s="173"/>
      <c r="P1782" s="173"/>
    </row>
    <row r="1783" hidden="1">
      <c r="A1783" s="172"/>
      <c r="B1783" s="173"/>
      <c r="C1783" s="173"/>
      <c r="D1783" s="173"/>
      <c r="E1783" s="173"/>
      <c r="F1783" s="173"/>
      <c r="G1783" s="173"/>
      <c r="H1783" s="173"/>
      <c r="I1783" s="173"/>
      <c r="J1783" s="173"/>
      <c r="K1783" s="173"/>
      <c r="L1783" s="173"/>
      <c r="M1783" s="173"/>
      <c r="N1783" s="173"/>
      <c r="O1783" s="173"/>
      <c r="P1783" s="173"/>
    </row>
    <row r="1784" hidden="1">
      <c r="A1784" s="172"/>
      <c r="B1784" s="173"/>
      <c r="C1784" s="173"/>
      <c r="D1784" s="173"/>
      <c r="E1784" s="173"/>
      <c r="F1784" s="173"/>
      <c r="G1784" s="173"/>
      <c r="H1784" s="173"/>
      <c r="I1784" s="173"/>
      <c r="J1784" s="173"/>
      <c r="K1784" s="173"/>
      <c r="L1784" s="173"/>
      <c r="M1784" s="173"/>
      <c r="N1784" s="173"/>
      <c r="O1784" s="173"/>
      <c r="P1784" s="173"/>
    </row>
    <row r="1785" hidden="1">
      <c r="A1785" s="172"/>
      <c r="B1785" s="173"/>
      <c r="C1785" s="173"/>
      <c r="D1785" s="173"/>
      <c r="E1785" s="173"/>
      <c r="F1785" s="173"/>
      <c r="G1785" s="173"/>
      <c r="H1785" s="173"/>
      <c r="I1785" s="173"/>
      <c r="J1785" s="173"/>
      <c r="K1785" s="173"/>
      <c r="L1785" s="173"/>
      <c r="M1785" s="173"/>
      <c r="N1785" s="173"/>
      <c r="O1785" s="173"/>
      <c r="P1785" s="173"/>
    </row>
    <row r="1786" hidden="1">
      <c r="A1786" s="172"/>
      <c r="B1786" s="173"/>
      <c r="C1786" s="173"/>
      <c r="D1786" s="173"/>
      <c r="E1786" s="173"/>
      <c r="F1786" s="173"/>
      <c r="G1786" s="173"/>
      <c r="H1786" s="173"/>
      <c r="I1786" s="173"/>
      <c r="J1786" s="173"/>
      <c r="K1786" s="173"/>
      <c r="L1786" s="173"/>
      <c r="M1786" s="173"/>
      <c r="N1786" s="173"/>
      <c r="O1786" s="173"/>
      <c r="P1786" s="173"/>
    </row>
    <row r="1787" hidden="1">
      <c r="A1787" s="172"/>
      <c r="B1787" s="173"/>
      <c r="C1787" s="173"/>
      <c r="D1787" s="173"/>
      <c r="E1787" s="173"/>
      <c r="F1787" s="173"/>
      <c r="G1787" s="173"/>
      <c r="H1787" s="173"/>
      <c r="I1787" s="173"/>
      <c r="J1787" s="173"/>
      <c r="K1787" s="173"/>
      <c r="L1787" s="173"/>
      <c r="M1787" s="173"/>
      <c r="N1787" s="173"/>
      <c r="O1787" s="173"/>
      <c r="P1787" s="173"/>
    </row>
    <row r="1788" hidden="1">
      <c r="A1788" s="172"/>
      <c r="B1788" s="173"/>
      <c r="C1788" s="173"/>
      <c r="D1788" s="173"/>
      <c r="E1788" s="173"/>
      <c r="F1788" s="173"/>
      <c r="G1788" s="173"/>
      <c r="H1788" s="173"/>
      <c r="I1788" s="173"/>
      <c r="J1788" s="173"/>
      <c r="K1788" s="173"/>
      <c r="L1788" s="173"/>
      <c r="M1788" s="173"/>
      <c r="N1788" s="173"/>
      <c r="O1788" s="173"/>
      <c r="P1788" s="173"/>
    </row>
    <row r="1789" hidden="1">
      <c r="A1789" s="172"/>
      <c r="B1789" s="173"/>
      <c r="C1789" s="173"/>
      <c r="D1789" s="173"/>
      <c r="E1789" s="173"/>
      <c r="F1789" s="173"/>
      <c r="G1789" s="173"/>
      <c r="H1789" s="173"/>
      <c r="I1789" s="173"/>
      <c r="J1789" s="173"/>
      <c r="K1789" s="173"/>
      <c r="L1789" s="173"/>
      <c r="M1789" s="173"/>
      <c r="N1789" s="173"/>
      <c r="O1789" s="173"/>
      <c r="P1789" s="173"/>
    </row>
    <row r="1790" hidden="1">
      <c r="A1790" s="172"/>
      <c r="B1790" s="173"/>
      <c r="C1790" s="173"/>
      <c r="D1790" s="173"/>
      <c r="E1790" s="173"/>
      <c r="F1790" s="173"/>
      <c r="G1790" s="173"/>
      <c r="H1790" s="173"/>
      <c r="I1790" s="173"/>
      <c r="J1790" s="173"/>
      <c r="K1790" s="173"/>
      <c r="L1790" s="173"/>
      <c r="M1790" s="173"/>
      <c r="N1790" s="173"/>
      <c r="O1790" s="173"/>
      <c r="P1790" s="173"/>
    </row>
    <row r="1791" hidden="1">
      <c r="A1791" s="172"/>
      <c r="B1791" s="173"/>
      <c r="C1791" s="173"/>
      <c r="D1791" s="173"/>
      <c r="E1791" s="173"/>
      <c r="F1791" s="173"/>
      <c r="G1791" s="173"/>
      <c r="H1791" s="173"/>
      <c r="I1791" s="173"/>
      <c r="J1791" s="173"/>
      <c r="K1791" s="173"/>
      <c r="L1791" s="173"/>
      <c r="M1791" s="173"/>
      <c r="N1791" s="173"/>
      <c r="O1791" s="173"/>
      <c r="P1791" s="173"/>
    </row>
    <row r="1792" hidden="1">
      <c r="A1792" s="172"/>
      <c r="B1792" s="173"/>
      <c r="C1792" s="173"/>
      <c r="D1792" s="173"/>
      <c r="E1792" s="173"/>
      <c r="F1792" s="173"/>
      <c r="G1792" s="173"/>
      <c r="H1792" s="173"/>
      <c r="I1792" s="173"/>
      <c r="J1792" s="173"/>
      <c r="K1792" s="173"/>
      <c r="L1792" s="173"/>
      <c r="M1792" s="173"/>
      <c r="N1792" s="173"/>
      <c r="O1792" s="173"/>
      <c r="P1792" s="173"/>
    </row>
    <row r="1793" hidden="1">
      <c r="A1793" s="172"/>
      <c r="B1793" s="173"/>
      <c r="C1793" s="173"/>
      <c r="D1793" s="173"/>
      <c r="E1793" s="173"/>
      <c r="F1793" s="173"/>
      <c r="G1793" s="173"/>
      <c r="H1793" s="173"/>
      <c r="I1793" s="173"/>
      <c r="J1793" s="173"/>
      <c r="K1793" s="173"/>
      <c r="L1793" s="173"/>
      <c r="M1793" s="173"/>
      <c r="N1793" s="173"/>
      <c r="O1793" s="173"/>
      <c r="P1793" s="173"/>
    </row>
    <row r="1794" hidden="1">
      <c r="A1794" s="172"/>
      <c r="B1794" s="173"/>
      <c r="C1794" s="173"/>
      <c r="D1794" s="173"/>
      <c r="E1794" s="173"/>
      <c r="F1794" s="173"/>
      <c r="G1794" s="173"/>
      <c r="H1794" s="173"/>
      <c r="I1794" s="173"/>
      <c r="J1794" s="173"/>
      <c r="K1794" s="173"/>
      <c r="L1794" s="173"/>
      <c r="M1794" s="173"/>
      <c r="N1794" s="173"/>
      <c r="O1794" s="173"/>
      <c r="P1794" s="173"/>
    </row>
    <row r="1795" hidden="1">
      <c r="A1795" s="172"/>
      <c r="B1795" s="173"/>
      <c r="C1795" s="173"/>
      <c r="D1795" s="173"/>
      <c r="E1795" s="173"/>
      <c r="F1795" s="173"/>
      <c r="G1795" s="173"/>
      <c r="H1795" s="173"/>
      <c r="I1795" s="173"/>
      <c r="J1795" s="173"/>
      <c r="K1795" s="173"/>
      <c r="L1795" s="173"/>
      <c r="M1795" s="173"/>
      <c r="N1795" s="173"/>
      <c r="O1795" s="173"/>
      <c r="P1795" s="173"/>
    </row>
    <row r="1796" hidden="1">
      <c r="A1796" s="172"/>
      <c r="B1796" s="173"/>
      <c r="C1796" s="173"/>
      <c r="D1796" s="173"/>
      <c r="E1796" s="173"/>
      <c r="F1796" s="173"/>
      <c r="G1796" s="173"/>
      <c r="H1796" s="173"/>
      <c r="I1796" s="173"/>
      <c r="J1796" s="173"/>
      <c r="K1796" s="173"/>
      <c r="L1796" s="173"/>
      <c r="M1796" s="173"/>
      <c r="N1796" s="173"/>
      <c r="O1796" s="173"/>
      <c r="P1796" s="173"/>
    </row>
    <row r="1797" hidden="1">
      <c r="A1797" s="172"/>
      <c r="B1797" s="173"/>
      <c r="C1797" s="173"/>
      <c r="D1797" s="173"/>
      <c r="E1797" s="173"/>
      <c r="F1797" s="173"/>
      <c r="G1797" s="173"/>
      <c r="H1797" s="173"/>
      <c r="I1797" s="173"/>
      <c r="J1797" s="173"/>
      <c r="K1797" s="173"/>
      <c r="L1797" s="173"/>
      <c r="M1797" s="173"/>
      <c r="N1797" s="173"/>
      <c r="O1797" s="173"/>
      <c r="P1797" s="173"/>
    </row>
    <row r="1798" hidden="1">
      <c r="A1798" s="172"/>
      <c r="B1798" s="173"/>
      <c r="C1798" s="173"/>
      <c r="D1798" s="173"/>
      <c r="E1798" s="173"/>
      <c r="F1798" s="173"/>
      <c r="G1798" s="173"/>
      <c r="H1798" s="173"/>
      <c r="I1798" s="173"/>
      <c r="J1798" s="173"/>
      <c r="K1798" s="173"/>
      <c r="L1798" s="173"/>
      <c r="M1798" s="173"/>
      <c r="N1798" s="173"/>
      <c r="O1798" s="173"/>
      <c r="P1798" s="173"/>
    </row>
    <row r="1799" hidden="1">
      <c r="A1799" s="172"/>
      <c r="B1799" s="173"/>
      <c r="C1799" s="173"/>
      <c r="D1799" s="173"/>
      <c r="E1799" s="173"/>
      <c r="F1799" s="173"/>
      <c r="G1799" s="173"/>
      <c r="H1799" s="173"/>
      <c r="I1799" s="173"/>
      <c r="J1799" s="173"/>
      <c r="K1799" s="173"/>
      <c r="L1799" s="173"/>
      <c r="M1799" s="173"/>
      <c r="N1799" s="173"/>
      <c r="O1799" s="173"/>
      <c r="P1799" s="173"/>
    </row>
    <row r="1800" hidden="1">
      <c r="A1800" s="172"/>
      <c r="B1800" s="173"/>
      <c r="C1800" s="173"/>
      <c r="D1800" s="173"/>
      <c r="E1800" s="173"/>
      <c r="F1800" s="173"/>
      <c r="G1800" s="173"/>
      <c r="H1800" s="173"/>
      <c r="I1800" s="173"/>
      <c r="J1800" s="173"/>
      <c r="K1800" s="173"/>
      <c r="L1800" s="173"/>
      <c r="M1800" s="173"/>
      <c r="N1800" s="173"/>
      <c r="O1800" s="173"/>
      <c r="P1800" s="173"/>
    </row>
    <row r="1801" hidden="1">
      <c r="A1801" s="172"/>
      <c r="B1801" s="173"/>
      <c r="C1801" s="173"/>
      <c r="D1801" s="173"/>
      <c r="E1801" s="173"/>
      <c r="F1801" s="173"/>
      <c r="G1801" s="173"/>
      <c r="H1801" s="173"/>
      <c r="I1801" s="173"/>
      <c r="J1801" s="173"/>
      <c r="K1801" s="173"/>
      <c r="L1801" s="173"/>
      <c r="M1801" s="173"/>
      <c r="N1801" s="173"/>
      <c r="O1801" s="173"/>
      <c r="P1801" s="173"/>
    </row>
    <row r="1802" hidden="1">
      <c r="A1802" s="172"/>
      <c r="B1802" s="173"/>
      <c r="C1802" s="173"/>
      <c r="D1802" s="173"/>
      <c r="E1802" s="173"/>
      <c r="F1802" s="173"/>
      <c r="G1802" s="173"/>
      <c r="H1802" s="173"/>
      <c r="I1802" s="173"/>
      <c r="J1802" s="173"/>
      <c r="K1802" s="173"/>
      <c r="L1802" s="173"/>
      <c r="M1802" s="173"/>
      <c r="N1802" s="173"/>
      <c r="O1802" s="173"/>
      <c r="P1802" s="173"/>
    </row>
    <row r="1803" hidden="1">
      <c r="A1803" s="172"/>
      <c r="B1803" s="173"/>
      <c r="C1803" s="173"/>
      <c r="D1803" s="173"/>
      <c r="E1803" s="173"/>
      <c r="F1803" s="173"/>
      <c r="G1803" s="173"/>
      <c r="H1803" s="173"/>
      <c r="I1803" s="173"/>
      <c r="J1803" s="173"/>
      <c r="K1803" s="173"/>
      <c r="L1803" s="173"/>
      <c r="M1803" s="173"/>
      <c r="N1803" s="173"/>
      <c r="O1803" s="173"/>
      <c r="P1803" s="173"/>
    </row>
    <row r="1804" hidden="1">
      <c r="A1804" s="172"/>
      <c r="B1804" s="173"/>
      <c r="C1804" s="173"/>
      <c r="D1804" s="173"/>
      <c r="E1804" s="173"/>
      <c r="F1804" s="173"/>
      <c r="G1804" s="173"/>
      <c r="H1804" s="173"/>
      <c r="I1804" s="173"/>
      <c r="J1804" s="173"/>
      <c r="K1804" s="173"/>
      <c r="L1804" s="173"/>
      <c r="M1804" s="173"/>
      <c r="N1804" s="173"/>
      <c r="O1804" s="173"/>
      <c r="P1804" s="173"/>
    </row>
    <row r="1805" hidden="1">
      <c r="A1805" s="172"/>
      <c r="B1805" s="173"/>
      <c r="C1805" s="173"/>
      <c r="D1805" s="173"/>
      <c r="E1805" s="173"/>
      <c r="F1805" s="173"/>
      <c r="G1805" s="173"/>
      <c r="H1805" s="173"/>
      <c r="I1805" s="173"/>
      <c r="J1805" s="173"/>
      <c r="K1805" s="173"/>
      <c r="L1805" s="173"/>
      <c r="M1805" s="173"/>
      <c r="N1805" s="173"/>
      <c r="O1805" s="173"/>
      <c r="P1805" s="173"/>
    </row>
    <row r="1806" hidden="1">
      <c r="A1806" s="172"/>
      <c r="B1806" s="173"/>
      <c r="C1806" s="173"/>
      <c r="D1806" s="173"/>
      <c r="E1806" s="173"/>
      <c r="F1806" s="173"/>
      <c r="G1806" s="173"/>
      <c r="H1806" s="173"/>
      <c r="I1806" s="173"/>
      <c r="J1806" s="173"/>
      <c r="K1806" s="173"/>
      <c r="L1806" s="173"/>
      <c r="M1806" s="173"/>
      <c r="N1806" s="173"/>
      <c r="O1806" s="173"/>
      <c r="P1806" s="173"/>
    </row>
    <row r="1807" hidden="1">
      <c r="A1807" s="172"/>
      <c r="B1807" s="173"/>
      <c r="C1807" s="173"/>
      <c r="D1807" s="173"/>
      <c r="E1807" s="173"/>
      <c r="F1807" s="173"/>
      <c r="G1807" s="173"/>
      <c r="H1807" s="173"/>
      <c r="I1807" s="173"/>
      <c r="J1807" s="173"/>
      <c r="K1807" s="173"/>
      <c r="L1807" s="173"/>
      <c r="M1807" s="173"/>
      <c r="N1807" s="173"/>
      <c r="O1807" s="173"/>
      <c r="P1807" s="173"/>
    </row>
    <row r="1808" hidden="1">
      <c r="A1808" s="172"/>
      <c r="B1808" s="173"/>
      <c r="C1808" s="173"/>
      <c r="D1808" s="173"/>
      <c r="E1808" s="173"/>
      <c r="F1808" s="173"/>
      <c r="G1808" s="173"/>
      <c r="H1808" s="173"/>
      <c r="I1808" s="173"/>
      <c r="J1808" s="173"/>
      <c r="K1808" s="173"/>
      <c r="L1808" s="173"/>
      <c r="M1808" s="173"/>
      <c r="N1808" s="173"/>
      <c r="O1808" s="173"/>
      <c r="P1808" s="173"/>
    </row>
    <row r="1809" hidden="1">
      <c r="A1809" s="172"/>
      <c r="B1809" s="173"/>
      <c r="C1809" s="173"/>
      <c r="D1809" s="173"/>
      <c r="E1809" s="173"/>
      <c r="F1809" s="173"/>
      <c r="G1809" s="173"/>
      <c r="H1809" s="173"/>
      <c r="I1809" s="173"/>
      <c r="J1809" s="173"/>
      <c r="K1809" s="173"/>
      <c r="L1809" s="173"/>
      <c r="M1809" s="173"/>
      <c r="N1809" s="173"/>
      <c r="O1809" s="173"/>
      <c r="P1809" s="173"/>
    </row>
    <row r="1810" hidden="1">
      <c r="A1810" s="172"/>
      <c r="B1810" s="173"/>
      <c r="C1810" s="173"/>
      <c r="D1810" s="173"/>
      <c r="E1810" s="173"/>
      <c r="F1810" s="173"/>
      <c r="G1810" s="173"/>
      <c r="H1810" s="173"/>
      <c r="I1810" s="173"/>
      <c r="J1810" s="173"/>
      <c r="K1810" s="173"/>
      <c r="L1810" s="173"/>
      <c r="M1810" s="173"/>
      <c r="N1810" s="173"/>
      <c r="O1810" s="173"/>
      <c r="P1810" s="173"/>
    </row>
    <row r="1811" hidden="1">
      <c r="A1811" s="172"/>
      <c r="B1811" s="173"/>
      <c r="C1811" s="173"/>
      <c r="D1811" s="173"/>
      <c r="E1811" s="173"/>
      <c r="F1811" s="173"/>
      <c r="G1811" s="173"/>
      <c r="H1811" s="173"/>
      <c r="I1811" s="173"/>
      <c r="J1811" s="173"/>
      <c r="K1811" s="173"/>
      <c r="L1811" s="173"/>
      <c r="M1811" s="173"/>
      <c r="N1811" s="173"/>
      <c r="O1811" s="173"/>
      <c r="P1811" s="173"/>
    </row>
    <row r="1812" hidden="1">
      <c r="A1812" s="172"/>
      <c r="B1812" s="173"/>
      <c r="C1812" s="173"/>
      <c r="D1812" s="173"/>
      <c r="E1812" s="173"/>
      <c r="F1812" s="173"/>
      <c r="G1812" s="173"/>
      <c r="H1812" s="173"/>
      <c r="I1812" s="173"/>
      <c r="J1812" s="173"/>
      <c r="K1812" s="173"/>
      <c r="L1812" s="173"/>
      <c r="M1812" s="173"/>
      <c r="N1812" s="173"/>
      <c r="O1812" s="173"/>
      <c r="P1812" s="173"/>
    </row>
    <row r="1813" hidden="1">
      <c r="A1813" s="172"/>
      <c r="B1813" s="173"/>
      <c r="C1813" s="173"/>
      <c r="D1813" s="173"/>
      <c r="E1813" s="173"/>
      <c r="F1813" s="173"/>
      <c r="G1813" s="173"/>
      <c r="H1813" s="173"/>
      <c r="I1813" s="173"/>
      <c r="J1813" s="173"/>
      <c r="K1813" s="173"/>
      <c r="L1813" s="173"/>
      <c r="M1813" s="173"/>
      <c r="N1813" s="173"/>
      <c r="O1813" s="173"/>
      <c r="P1813" s="173"/>
    </row>
    <row r="1814" hidden="1">
      <c r="A1814" s="172"/>
      <c r="B1814" s="173"/>
      <c r="C1814" s="173"/>
      <c r="D1814" s="173"/>
      <c r="E1814" s="173"/>
      <c r="F1814" s="173"/>
      <c r="G1814" s="173"/>
      <c r="H1814" s="173"/>
      <c r="I1814" s="173"/>
      <c r="J1814" s="173"/>
      <c r="K1814" s="173"/>
      <c r="L1814" s="173"/>
      <c r="M1814" s="173"/>
      <c r="N1814" s="173"/>
      <c r="O1814" s="173"/>
      <c r="P1814" s="173"/>
    </row>
    <row r="1815" hidden="1">
      <c r="A1815" s="172"/>
      <c r="B1815" s="173"/>
      <c r="C1815" s="173"/>
      <c r="D1815" s="173"/>
      <c r="E1815" s="173"/>
      <c r="F1815" s="173"/>
      <c r="G1815" s="173"/>
      <c r="H1815" s="173"/>
      <c r="I1815" s="173"/>
      <c r="J1815" s="173"/>
      <c r="K1815" s="173"/>
      <c r="L1815" s="173"/>
      <c r="M1815" s="173"/>
      <c r="N1815" s="173"/>
      <c r="O1815" s="173"/>
      <c r="P1815" s="173"/>
    </row>
    <row r="1816" hidden="1">
      <c r="A1816" s="172"/>
      <c r="B1816" s="173"/>
      <c r="C1816" s="173"/>
      <c r="D1816" s="173"/>
      <c r="E1816" s="173"/>
      <c r="F1816" s="173"/>
      <c r="G1816" s="173"/>
      <c r="H1816" s="173"/>
      <c r="I1816" s="173"/>
      <c r="J1816" s="173"/>
      <c r="K1816" s="173"/>
      <c r="L1816" s="173"/>
      <c r="M1816" s="173"/>
      <c r="N1816" s="173"/>
      <c r="O1816" s="173"/>
      <c r="P1816" s="173"/>
    </row>
    <row r="1817" hidden="1">
      <c r="A1817" s="172"/>
      <c r="B1817" s="173"/>
      <c r="C1817" s="173"/>
      <c r="D1817" s="173"/>
      <c r="E1817" s="173"/>
      <c r="F1817" s="173"/>
      <c r="G1817" s="173"/>
      <c r="H1817" s="173"/>
      <c r="I1817" s="173"/>
      <c r="J1817" s="173"/>
      <c r="K1817" s="173"/>
      <c r="L1817" s="173"/>
      <c r="M1817" s="173"/>
      <c r="N1817" s="173"/>
      <c r="O1817" s="173"/>
      <c r="P1817" s="173"/>
    </row>
    <row r="1818" hidden="1">
      <c r="A1818" s="172"/>
      <c r="B1818" s="173"/>
      <c r="C1818" s="173"/>
      <c r="D1818" s="173"/>
      <c r="E1818" s="173"/>
      <c r="F1818" s="173"/>
      <c r="G1818" s="173"/>
      <c r="H1818" s="173"/>
      <c r="I1818" s="173"/>
      <c r="J1818" s="173"/>
      <c r="K1818" s="173"/>
      <c r="L1818" s="173"/>
      <c r="M1818" s="173"/>
      <c r="N1818" s="173"/>
      <c r="O1818" s="173"/>
      <c r="P1818" s="173"/>
    </row>
    <row r="1819" hidden="1">
      <c r="A1819" s="172"/>
      <c r="B1819" s="173"/>
      <c r="C1819" s="173"/>
      <c r="D1819" s="173"/>
      <c r="E1819" s="173"/>
      <c r="F1819" s="173"/>
      <c r="G1819" s="173"/>
      <c r="H1819" s="173"/>
      <c r="I1819" s="173"/>
      <c r="J1819" s="173"/>
      <c r="K1819" s="173"/>
      <c r="L1819" s="173"/>
      <c r="M1819" s="173"/>
      <c r="N1819" s="173"/>
      <c r="O1819" s="173"/>
      <c r="P1819" s="173"/>
    </row>
    <row r="1820" hidden="1">
      <c r="A1820" s="172"/>
      <c r="B1820" s="173"/>
      <c r="C1820" s="173"/>
      <c r="D1820" s="173"/>
      <c r="E1820" s="173"/>
      <c r="F1820" s="173"/>
      <c r="G1820" s="173"/>
      <c r="H1820" s="173"/>
      <c r="I1820" s="173"/>
      <c r="J1820" s="173"/>
      <c r="K1820" s="173"/>
      <c r="L1820" s="173"/>
      <c r="M1820" s="173"/>
      <c r="N1820" s="173"/>
      <c r="O1820" s="173"/>
      <c r="P1820" s="173"/>
    </row>
    <row r="1821" hidden="1">
      <c r="A1821" s="172"/>
      <c r="B1821" s="173"/>
      <c r="C1821" s="173"/>
      <c r="D1821" s="173"/>
      <c r="E1821" s="173"/>
      <c r="F1821" s="173"/>
      <c r="G1821" s="173"/>
      <c r="H1821" s="173"/>
      <c r="I1821" s="173"/>
      <c r="J1821" s="173"/>
      <c r="K1821" s="173"/>
      <c r="L1821" s="173"/>
      <c r="M1821" s="173"/>
      <c r="N1821" s="173"/>
      <c r="O1821" s="173"/>
      <c r="P1821" s="173"/>
    </row>
    <row r="1822" hidden="1">
      <c r="A1822" s="172"/>
      <c r="B1822" s="173"/>
      <c r="C1822" s="173"/>
      <c r="D1822" s="173"/>
      <c r="E1822" s="173"/>
      <c r="F1822" s="173"/>
      <c r="G1822" s="173"/>
      <c r="H1822" s="173"/>
      <c r="I1822" s="173"/>
      <c r="J1822" s="173"/>
      <c r="K1822" s="173"/>
      <c r="L1822" s="173"/>
      <c r="M1822" s="173"/>
      <c r="N1822" s="173"/>
      <c r="O1822" s="173"/>
      <c r="P1822" s="173"/>
    </row>
    <row r="1823" hidden="1">
      <c r="A1823" s="172"/>
      <c r="B1823" s="173"/>
      <c r="C1823" s="173"/>
      <c r="D1823" s="173"/>
      <c r="E1823" s="173"/>
      <c r="F1823" s="173"/>
      <c r="G1823" s="173"/>
      <c r="H1823" s="173"/>
      <c r="I1823" s="173"/>
      <c r="J1823" s="173"/>
      <c r="K1823" s="173"/>
      <c r="L1823" s="173"/>
      <c r="M1823" s="173"/>
      <c r="N1823" s="173"/>
      <c r="O1823" s="173"/>
      <c r="P1823" s="173"/>
    </row>
    <row r="1824" hidden="1">
      <c r="A1824" s="172"/>
      <c r="B1824" s="173"/>
      <c r="C1824" s="173"/>
      <c r="D1824" s="173"/>
      <c r="E1824" s="173"/>
      <c r="F1824" s="173"/>
      <c r="G1824" s="173"/>
      <c r="H1824" s="173"/>
      <c r="I1824" s="173"/>
      <c r="J1824" s="173"/>
      <c r="K1824" s="173"/>
      <c r="L1824" s="173"/>
      <c r="M1824" s="173"/>
      <c r="N1824" s="173"/>
      <c r="O1824" s="173"/>
      <c r="P1824" s="173"/>
    </row>
    <row r="1825" hidden="1">
      <c r="A1825" s="172"/>
      <c r="B1825" s="173"/>
      <c r="C1825" s="173"/>
      <c r="D1825" s="173"/>
      <c r="E1825" s="173"/>
      <c r="F1825" s="173"/>
      <c r="G1825" s="173"/>
      <c r="H1825" s="173"/>
      <c r="I1825" s="173"/>
      <c r="J1825" s="173"/>
      <c r="K1825" s="173"/>
      <c r="L1825" s="173"/>
      <c r="M1825" s="173"/>
      <c r="N1825" s="173"/>
      <c r="O1825" s="173"/>
      <c r="P1825" s="173"/>
    </row>
    <row r="1826" hidden="1">
      <c r="A1826" s="172"/>
      <c r="B1826" s="173"/>
      <c r="C1826" s="173"/>
      <c r="D1826" s="173"/>
      <c r="E1826" s="173"/>
      <c r="F1826" s="173"/>
      <c r="G1826" s="173"/>
      <c r="H1826" s="173"/>
      <c r="I1826" s="173"/>
      <c r="J1826" s="173"/>
      <c r="K1826" s="173"/>
      <c r="L1826" s="173"/>
      <c r="M1826" s="173"/>
      <c r="N1826" s="173"/>
      <c r="O1826" s="173"/>
      <c r="P1826" s="173"/>
    </row>
    <row r="1827" hidden="1">
      <c r="A1827" s="172"/>
      <c r="B1827" s="173"/>
      <c r="C1827" s="173"/>
      <c r="D1827" s="173"/>
      <c r="E1827" s="173"/>
      <c r="F1827" s="173"/>
      <c r="G1827" s="173"/>
      <c r="H1827" s="173"/>
      <c r="I1827" s="173"/>
      <c r="J1827" s="173"/>
      <c r="K1827" s="173"/>
      <c r="L1827" s="173"/>
      <c r="M1827" s="173"/>
      <c r="N1827" s="173"/>
      <c r="O1827" s="173"/>
      <c r="P1827" s="173"/>
    </row>
    <row r="1828" hidden="1">
      <c r="A1828" s="172"/>
      <c r="B1828" s="173"/>
      <c r="C1828" s="173"/>
      <c r="D1828" s="173"/>
      <c r="E1828" s="173"/>
      <c r="F1828" s="173"/>
      <c r="G1828" s="173"/>
      <c r="H1828" s="173"/>
      <c r="I1828" s="173"/>
      <c r="J1828" s="173"/>
      <c r="K1828" s="173"/>
      <c r="L1828" s="173"/>
      <c r="M1828" s="173"/>
      <c r="N1828" s="173"/>
      <c r="O1828" s="173"/>
      <c r="P1828" s="173"/>
    </row>
    <row r="1829" hidden="1">
      <c r="A1829" s="172"/>
      <c r="B1829" s="173"/>
      <c r="C1829" s="173"/>
      <c r="D1829" s="173"/>
      <c r="E1829" s="173"/>
      <c r="F1829" s="173"/>
      <c r="G1829" s="173"/>
      <c r="H1829" s="173"/>
      <c r="I1829" s="173"/>
      <c r="J1829" s="173"/>
      <c r="K1829" s="173"/>
      <c r="L1829" s="173"/>
      <c r="M1829" s="173"/>
      <c r="N1829" s="173"/>
      <c r="O1829" s="173"/>
      <c r="P1829" s="173"/>
    </row>
    <row r="1830" hidden="1">
      <c r="A1830" s="172"/>
      <c r="B1830" s="173"/>
      <c r="C1830" s="173"/>
      <c r="D1830" s="173"/>
      <c r="E1830" s="173"/>
      <c r="F1830" s="173"/>
      <c r="G1830" s="173"/>
      <c r="H1830" s="173"/>
      <c r="I1830" s="173"/>
      <c r="J1830" s="173"/>
      <c r="K1830" s="173"/>
      <c r="L1830" s="173"/>
      <c r="M1830" s="173"/>
      <c r="N1830" s="173"/>
      <c r="O1830" s="173"/>
      <c r="P1830" s="173"/>
    </row>
    <row r="1831" hidden="1">
      <c r="A1831" s="172"/>
      <c r="B1831" s="173"/>
      <c r="C1831" s="173"/>
      <c r="D1831" s="173"/>
      <c r="E1831" s="173"/>
      <c r="F1831" s="173"/>
      <c r="G1831" s="173"/>
      <c r="H1831" s="173"/>
      <c r="I1831" s="173"/>
      <c r="J1831" s="173"/>
      <c r="K1831" s="173"/>
      <c r="L1831" s="173"/>
      <c r="M1831" s="173"/>
      <c r="N1831" s="173"/>
      <c r="O1831" s="173"/>
      <c r="P1831" s="173"/>
    </row>
    <row r="1832" hidden="1">
      <c r="A1832" s="172"/>
      <c r="B1832" s="173"/>
      <c r="C1832" s="173"/>
      <c r="D1832" s="173"/>
      <c r="E1832" s="173"/>
      <c r="F1832" s="173"/>
      <c r="G1832" s="173"/>
      <c r="H1832" s="173"/>
      <c r="I1832" s="173"/>
      <c r="J1832" s="173"/>
      <c r="K1832" s="173"/>
      <c r="L1832" s="173"/>
      <c r="M1832" s="173"/>
      <c r="N1832" s="173"/>
      <c r="O1832" s="173"/>
      <c r="P1832" s="173"/>
    </row>
    <row r="1833" hidden="1">
      <c r="A1833" s="172"/>
      <c r="B1833" s="173"/>
      <c r="C1833" s="173"/>
      <c r="D1833" s="173"/>
      <c r="E1833" s="173"/>
      <c r="F1833" s="173"/>
      <c r="G1833" s="173"/>
      <c r="H1833" s="173"/>
      <c r="I1833" s="173"/>
      <c r="J1833" s="173"/>
      <c r="K1833" s="173"/>
      <c r="L1833" s="173"/>
      <c r="M1833" s="173"/>
      <c r="N1833" s="173"/>
      <c r="O1833" s="173"/>
      <c r="P1833" s="173"/>
    </row>
    <row r="1834" hidden="1">
      <c r="A1834" s="172"/>
      <c r="B1834" s="173"/>
      <c r="C1834" s="173"/>
      <c r="D1834" s="173"/>
      <c r="E1834" s="173"/>
      <c r="F1834" s="173"/>
      <c r="G1834" s="173"/>
      <c r="H1834" s="173"/>
      <c r="I1834" s="173"/>
      <c r="J1834" s="173"/>
      <c r="K1834" s="173"/>
      <c r="L1834" s="173"/>
      <c r="M1834" s="173"/>
      <c r="N1834" s="173"/>
      <c r="O1834" s="173"/>
      <c r="P1834" s="173"/>
    </row>
    <row r="1835" hidden="1">
      <c r="A1835" s="172"/>
      <c r="B1835" s="173"/>
      <c r="C1835" s="173"/>
      <c r="D1835" s="173"/>
      <c r="E1835" s="173"/>
      <c r="F1835" s="173"/>
      <c r="G1835" s="173"/>
      <c r="H1835" s="173"/>
      <c r="I1835" s="173"/>
      <c r="J1835" s="173"/>
      <c r="K1835" s="173"/>
      <c r="L1835" s="173"/>
      <c r="M1835" s="173"/>
      <c r="N1835" s="173"/>
      <c r="O1835" s="173"/>
      <c r="P1835" s="173"/>
    </row>
    <row r="1836" hidden="1">
      <c r="A1836" s="172"/>
      <c r="B1836" s="173"/>
      <c r="C1836" s="173"/>
      <c r="D1836" s="173"/>
      <c r="E1836" s="173"/>
      <c r="F1836" s="173"/>
      <c r="G1836" s="173"/>
      <c r="H1836" s="173"/>
      <c r="I1836" s="173"/>
      <c r="J1836" s="173"/>
      <c r="K1836" s="173"/>
      <c r="L1836" s="173"/>
      <c r="M1836" s="173"/>
      <c r="N1836" s="173"/>
      <c r="O1836" s="173"/>
      <c r="P1836" s="173"/>
    </row>
    <row r="1837" hidden="1">
      <c r="A1837" s="172"/>
      <c r="B1837" s="173"/>
      <c r="C1837" s="173"/>
      <c r="D1837" s="173"/>
      <c r="E1837" s="173"/>
      <c r="F1837" s="173"/>
      <c r="G1837" s="173"/>
      <c r="H1837" s="173"/>
      <c r="I1837" s="173"/>
      <c r="J1837" s="173"/>
      <c r="K1837" s="173"/>
      <c r="L1837" s="173"/>
      <c r="M1837" s="173"/>
      <c r="N1837" s="173"/>
      <c r="O1837" s="173"/>
      <c r="P1837" s="173"/>
    </row>
    <row r="1838" hidden="1">
      <c r="A1838" s="172"/>
      <c r="B1838" s="173"/>
      <c r="C1838" s="173"/>
      <c r="D1838" s="173"/>
      <c r="E1838" s="173"/>
      <c r="F1838" s="173"/>
      <c r="G1838" s="173"/>
      <c r="H1838" s="173"/>
      <c r="I1838" s="173"/>
      <c r="J1838" s="173"/>
      <c r="K1838" s="173"/>
      <c r="L1838" s="173"/>
      <c r="M1838" s="173"/>
      <c r="N1838" s="173"/>
      <c r="O1838" s="173"/>
      <c r="P1838" s="173"/>
    </row>
    <row r="1839" hidden="1">
      <c r="A1839" s="172"/>
      <c r="B1839" s="173"/>
      <c r="C1839" s="173"/>
      <c r="D1839" s="173"/>
      <c r="E1839" s="173"/>
      <c r="F1839" s="173"/>
      <c r="G1839" s="173"/>
      <c r="H1839" s="173"/>
      <c r="I1839" s="173"/>
      <c r="J1839" s="173"/>
      <c r="K1839" s="173"/>
      <c r="L1839" s="173"/>
      <c r="M1839" s="173"/>
      <c r="N1839" s="173"/>
      <c r="O1839" s="173"/>
      <c r="P1839" s="173"/>
    </row>
    <row r="1840" hidden="1">
      <c r="A1840" s="172"/>
      <c r="B1840" s="173"/>
      <c r="C1840" s="173"/>
      <c r="D1840" s="173"/>
      <c r="E1840" s="173"/>
      <c r="F1840" s="173"/>
      <c r="G1840" s="173"/>
      <c r="H1840" s="173"/>
      <c r="I1840" s="173"/>
      <c r="J1840" s="173"/>
      <c r="K1840" s="173"/>
      <c r="L1840" s="173"/>
      <c r="M1840" s="173"/>
      <c r="N1840" s="173"/>
      <c r="O1840" s="173"/>
      <c r="P1840" s="173"/>
    </row>
    <row r="1841" hidden="1">
      <c r="A1841" s="172"/>
      <c r="B1841" s="173"/>
      <c r="C1841" s="173"/>
      <c r="D1841" s="173"/>
      <c r="E1841" s="173"/>
      <c r="F1841" s="173"/>
      <c r="G1841" s="173"/>
      <c r="H1841" s="173"/>
      <c r="I1841" s="173"/>
      <c r="J1841" s="173"/>
      <c r="K1841" s="173"/>
      <c r="L1841" s="173"/>
      <c r="M1841" s="173"/>
      <c r="N1841" s="173"/>
      <c r="O1841" s="173"/>
      <c r="P1841" s="173"/>
    </row>
    <row r="1842" hidden="1">
      <c r="A1842" s="172"/>
      <c r="B1842" s="173"/>
      <c r="C1842" s="173"/>
      <c r="D1842" s="173"/>
      <c r="E1842" s="173"/>
      <c r="F1842" s="173"/>
      <c r="G1842" s="173"/>
      <c r="H1842" s="173"/>
      <c r="I1842" s="173"/>
      <c r="J1842" s="173"/>
      <c r="K1842" s="173"/>
      <c r="L1842" s="173"/>
      <c r="M1842" s="173"/>
      <c r="N1842" s="173"/>
      <c r="O1842" s="173"/>
      <c r="P1842" s="173"/>
    </row>
    <row r="1843" hidden="1">
      <c r="A1843" s="172"/>
      <c r="B1843" s="173"/>
      <c r="C1843" s="173"/>
      <c r="D1843" s="173"/>
      <c r="E1843" s="173"/>
      <c r="F1843" s="173"/>
      <c r="G1843" s="173"/>
      <c r="H1843" s="173"/>
      <c r="I1843" s="173"/>
      <c r="J1843" s="173"/>
      <c r="K1843" s="173"/>
      <c r="L1843" s="173"/>
      <c r="M1843" s="173"/>
      <c r="N1843" s="173"/>
      <c r="O1843" s="173"/>
      <c r="P1843" s="173"/>
    </row>
    <row r="1844" hidden="1">
      <c r="A1844" s="172"/>
      <c r="B1844" s="173"/>
      <c r="C1844" s="173"/>
      <c r="D1844" s="173"/>
      <c r="E1844" s="173"/>
      <c r="F1844" s="173"/>
      <c r="G1844" s="173"/>
      <c r="H1844" s="173"/>
      <c r="I1844" s="173"/>
      <c r="J1844" s="173"/>
      <c r="K1844" s="173"/>
      <c r="L1844" s="173"/>
      <c r="M1844" s="173"/>
      <c r="N1844" s="173"/>
      <c r="O1844" s="173"/>
      <c r="P1844" s="173"/>
    </row>
    <row r="1845" hidden="1">
      <c r="A1845" s="172"/>
      <c r="B1845" s="173"/>
      <c r="C1845" s="173"/>
      <c r="D1845" s="173"/>
      <c r="E1845" s="173"/>
      <c r="F1845" s="173"/>
      <c r="G1845" s="173"/>
      <c r="H1845" s="173"/>
      <c r="I1845" s="173"/>
      <c r="J1845" s="173"/>
      <c r="K1845" s="173"/>
      <c r="L1845" s="173"/>
      <c r="M1845" s="173"/>
      <c r="N1845" s="173"/>
      <c r="O1845" s="173"/>
      <c r="P1845" s="173"/>
    </row>
    <row r="1846" hidden="1">
      <c r="A1846" s="172"/>
      <c r="B1846" s="173"/>
      <c r="C1846" s="173"/>
      <c r="D1846" s="173"/>
      <c r="E1846" s="173"/>
      <c r="F1846" s="173"/>
      <c r="G1846" s="173"/>
      <c r="H1846" s="173"/>
      <c r="I1846" s="173"/>
      <c r="J1846" s="173"/>
      <c r="K1846" s="173"/>
      <c r="L1846" s="173"/>
      <c r="M1846" s="173"/>
      <c r="N1846" s="173"/>
      <c r="O1846" s="173"/>
      <c r="P1846" s="173"/>
    </row>
    <row r="1847" hidden="1">
      <c r="A1847" s="172"/>
      <c r="B1847" s="173"/>
      <c r="C1847" s="173"/>
      <c r="D1847" s="173"/>
      <c r="E1847" s="173"/>
      <c r="F1847" s="173"/>
      <c r="G1847" s="173"/>
      <c r="H1847" s="173"/>
      <c r="I1847" s="173"/>
      <c r="J1847" s="173"/>
      <c r="K1847" s="173"/>
      <c r="L1847" s="173"/>
      <c r="M1847" s="173"/>
      <c r="N1847" s="173"/>
      <c r="O1847" s="173"/>
      <c r="P1847" s="173"/>
    </row>
    <row r="1848" hidden="1">
      <c r="A1848" s="172"/>
      <c r="B1848" s="173"/>
      <c r="C1848" s="173"/>
      <c r="D1848" s="173"/>
      <c r="E1848" s="173"/>
      <c r="F1848" s="173"/>
      <c r="G1848" s="173"/>
      <c r="H1848" s="173"/>
      <c r="I1848" s="173"/>
      <c r="J1848" s="173"/>
      <c r="K1848" s="173"/>
      <c r="L1848" s="173"/>
      <c r="M1848" s="173"/>
      <c r="N1848" s="173"/>
      <c r="O1848" s="173"/>
      <c r="P1848" s="173"/>
    </row>
    <row r="1849" hidden="1">
      <c r="A1849" s="172"/>
      <c r="B1849" s="173"/>
      <c r="C1849" s="173"/>
      <c r="D1849" s="173"/>
      <c r="E1849" s="173"/>
      <c r="F1849" s="173"/>
      <c r="G1849" s="173"/>
      <c r="H1849" s="173"/>
      <c r="I1849" s="173"/>
      <c r="J1849" s="173"/>
      <c r="K1849" s="173"/>
      <c r="L1849" s="173"/>
      <c r="M1849" s="173"/>
      <c r="N1849" s="173"/>
      <c r="O1849" s="173"/>
      <c r="P1849" s="173"/>
    </row>
    <row r="1850" hidden="1">
      <c r="A1850" s="172"/>
      <c r="B1850" s="173"/>
      <c r="C1850" s="173"/>
      <c r="D1850" s="173"/>
      <c r="E1850" s="173"/>
      <c r="F1850" s="173"/>
      <c r="G1850" s="173"/>
      <c r="H1850" s="173"/>
      <c r="I1850" s="173"/>
      <c r="J1850" s="173"/>
      <c r="K1850" s="173"/>
      <c r="L1850" s="173"/>
      <c r="M1850" s="173"/>
      <c r="N1850" s="173"/>
      <c r="O1850" s="173"/>
      <c r="P1850" s="173"/>
    </row>
    <row r="1851" hidden="1">
      <c r="A1851" s="172"/>
      <c r="B1851" s="173"/>
      <c r="C1851" s="173"/>
      <c r="D1851" s="173"/>
      <c r="E1851" s="173"/>
      <c r="F1851" s="173"/>
      <c r="G1851" s="173"/>
      <c r="H1851" s="173"/>
      <c r="I1851" s="173"/>
      <c r="J1851" s="173"/>
      <c r="K1851" s="173"/>
      <c r="L1851" s="173"/>
      <c r="M1851" s="173"/>
      <c r="N1851" s="173"/>
      <c r="O1851" s="173"/>
      <c r="P1851" s="173"/>
    </row>
    <row r="1852" hidden="1">
      <c r="A1852" s="172"/>
      <c r="B1852" s="173"/>
      <c r="C1852" s="173"/>
      <c r="D1852" s="173"/>
      <c r="E1852" s="173"/>
      <c r="F1852" s="173"/>
      <c r="G1852" s="173"/>
      <c r="H1852" s="173"/>
      <c r="I1852" s="173"/>
      <c r="J1852" s="173"/>
      <c r="K1852" s="173"/>
      <c r="L1852" s="173"/>
      <c r="M1852" s="173"/>
      <c r="N1852" s="173"/>
      <c r="O1852" s="173"/>
      <c r="P1852" s="173"/>
    </row>
    <row r="1853" hidden="1">
      <c r="A1853" s="172"/>
      <c r="B1853" s="173"/>
      <c r="C1853" s="173"/>
      <c r="D1853" s="173"/>
      <c r="E1853" s="173"/>
      <c r="F1853" s="173"/>
      <c r="G1853" s="173"/>
      <c r="H1853" s="173"/>
      <c r="I1853" s="173"/>
      <c r="J1853" s="173"/>
      <c r="K1853" s="173"/>
      <c r="L1853" s="173"/>
      <c r="M1853" s="173"/>
      <c r="N1853" s="173"/>
      <c r="O1853" s="173"/>
      <c r="P1853" s="173"/>
    </row>
    <row r="1854" hidden="1">
      <c r="A1854" s="172"/>
      <c r="B1854" s="173"/>
      <c r="C1854" s="173"/>
      <c r="D1854" s="173"/>
      <c r="E1854" s="173"/>
      <c r="F1854" s="173"/>
      <c r="G1854" s="173"/>
      <c r="H1854" s="173"/>
      <c r="I1854" s="173"/>
      <c r="J1854" s="173"/>
      <c r="K1854" s="173"/>
      <c r="L1854" s="173"/>
      <c r="M1854" s="173"/>
      <c r="N1854" s="173"/>
      <c r="O1854" s="173"/>
      <c r="P1854" s="173"/>
    </row>
    <row r="1855" hidden="1">
      <c r="A1855" s="172"/>
      <c r="B1855" s="173"/>
      <c r="C1855" s="173"/>
      <c r="D1855" s="173"/>
      <c r="E1855" s="173"/>
      <c r="F1855" s="173"/>
      <c r="G1855" s="173"/>
      <c r="H1855" s="173"/>
      <c r="I1855" s="173"/>
      <c r="J1855" s="173"/>
      <c r="K1855" s="173"/>
      <c r="L1855" s="173"/>
      <c r="M1855" s="173"/>
      <c r="N1855" s="173"/>
      <c r="O1855" s="173"/>
      <c r="P1855" s="173"/>
    </row>
    <row r="1856" hidden="1">
      <c r="A1856" s="172"/>
      <c r="B1856" s="173"/>
      <c r="C1856" s="173"/>
      <c r="D1856" s="173"/>
      <c r="E1856" s="173"/>
      <c r="F1856" s="173"/>
      <c r="G1856" s="173"/>
      <c r="H1856" s="173"/>
      <c r="I1856" s="173"/>
      <c r="J1856" s="173"/>
      <c r="K1856" s="173"/>
      <c r="L1856" s="173"/>
      <c r="M1856" s="173"/>
      <c r="N1856" s="173"/>
      <c r="O1856" s="173"/>
      <c r="P1856" s="173"/>
    </row>
    <row r="1857" hidden="1">
      <c r="A1857" s="172"/>
      <c r="B1857" s="173"/>
      <c r="C1857" s="173"/>
      <c r="D1857" s="173"/>
      <c r="E1857" s="173"/>
      <c r="F1857" s="173"/>
      <c r="G1857" s="173"/>
      <c r="H1857" s="173"/>
      <c r="I1857" s="173"/>
      <c r="J1857" s="173"/>
      <c r="K1857" s="173"/>
      <c r="L1857" s="173"/>
      <c r="M1857" s="173"/>
      <c r="N1857" s="173"/>
      <c r="O1857" s="173"/>
      <c r="P1857" s="173"/>
    </row>
    <row r="1858" hidden="1">
      <c r="A1858" s="172"/>
      <c r="B1858" s="173"/>
      <c r="C1858" s="173"/>
      <c r="D1858" s="173"/>
      <c r="E1858" s="173"/>
      <c r="F1858" s="173"/>
      <c r="G1858" s="173"/>
      <c r="H1858" s="173"/>
      <c r="I1858" s="173"/>
      <c r="J1858" s="173"/>
      <c r="K1858" s="173"/>
      <c r="L1858" s="173"/>
      <c r="M1858" s="173"/>
      <c r="N1858" s="173"/>
      <c r="O1858" s="173"/>
      <c r="P1858" s="173"/>
    </row>
    <row r="1859" hidden="1">
      <c r="A1859" s="172"/>
      <c r="B1859" s="173"/>
      <c r="C1859" s="173"/>
      <c r="D1859" s="173"/>
      <c r="E1859" s="173"/>
      <c r="F1859" s="173"/>
      <c r="G1859" s="173"/>
      <c r="H1859" s="173"/>
      <c r="I1859" s="173"/>
      <c r="J1859" s="173"/>
      <c r="K1859" s="173"/>
      <c r="L1859" s="173"/>
      <c r="M1859" s="173"/>
      <c r="N1859" s="173"/>
      <c r="O1859" s="173"/>
      <c r="P1859" s="173"/>
    </row>
    <row r="1860" hidden="1">
      <c r="A1860" s="172"/>
      <c r="B1860" s="173"/>
      <c r="C1860" s="173"/>
      <c r="D1860" s="173"/>
      <c r="E1860" s="173"/>
      <c r="F1860" s="173"/>
      <c r="G1860" s="173"/>
      <c r="H1860" s="173"/>
      <c r="I1860" s="173"/>
      <c r="J1860" s="173"/>
      <c r="K1860" s="173"/>
      <c r="L1860" s="173"/>
      <c r="M1860" s="173"/>
      <c r="N1860" s="173"/>
      <c r="O1860" s="173"/>
      <c r="P1860" s="173"/>
    </row>
    <row r="1861" hidden="1">
      <c r="A1861" s="172"/>
      <c r="B1861" s="173"/>
      <c r="C1861" s="173"/>
      <c r="D1861" s="173"/>
      <c r="E1861" s="173"/>
      <c r="F1861" s="173"/>
      <c r="G1861" s="173"/>
      <c r="H1861" s="173"/>
      <c r="I1861" s="173"/>
      <c r="J1861" s="173"/>
      <c r="K1861" s="173"/>
      <c r="L1861" s="173"/>
      <c r="M1861" s="173"/>
      <c r="N1861" s="173"/>
      <c r="O1861" s="173"/>
      <c r="P1861" s="173"/>
    </row>
    <row r="1862" hidden="1">
      <c r="A1862" s="172"/>
      <c r="B1862" s="173"/>
      <c r="C1862" s="173"/>
      <c r="D1862" s="173"/>
      <c r="E1862" s="173"/>
      <c r="F1862" s="173"/>
      <c r="G1862" s="173"/>
      <c r="H1862" s="173"/>
      <c r="I1862" s="173"/>
      <c r="J1862" s="173"/>
      <c r="K1862" s="173"/>
      <c r="L1862" s="173"/>
      <c r="M1862" s="173"/>
      <c r="N1862" s="173"/>
      <c r="O1862" s="173"/>
      <c r="P1862" s="173"/>
    </row>
    <row r="1863" hidden="1">
      <c r="A1863" s="172"/>
      <c r="B1863" s="173"/>
      <c r="C1863" s="173"/>
      <c r="D1863" s="173"/>
      <c r="E1863" s="173"/>
      <c r="F1863" s="173"/>
      <c r="G1863" s="173"/>
      <c r="H1863" s="173"/>
      <c r="I1863" s="173"/>
      <c r="J1863" s="173"/>
      <c r="K1863" s="173"/>
      <c r="L1863" s="173"/>
      <c r="M1863" s="173"/>
      <c r="N1863" s="173"/>
      <c r="O1863" s="173"/>
      <c r="P1863" s="173"/>
    </row>
    <row r="1864" hidden="1">
      <c r="A1864" s="172"/>
      <c r="B1864" s="173"/>
      <c r="C1864" s="173"/>
      <c r="D1864" s="173"/>
      <c r="E1864" s="173"/>
      <c r="F1864" s="173"/>
      <c r="G1864" s="173"/>
      <c r="H1864" s="173"/>
      <c r="I1864" s="173"/>
      <c r="J1864" s="173"/>
      <c r="K1864" s="173"/>
      <c r="L1864" s="173"/>
      <c r="M1864" s="173"/>
      <c r="N1864" s="173"/>
      <c r="O1864" s="173"/>
      <c r="P1864" s="173"/>
    </row>
    <row r="1865" hidden="1">
      <c r="A1865" s="172"/>
      <c r="B1865" s="173"/>
      <c r="C1865" s="173"/>
      <c r="D1865" s="173"/>
      <c r="E1865" s="173"/>
      <c r="F1865" s="173"/>
      <c r="G1865" s="173"/>
      <c r="H1865" s="173"/>
      <c r="I1865" s="173"/>
      <c r="J1865" s="173"/>
      <c r="K1865" s="173"/>
      <c r="L1865" s="173"/>
      <c r="M1865" s="173"/>
      <c r="N1865" s="173"/>
      <c r="O1865" s="173"/>
      <c r="P1865" s="173"/>
    </row>
    <row r="1866" hidden="1">
      <c r="A1866" s="172"/>
      <c r="B1866" s="173"/>
      <c r="C1866" s="173"/>
      <c r="D1866" s="173"/>
      <c r="E1866" s="173"/>
      <c r="F1866" s="173"/>
      <c r="G1866" s="173"/>
      <c r="H1866" s="173"/>
      <c r="I1866" s="173"/>
      <c r="J1866" s="173"/>
      <c r="K1866" s="173"/>
      <c r="L1866" s="173"/>
      <c r="M1866" s="173"/>
      <c r="N1866" s="173"/>
      <c r="O1866" s="173"/>
      <c r="P1866" s="173"/>
    </row>
    <row r="1867" hidden="1">
      <c r="A1867" s="172"/>
      <c r="B1867" s="173"/>
      <c r="C1867" s="173"/>
      <c r="D1867" s="173"/>
      <c r="E1867" s="173"/>
      <c r="F1867" s="173"/>
      <c r="G1867" s="173"/>
      <c r="H1867" s="173"/>
      <c r="I1867" s="173"/>
      <c r="J1867" s="173"/>
      <c r="K1867" s="173"/>
      <c r="L1867" s="173"/>
      <c r="M1867" s="173"/>
      <c r="N1867" s="173"/>
      <c r="O1867" s="173"/>
      <c r="P1867" s="173"/>
    </row>
    <row r="1868" hidden="1">
      <c r="A1868" s="172"/>
      <c r="B1868" s="173"/>
      <c r="C1868" s="173"/>
      <c r="D1868" s="173"/>
      <c r="E1868" s="173"/>
      <c r="F1868" s="173"/>
      <c r="G1868" s="173"/>
      <c r="H1868" s="173"/>
      <c r="I1868" s="173"/>
      <c r="J1868" s="173"/>
      <c r="K1868" s="173"/>
      <c r="L1868" s="173"/>
      <c r="M1868" s="173"/>
      <c r="N1868" s="173"/>
      <c r="O1868" s="173"/>
      <c r="P1868" s="173"/>
    </row>
    <row r="1869" hidden="1">
      <c r="A1869" s="172"/>
      <c r="B1869" s="173"/>
      <c r="C1869" s="173"/>
      <c r="D1869" s="173"/>
      <c r="E1869" s="173"/>
      <c r="F1869" s="173"/>
      <c r="G1869" s="173"/>
      <c r="H1869" s="173"/>
      <c r="I1869" s="173"/>
      <c r="J1869" s="173"/>
      <c r="K1869" s="173"/>
      <c r="L1869" s="173"/>
      <c r="M1869" s="173"/>
      <c r="N1869" s="173"/>
      <c r="O1869" s="173"/>
      <c r="P1869" s="173"/>
    </row>
    <row r="1870" hidden="1">
      <c r="A1870" s="172"/>
      <c r="B1870" s="173"/>
      <c r="C1870" s="173"/>
      <c r="D1870" s="173"/>
      <c r="E1870" s="173"/>
      <c r="F1870" s="173"/>
      <c r="G1870" s="173"/>
      <c r="H1870" s="173"/>
      <c r="I1870" s="173"/>
      <c r="J1870" s="173"/>
      <c r="K1870" s="173"/>
      <c r="L1870" s="173"/>
      <c r="M1870" s="173"/>
      <c r="N1870" s="173"/>
      <c r="O1870" s="173"/>
      <c r="P1870" s="173"/>
    </row>
    <row r="1871" hidden="1">
      <c r="A1871" s="172"/>
      <c r="B1871" s="173"/>
      <c r="C1871" s="173"/>
      <c r="D1871" s="173"/>
      <c r="E1871" s="173"/>
      <c r="F1871" s="173"/>
      <c r="G1871" s="173"/>
      <c r="H1871" s="173"/>
      <c r="I1871" s="173"/>
      <c r="J1871" s="173"/>
      <c r="K1871" s="173"/>
      <c r="L1871" s="173"/>
      <c r="M1871" s="173"/>
      <c r="N1871" s="173"/>
      <c r="O1871" s="173"/>
      <c r="P1871" s="173"/>
    </row>
    <row r="1872" hidden="1">
      <c r="A1872" s="172"/>
      <c r="B1872" s="173"/>
      <c r="C1872" s="173"/>
      <c r="D1872" s="173"/>
      <c r="E1872" s="173"/>
      <c r="F1872" s="173"/>
      <c r="G1872" s="173"/>
      <c r="H1872" s="173"/>
      <c r="I1872" s="173"/>
      <c r="J1872" s="173"/>
      <c r="K1872" s="173"/>
      <c r="L1872" s="173"/>
      <c r="M1872" s="173"/>
      <c r="N1872" s="173"/>
      <c r="O1872" s="173"/>
      <c r="P1872" s="173"/>
    </row>
    <row r="1873" hidden="1">
      <c r="A1873" s="172"/>
      <c r="B1873" s="173"/>
      <c r="C1873" s="173"/>
      <c r="D1873" s="173"/>
      <c r="E1873" s="173"/>
      <c r="F1873" s="173"/>
      <c r="G1873" s="173"/>
      <c r="H1873" s="173"/>
      <c r="I1873" s="173"/>
      <c r="J1873" s="173"/>
      <c r="K1873" s="173"/>
      <c r="L1873" s="173"/>
      <c r="M1873" s="173"/>
      <c r="N1873" s="173"/>
      <c r="O1873" s="173"/>
      <c r="P1873" s="173"/>
    </row>
    <row r="1874" hidden="1">
      <c r="A1874" s="172"/>
      <c r="B1874" s="173"/>
      <c r="C1874" s="173"/>
      <c r="D1874" s="173"/>
      <c r="E1874" s="173"/>
      <c r="F1874" s="173"/>
      <c r="G1874" s="173"/>
      <c r="H1874" s="173"/>
      <c r="I1874" s="173"/>
      <c r="J1874" s="173"/>
      <c r="K1874" s="173"/>
      <c r="L1874" s="173"/>
      <c r="M1874" s="173"/>
      <c r="N1874" s="173"/>
      <c r="O1874" s="173"/>
      <c r="P1874" s="173"/>
    </row>
    <row r="1875" hidden="1">
      <c r="A1875" s="172"/>
      <c r="B1875" s="173"/>
      <c r="C1875" s="173"/>
      <c r="D1875" s="173"/>
      <c r="E1875" s="173"/>
      <c r="F1875" s="173"/>
      <c r="G1875" s="173"/>
      <c r="H1875" s="173"/>
      <c r="I1875" s="173"/>
      <c r="J1875" s="173"/>
      <c r="K1875" s="173"/>
      <c r="L1875" s="173"/>
      <c r="M1875" s="173"/>
      <c r="N1875" s="173"/>
      <c r="O1875" s="173"/>
      <c r="P1875" s="173"/>
    </row>
    <row r="1876" hidden="1">
      <c r="A1876" s="172"/>
      <c r="B1876" s="173"/>
      <c r="C1876" s="173"/>
      <c r="D1876" s="173"/>
      <c r="E1876" s="173"/>
      <c r="F1876" s="173"/>
      <c r="G1876" s="173"/>
      <c r="H1876" s="173"/>
      <c r="I1876" s="173"/>
      <c r="J1876" s="173"/>
      <c r="K1876" s="173"/>
      <c r="L1876" s="173"/>
      <c r="M1876" s="173"/>
      <c r="N1876" s="173"/>
      <c r="O1876" s="173"/>
      <c r="P1876" s="173"/>
    </row>
    <row r="1877" hidden="1">
      <c r="A1877" s="172"/>
      <c r="B1877" s="173"/>
      <c r="C1877" s="173"/>
      <c r="D1877" s="173"/>
      <c r="E1877" s="173"/>
      <c r="F1877" s="173"/>
      <c r="G1877" s="173"/>
      <c r="H1877" s="173"/>
      <c r="I1877" s="173"/>
      <c r="J1877" s="173"/>
      <c r="K1877" s="173"/>
      <c r="L1877" s="173"/>
      <c r="M1877" s="173"/>
      <c r="N1877" s="173"/>
      <c r="O1877" s="173"/>
      <c r="P1877" s="173"/>
    </row>
    <row r="1878" hidden="1">
      <c r="A1878" s="172"/>
      <c r="B1878" s="173"/>
      <c r="C1878" s="173"/>
      <c r="D1878" s="173"/>
      <c r="E1878" s="173"/>
      <c r="F1878" s="173"/>
      <c r="G1878" s="173"/>
      <c r="H1878" s="173"/>
      <c r="I1878" s="173"/>
      <c r="J1878" s="173"/>
      <c r="K1878" s="173"/>
      <c r="L1878" s="173"/>
      <c r="M1878" s="173"/>
      <c r="N1878" s="173"/>
      <c r="O1878" s="173"/>
      <c r="P1878" s="173"/>
    </row>
    <row r="1879" hidden="1">
      <c r="A1879" s="172"/>
      <c r="B1879" s="173"/>
      <c r="C1879" s="173"/>
      <c r="D1879" s="173"/>
      <c r="E1879" s="173"/>
      <c r="F1879" s="173"/>
      <c r="G1879" s="173"/>
      <c r="H1879" s="173"/>
      <c r="I1879" s="173"/>
      <c r="J1879" s="173"/>
      <c r="K1879" s="173"/>
      <c r="L1879" s="173"/>
      <c r="M1879" s="173"/>
      <c r="N1879" s="173"/>
      <c r="O1879" s="173"/>
      <c r="P1879" s="173"/>
    </row>
    <row r="1880" hidden="1">
      <c r="A1880" s="172"/>
      <c r="B1880" s="173"/>
      <c r="C1880" s="173"/>
      <c r="D1880" s="173"/>
      <c r="E1880" s="173"/>
      <c r="F1880" s="173"/>
      <c r="G1880" s="173"/>
      <c r="H1880" s="173"/>
      <c r="I1880" s="173"/>
      <c r="J1880" s="173"/>
      <c r="K1880" s="173"/>
      <c r="L1880" s="173"/>
      <c r="M1880" s="173"/>
      <c r="N1880" s="173"/>
      <c r="O1880" s="173"/>
      <c r="P1880" s="173"/>
    </row>
    <row r="1881" hidden="1">
      <c r="A1881" s="172"/>
      <c r="B1881" s="173"/>
      <c r="C1881" s="173"/>
      <c r="D1881" s="173"/>
      <c r="E1881" s="173"/>
      <c r="F1881" s="173"/>
      <c r="G1881" s="173"/>
      <c r="H1881" s="173"/>
      <c r="I1881" s="173"/>
      <c r="J1881" s="173"/>
      <c r="K1881" s="173"/>
      <c r="L1881" s="173"/>
      <c r="M1881" s="173"/>
      <c r="N1881" s="173"/>
      <c r="O1881" s="173"/>
      <c r="P1881" s="173"/>
    </row>
    <row r="1882" hidden="1">
      <c r="A1882" s="172"/>
      <c r="B1882" s="173"/>
      <c r="C1882" s="173"/>
      <c r="D1882" s="173"/>
      <c r="E1882" s="173"/>
      <c r="F1882" s="173"/>
      <c r="G1882" s="173"/>
      <c r="H1882" s="173"/>
      <c r="I1882" s="173"/>
      <c r="J1882" s="173"/>
      <c r="K1882" s="173"/>
      <c r="L1882" s="173"/>
      <c r="M1882" s="173"/>
      <c r="N1882" s="173"/>
      <c r="O1882" s="173"/>
      <c r="P1882" s="173"/>
    </row>
    <row r="1883" hidden="1">
      <c r="A1883" s="172"/>
      <c r="B1883" s="173"/>
      <c r="C1883" s="173"/>
      <c r="D1883" s="173"/>
      <c r="E1883" s="173"/>
      <c r="F1883" s="173"/>
      <c r="G1883" s="173"/>
      <c r="H1883" s="173"/>
      <c r="I1883" s="173"/>
      <c r="J1883" s="173"/>
      <c r="K1883" s="173"/>
      <c r="L1883" s="173"/>
      <c r="M1883" s="173"/>
      <c r="N1883" s="173"/>
      <c r="O1883" s="173"/>
      <c r="P1883" s="173"/>
    </row>
    <row r="1884" hidden="1">
      <c r="A1884" s="172"/>
      <c r="B1884" s="173"/>
      <c r="C1884" s="173"/>
      <c r="D1884" s="173"/>
      <c r="E1884" s="173"/>
      <c r="F1884" s="173"/>
      <c r="G1884" s="173"/>
      <c r="H1884" s="173"/>
      <c r="I1884" s="173"/>
      <c r="J1884" s="173"/>
      <c r="K1884" s="173"/>
      <c r="L1884" s="173"/>
      <c r="M1884" s="173"/>
      <c r="N1884" s="173"/>
      <c r="O1884" s="173"/>
      <c r="P1884" s="173"/>
    </row>
    <row r="1885" hidden="1">
      <c r="A1885" s="172"/>
      <c r="B1885" s="173"/>
      <c r="C1885" s="173"/>
      <c r="D1885" s="173"/>
      <c r="E1885" s="173"/>
      <c r="F1885" s="173"/>
      <c r="G1885" s="173"/>
      <c r="H1885" s="173"/>
      <c r="I1885" s="173"/>
      <c r="J1885" s="173"/>
      <c r="K1885" s="173"/>
      <c r="L1885" s="173"/>
      <c r="M1885" s="173"/>
      <c r="N1885" s="173"/>
      <c r="O1885" s="173"/>
      <c r="P1885" s="173"/>
    </row>
    <row r="1886" hidden="1">
      <c r="A1886" s="172"/>
      <c r="B1886" s="173"/>
      <c r="C1886" s="173"/>
      <c r="D1886" s="173"/>
      <c r="E1886" s="173"/>
      <c r="F1886" s="173"/>
      <c r="G1886" s="173"/>
      <c r="H1886" s="173"/>
      <c r="I1886" s="173"/>
      <c r="J1886" s="173"/>
      <c r="K1886" s="173"/>
      <c r="L1886" s="173"/>
      <c r="M1886" s="173"/>
      <c r="N1886" s="173"/>
      <c r="O1886" s="173"/>
      <c r="P1886" s="173"/>
    </row>
    <row r="1887" hidden="1">
      <c r="A1887" s="172"/>
      <c r="B1887" s="173"/>
      <c r="C1887" s="173"/>
      <c r="D1887" s="173"/>
      <c r="E1887" s="173"/>
      <c r="F1887" s="173"/>
      <c r="G1887" s="173"/>
      <c r="H1887" s="173"/>
      <c r="I1887" s="173"/>
      <c r="J1887" s="173"/>
      <c r="K1887" s="173"/>
      <c r="L1887" s="173"/>
      <c r="M1887" s="173"/>
      <c r="N1887" s="173"/>
      <c r="O1887" s="173"/>
      <c r="P1887" s="173"/>
    </row>
    <row r="1888" hidden="1">
      <c r="A1888" s="172"/>
      <c r="B1888" s="173"/>
      <c r="C1888" s="173"/>
      <c r="D1888" s="173"/>
      <c r="E1888" s="173"/>
      <c r="F1888" s="173"/>
      <c r="G1888" s="173"/>
      <c r="H1888" s="173"/>
      <c r="I1888" s="173"/>
      <c r="J1888" s="173"/>
      <c r="K1888" s="173"/>
      <c r="L1888" s="173"/>
      <c r="M1888" s="173"/>
      <c r="N1888" s="173"/>
      <c r="O1888" s="173"/>
      <c r="P1888" s="173"/>
    </row>
    <row r="1889" hidden="1">
      <c r="A1889" s="172"/>
      <c r="B1889" s="173"/>
      <c r="C1889" s="173"/>
      <c r="D1889" s="173"/>
      <c r="E1889" s="173"/>
      <c r="F1889" s="173"/>
      <c r="G1889" s="173"/>
      <c r="H1889" s="173"/>
      <c r="I1889" s="173"/>
      <c r="J1889" s="173"/>
      <c r="K1889" s="173"/>
      <c r="L1889" s="173"/>
      <c r="M1889" s="173"/>
      <c r="N1889" s="173"/>
      <c r="O1889" s="173"/>
      <c r="P1889" s="173"/>
    </row>
    <row r="1890" hidden="1">
      <c r="A1890" s="172"/>
      <c r="B1890" s="173"/>
      <c r="C1890" s="173"/>
      <c r="D1890" s="173"/>
      <c r="E1890" s="173"/>
      <c r="F1890" s="173"/>
      <c r="G1890" s="173"/>
      <c r="H1890" s="173"/>
      <c r="I1890" s="173"/>
      <c r="J1890" s="173"/>
      <c r="K1890" s="173"/>
      <c r="L1890" s="173"/>
      <c r="M1890" s="173"/>
      <c r="N1890" s="173"/>
      <c r="O1890" s="173"/>
      <c r="P1890" s="173"/>
    </row>
    <row r="1891" hidden="1">
      <c r="A1891" s="172"/>
      <c r="B1891" s="173"/>
      <c r="C1891" s="173"/>
      <c r="D1891" s="173"/>
      <c r="E1891" s="173"/>
      <c r="F1891" s="173"/>
      <c r="G1891" s="173"/>
      <c r="H1891" s="173"/>
      <c r="I1891" s="173"/>
      <c r="J1891" s="173"/>
      <c r="K1891" s="173"/>
      <c r="L1891" s="173"/>
      <c r="M1891" s="173"/>
      <c r="N1891" s="173"/>
      <c r="O1891" s="173"/>
      <c r="P1891" s="173"/>
    </row>
    <row r="1892" hidden="1">
      <c r="A1892" s="172"/>
      <c r="B1892" s="173"/>
      <c r="C1892" s="173"/>
      <c r="D1892" s="173"/>
      <c r="E1892" s="173"/>
      <c r="F1892" s="173"/>
      <c r="G1892" s="173"/>
      <c r="H1892" s="173"/>
      <c r="I1892" s="173"/>
      <c r="J1892" s="173"/>
      <c r="K1892" s="173"/>
      <c r="L1892" s="173"/>
      <c r="M1892" s="173"/>
      <c r="N1892" s="173"/>
      <c r="O1892" s="173"/>
      <c r="P1892" s="173"/>
    </row>
    <row r="1893" hidden="1">
      <c r="A1893" s="172"/>
      <c r="B1893" s="173"/>
      <c r="C1893" s="173"/>
      <c r="D1893" s="173"/>
      <c r="E1893" s="173"/>
      <c r="F1893" s="173"/>
      <c r="G1893" s="173"/>
      <c r="H1893" s="173"/>
      <c r="I1893" s="173"/>
      <c r="J1893" s="173"/>
      <c r="K1893" s="173"/>
      <c r="L1893" s="173"/>
      <c r="M1893" s="173"/>
      <c r="N1893" s="173"/>
      <c r="O1893" s="173"/>
      <c r="P1893" s="173"/>
    </row>
    <row r="1894" hidden="1">
      <c r="A1894" s="172"/>
      <c r="B1894" s="173"/>
      <c r="C1894" s="173"/>
      <c r="D1894" s="173"/>
      <c r="E1894" s="173"/>
      <c r="F1894" s="173"/>
      <c r="G1894" s="173"/>
      <c r="H1894" s="173"/>
      <c r="I1894" s="173"/>
      <c r="J1894" s="173"/>
      <c r="K1894" s="173"/>
      <c r="L1894" s="173"/>
      <c r="M1894" s="173"/>
      <c r="N1894" s="173"/>
      <c r="O1894" s="173"/>
      <c r="P1894" s="173"/>
    </row>
    <row r="1895" hidden="1">
      <c r="A1895" s="172"/>
      <c r="B1895" s="173"/>
      <c r="C1895" s="173"/>
      <c r="D1895" s="173"/>
      <c r="E1895" s="173"/>
      <c r="F1895" s="173"/>
      <c r="G1895" s="173"/>
      <c r="H1895" s="173"/>
      <c r="I1895" s="173"/>
      <c r="J1895" s="173"/>
      <c r="K1895" s="173"/>
      <c r="L1895" s="173"/>
      <c r="M1895" s="173"/>
      <c r="N1895" s="173"/>
      <c r="O1895" s="173"/>
      <c r="P1895" s="173"/>
    </row>
    <row r="1896" hidden="1">
      <c r="A1896" s="172"/>
      <c r="B1896" s="173"/>
      <c r="C1896" s="173"/>
      <c r="D1896" s="173"/>
      <c r="E1896" s="173"/>
      <c r="F1896" s="173"/>
      <c r="G1896" s="173"/>
      <c r="H1896" s="173"/>
      <c r="I1896" s="173"/>
      <c r="J1896" s="173"/>
      <c r="K1896" s="173"/>
      <c r="L1896" s="173"/>
      <c r="M1896" s="173"/>
      <c r="N1896" s="173"/>
      <c r="O1896" s="173"/>
      <c r="P1896" s="173"/>
    </row>
    <row r="1897" hidden="1">
      <c r="A1897" s="172"/>
      <c r="B1897" s="173"/>
      <c r="C1897" s="173"/>
      <c r="D1897" s="173"/>
      <c r="E1897" s="173"/>
      <c r="F1897" s="173"/>
      <c r="G1897" s="173"/>
      <c r="H1897" s="173"/>
      <c r="I1897" s="173"/>
      <c r="J1897" s="173"/>
      <c r="K1897" s="173"/>
      <c r="L1897" s="173"/>
      <c r="M1897" s="173"/>
      <c r="N1897" s="173"/>
      <c r="O1897" s="173"/>
      <c r="P1897" s="173"/>
    </row>
    <row r="1898" hidden="1">
      <c r="A1898" s="174"/>
      <c r="B1898" s="175"/>
      <c r="C1898" s="175"/>
      <c r="D1898" s="175"/>
      <c r="E1898" s="175"/>
      <c r="F1898" s="175"/>
      <c r="G1898" s="175"/>
      <c r="H1898" s="175"/>
      <c r="I1898" s="175"/>
      <c r="J1898" s="175"/>
      <c r="K1898" s="175"/>
      <c r="L1898" s="175"/>
      <c r="M1898" s="175"/>
      <c r="N1898" s="175"/>
      <c r="O1898" s="175"/>
      <c r="P1898" s="175"/>
    </row>
    <row r="1899" hidden="1">
      <c r="A1899" s="176"/>
      <c r="B1899" s="176"/>
      <c r="C1899" s="176"/>
      <c r="D1899" s="176"/>
      <c r="E1899" s="176"/>
      <c r="F1899" s="176"/>
      <c r="G1899" s="176"/>
      <c r="H1899" s="176"/>
      <c r="I1899" s="176"/>
      <c r="J1899" s="176"/>
      <c r="K1899" s="176"/>
      <c r="L1899" s="176"/>
      <c r="M1899" s="176"/>
      <c r="N1899" s="176"/>
      <c r="O1899" s="176"/>
      <c r="P1899" s="176"/>
    </row>
    <row r="1900" hidden="1">
      <c r="A1900" s="176"/>
      <c r="B1900" s="176"/>
      <c r="C1900" s="176"/>
      <c r="D1900" s="176"/>
      <c r="E1900" s="176"/>
      <c r="F1900" s="176"/>
      <c r="G1900" s="176"/>
      <c r="H1900" s="176"/>
      <c r="I1900" s="176"/>
      <c r="J1900" s="176"/>
      <c r="K1900" s="176"/>
      <c r="L1900" s="176"/>
      <c r="M1900" s="176"/>
      <c r="N1900" s="176"/>
      <c r="O1900" s="176"/>
      <c r="P1900" s="176"/>
    </row>
    <row r="1901" hidden="1">
      <c r="A1901" s="176"/>
      <c r="B1901" s="176"/>
      <c r="C1901" s="176"/>
      <c r="D1901" s="176"/>
      <c r="E1901" s="176"/>
      <c r="F1901" s="176"/>
      <c r="G1901" s="176"/>
      <c r="H1901" s="176"/>
      <c r="I1901" s="176"/>
      <c r="J1901" s="176"/>
      <c r="K1901" s="176"/>
      <c r="L1901" s="176"/>
      <c r="M1901" s="176"/>
      <c r="N1901" s="176"/>
      <c r="O1901" s="176"/>
      <c r="P1901" s="176"/>
    </row>
    <row r="1902" hidden="1">
      <c r="A1902" s="176"/>
      <c r="B1902" s="176"/>
      <c r="C1902" s="176"/>
      <c r="D1902" s="176"/>
      <c r="E1902" s="176"/>
      <c r="F1902" s="176"/>
      <c r="G1902" s="176"/>
      <c r="H1902" s="176"/>
      <c r="I1902" s="176"/>
      <c r="J1902" s="176"/>
      <c r="K1902" s="176"/>
      <c r="L1902" s="176"/>
      <c r="M1902" s="176"/>
      <c r="N1902" s="176"/>
      <c r="O1902" s="176"/>
      <c r="P1902" s="176"/>
    </row>
    <row r="1903" hidden="1">
      <c r="A1903" s="176"/>
      <c r="B1903" s="176"/>
      <c r="C1903" s="176"/>
      <c r="D1903" s="176"/>
      <c r="E1903" s="176"/>
      <c r="F1903" s="176"/>
      <c r="G1903" s="176"/>
      <c r="H1903" s="176"/>
      <c r="I1903" s="176"/>
      <c r="J1903" s="176"/>
      <c r="K1903" s="176"/>
      <c r="L1903" s="176"/>
      <c r="M1903" s="176"/>
      <c r="N1903" s="176"/>
      <c r="O1903" s="176"/>
      <c r="P1903" s="176"/>
    </row>
    <row r="1904" hidden="1">
      <c r="A1904" s="176"/>
      <c r="B1904" s="176"/>
      <c r="C1904" s="176"/>
      <c r="D1904" s="176"/>
      <c r="E1904" s="176"/>
      <c r="F1904" s="176"/>
      <c r="G1904" s="176"/>
      <c r="H1904" s="176"/>
      <c r="I1904" s="176"/>
      <c r="J1904" s="176"/>
      <c r="K1904" s="176"/>
      <c r="L1904" s="176"/>
      <c r="M1904" s="176"/>
      <c r="N1904" s="176"/>
      <c r="O1904" s="176"/>
      <c r="P1904" s="176"/>
    </row>
    <row r="1905" hidden="1">
      <c r="A1905" s="176"/>
      <c r="B1905" s="176"/>
      <c r="C1905" s="176"/>
      <c r="D1905" s="176"/>
      <c r="E1905" s="176"/>
      <c r="F1905" s="176"/>
      <c r="G1905" s="176"/>
      <c r="H1905" s="176"/>
      <c r="I1905" s="176"/>
      <c r="J1905" s="176"/>
      <c r="K1905" s="176"/>
      <c r="L1905" s="176"/>
      <c r="M1905" s="176"/>
      <c r="N1905" s="176"/>
      <c r="O1905" s="176"/>
      <c r="P1905" s="176"/>
    </row>
    <row r="1906" hidden="1">
      <c r="A1906" s="176"/>
      <c r="B1906" s="176"/>
      <c r="C1906" s="176"/>
      <c r="D1906" s="176"/>
      <c r="E1906" s="176"/>
      <c r="F1906" s="176"/>
      <c r="G1906" s="176"/>
      <c r="H1906" s="176"/>
      <c r="I1906" s="176"/>
      <c r="J1906" s="176"/>
      <c r="K1906" s="176"/>
      <c r="L1906" s="176"/>
      <c r="M1906" s="176"/>
      <c r="N1906" s="176"/>
      <c r="O1906" s="176"/>
      <c r="P1906" s="176"/>
    </row>
    <row r="1907" hidden="1">
      <c r="A1907" s="176"/>
      <c r="B1907" s="176"/>
      <c r="C1907" s="176"/>
      <c r="D1907" s="176"/>
      <c r="E1907" s="176"/>
      <c r="F1907" s="176"/>
      <c r="G1907" s="176"/>
      <c r="H1907" s="176"/>
      <c r="I1907" s="176"/>
      <c r="J1907" s="176"/>
      <c r="K1907" s="176"/>
      <c r="L1907" s="176"/>
      <c r="M1907" s="176"/>
      <c r="N1907" s="176"/>
      <c r="O1907" s="176"/>
      <c r="P1907" s="176"/>
    </row>
    <row r="1908" hidden="1">
      <c r="A1908" s="176"/>
      <c r="B1908" s="176"/>
      <c r="C1908" s="176"/>
      <c r="D1908" s="176"/>
      <c r="E1908" s="176"/>
      <c r="F1908" s="176"/>
      <c r="G1908" s="176"/>
      <c r="H1908" s="176"/>
      <c r="I1908" s="176"/>
      <c r="J1908" s="176"/>
      <c r="K1908" s="176"/>
      <c r="L1908" s="176"/>
      <c r="M1908" s="176"/>
      <c r="N1908" s="176"/>
      <c r="O1908" s="176"/>
      <c r="P1908" s="176"/>
    </row>
    <row r="1909" hidden="1">
      <c r="A1909" s="176"/>
      <c r="B1909" s="176"/>
      <c r="C1909" s="176"/>
      <c r="D1909" s="176"/>
      <c r="E1909" s="176"/>
      <c r="F1909" s="176"/>
      <c r="G1909" s="176"/>
      <c r="H1909" s="176"/>
      <c r="I1909" s="176"/>
      <c r="J1909" s="176"/>
      <c r="K1909" s="176"/>
      <c r="L1909" s="176"/>
      <c r="M1909" s="176"/>
      <c r="N1909" s="176"/>
      <c r="O1909" s="176"/>
      <c r="P1909" s="176"/>
    </row>
    <row r="1910" hidden="1">
      <c r="A1910" s="176"/>
      <c r="B1910" s="176"/>
      <c r="C1910" s="176"/>
      <c r="D1910" s="176"/>
      <c r="E1910" s="176"/>
      <c r="F1910" s="176"/>
      <c r="G1910" s="176"/>
      <c r="H1910" s="176"/>
      <c r="I1910" s="176"/>
      <c r="J1910" s="176"/>
      <c r="K1910" s="176"/>
      <c r="L1910" s="176"/>
      <c r="M1910" s="176"/>
      <c r="N1910" s="176"/>
      <c r="O1910" s="176"/>
      <c r="P1910" s="176"/>
    </row>
    <row r="1911" hidden="1">
      <c r="A1911" s="176"/>
      <c r="B1911" s="176"/>
      <c r="C1911" s="176"/>
      <c r="D1911" s="176"/>
      <c r="E1911" s="176"/>
      <c r="F1911" s="176"/>
      <c r="G1911" s="176"/>
      <c r="H1911" s="176"/>
      <c r="I1911" s="176"/>
      <c r="J1911" s="176"/>
      <c r="K1911" s="176"/>
      <c r="L1911" s="176"/>
      <c r="M1911" s="176"/>
      <c r="N1911" s="176"/>
      <c r="O1911" s="176"/>
      <c r="P1911" s="176"/>
    </row>
    <row r="1912" hidden="1">
      <c r="A1912" s="176"/>
      <c r="B1912" s="176"/>
      <c r="C1912" s="176"/>
      <c r="D1912" s="176"/>
      <c r="E1912" s="176"/>
      <c r="F1912" s="176"/>
      <c r="G1912" s="176"/>
      <c r="H1912" s="176"/>
      <c r="I1912" s="176"/>
      <c r="J1912" s="176"/>
      <c r="K1912" s="176"/>
      <c r="L1912" s="176"/>
      <c r="M1912" s="176"/>
      <c r="N1912" s="176"/>
      <c r="O1912" s="176"/>
      <c r="P1912" s="176"/>
    </row>
    <row r="1913" hidden="1">
      <c r="A1913" s="176"/>
      <c r="B1913" s="176"/>
      <c r="C1913" s="176"/>
      <c r="D1913" s="176"/>
      <c r="E1913" s="176"/>
      <c r="F1913" s="176"/>
      <c r="G1913" s="176"/>
      <c r="H1913" s="176"/>
      <c r="I1913" s="176"/>
      <c r="J1913" s="176"/>
      <c r="K1913" s="176"/>
      <c r="L1913" s="176"/>
      <c r="M1913" s="176"/>
      <c r="N1913" s="176"/>
      <c r="O1913" s="176"/>
      <c r="P1913" s="176"/>
    </row>
    <row r="1914" hidden="1">
      <c r="A1914" s="176"/>
      <c r="B1914" s="176"/>
      <c r="C1914" s="176"/>
      <c r="D1914" s="176"/>
      <c r="E1914" s="176"/>
      <c r="F1914" s="176"/>
      <c r="G1914" s="176"/>
      <c r="H1914" s="176"/>
      <c r="I1914" s="176"/>
      <c r="J1914" s="176"/>
      <c r="K1914" s="176"/>
      <c r="L1914" s="176"/>
      <c r="M1914" s="176"/>
      <c r="N1914" s="176"/>
      <c r="O1914" s="176"/>
      <c r="P1914" s="176"/>
    </row>
    <row r="1915" hidden="1">
      <c r="A1915" s="176"/>
      <c r="B1915" s="176"/>
      <c r="C1915" s="176"/>
      <c r="D1915" s="176"/>
      <c r="E1915" s="176"/>
      <c r="F1915" s="176"/>
      <c r="G1915" s="176"/>
      <c r="H1915" s="176"/>
      <c r="I1915" s="176"/>
      <c r="J1915" s="176"/>
      <c r="K1915" s="176"/>
      <c r="L1915" s="176"/>
      <c r="M1915" s="176"/>
      <c r="N1915" s="176"/>
      <c r="O1915" s="176"/>
      <c r="P1915" s="176"/>
    </row>
    <row r="1916" hidden="1">
      <c r="A1916" s="176"/>
      <c r="B1916" s="176"/>
      <c r="C1916" s="176"/>
      <c r="D1916" s="176"/>
      <c r="E1916" s="176"/>
      <c r="F1916" s="176"/>
      <c r="G1916" s="176"/>
      <c r="H1916" s="176"/>
      <c r="I1916" s="176"/>
      <c r="J1916" s="176"/>
      <c r="K1916" s="176"/>
      <c r="L1916" s="176"/>
      <c r="M1916" s="176"/>
      <c r="N1916" s="176"/>
      <c r="O1916" s="176"/>
      <c r="P1916" s="176"/>
    </row>
    <row r="1917" hidden="1">
      <c r="A1917" s="176"/>
      <c r="B1917" s="176"/>
      <c r="C1917" s="176"/>
      <c r="D1917" s="176"/>
      <c r="E1917" s="176"/>
      <c r="F1917" s="176"/>
      <c r="G1917" s="176"/>
      <c r="H1917" s="176"/>
      <c r="I1917" s="176"/>
      <c r="J1917" s="176"/>
      <c r="K1917" s="176"/>
      <c r="L1917" s="176"/>
      <c r="M1917" s="176"/>
      <c r="N1917" s="176"/>
      <c r="O1917" s="176"/>
      <c r="P1917" s="176"/>
    </row>
    <row r="1918" hidden="1">
      <c r="A1918" s="176"/>
      <c r="B1918" s="176"/>
      <c r="C1918" s="176"/>
      <c r="D1918" s="176"/>
      <c r="E1918" s="176"/>
      <c r="F1918" s="176"/>
      <c r="G1918" s="176"/>
      <c r="H1918" s="176"/>
      <c r="I1918" s="176"/>
      <c r="J1918" s="176"/>
      <c r="K1918" s="176"/>
      <c r="L1918" s="176"/>
      <c r="M1918" s="176"/>
      <c r="N1918" s="176"/>
      <c r="O1918" s="176"/>
      <c r="P1918" s="176"/>
    </row>
    <row r="1919" hidden="1">
      <c r="A1919" s="176"/>
      <c r="B1919" s="176"/>
      <c r="C1919" s="176"/>
      <c r="D1919" s="176"/>
      <c r="E1919" s="176"/>
      <c r="F1919" s="176"/>
      <c r="G1919" s="176"/>
      <c r="H1919" s="176"/>
      <c r="I1919" s="176"/>
      <c r="J1919" s="176"/>
      <c r="K1919" s="176"/>
      <c r="L1919" s="176"/>
      <c r="M1919" s="176"/>
      <c r="N1919" s="176"/>
      <c r="O1919" s="176"/>
      <c r="P1919" s="176"/>
    </row>
    <row r="1920" hidden="1">
      <c r="A1920" s="176"/>
      <c r="B1920" s="176"/>
      <c r="C1920" s="176"/>
      <c r="D1920" s="176"/>
      <c r="E1920" s="176"/>
      <c r="F1920" s="176"/>
      <c r="G1920" s="176"/>
      <c r="H1920" s="176"/>
      <c r="I1920" s="176"/>
      <c r="J1920" s="176"/>
      <c r="K1920" s="176"/>
      <c r="L1920" s="176"/>
      <c r="M1920" s="176"/>
      <c r="N1920" s="176"/>
      <c r="O1920" s="176"/>
      <c r="P1920" s="176"/>
    </row>
    <row r="1921" hidden="1">
      <c r="A1921" s="176"/>
      <c r="B1921" s="176"/>
      <c r="C1921" s="176"/>
      <c r="D1921" s="176"/>
      <c r="E1921" s="176"/>
      <c r="F1921" s="176"/>
      <c r="G1921" s="176"/>
      <c r="H1921" s="176"/>
      <c r="I1921" s="176"/>
      <c r="J1921" s="176"/>
      <c r="K1921" s="176"/>
      <c r="L1921" s="176"/>
      <c r="M1921" s="176"/>
      <c r="N1921" s="176"/>
      <c r="O1921" s="176"/>
      <c r="P1921" s="176"/>
    </row>
    <row r="1922" hidden="1">
      <c r="A1922" s="176"/>
      <c r="B1922" s="176"/>
      <c r="C1922" s="176"/>
      <c r="D1922" s="176"/>
      <c r="E1922" s="176"/>
      <c r="F1922" s="176"/>
      <c r="G1922" s="176"/>
      <c r="H1922" s="176"/>
      <c r="I1922" s="176"/>
      <c r="J1922" s="176"/>
      <c r="K1922" s="176"/>
      <c r="L1922" s="176"/>
      <c r="M1922" s="176"/>
      <c r="N1922" s="176"/>
      <c r="O1922" s="176"/>
      <c r="P1922" s="176"/>
    </row>
    <row r="1923" hidden="1">
      <c r="A1923" s="176"/>
      <c r="B1923" s="176"/>
      <c r="C1923" s="176"/>
      <c r="D1923" s="176"/>
      <c r="E1923" s="176"/>
      <c r="F1923" s="176"/>
      <c r="G1923" s="176"/>
      <c r="H1923" s="176"/>
      <c r="I1923" s="176"/>
      <c r="J1923" s="176"/>
      <c r="K1923" s="176"/>
      <c r="L1923" s="176"/>
      <c r="M1923" s="176"/>
      <c r="N1923" s="176"/>
      <c r="O1923" s="176"/>
      <c r="P1923" s="176"/>
    </row>
    <row r="1924" hidden="1">
      <c r="A1924" s="176"/>
      <c r="B1924" s="176"/>
      <c r="C1924" s="176"/>
      <c r="D1924" s="176"/>
      <c r="E1924" s="176"/>
      <c r="F1924" s="176"/>
      <c r="G1924" s="176"/>
      <c r="H1924" s="176"/>
      <c r="I1924" s="176"/>
      <c r="J1924" s="176"/>
      <c r="K1924" s="176"/>
      <c r="L1924" s="176"/>
      <c r="M1924" s="176"/>
      <c r="N1924" s="176"/>
      <c r="O1924" s="176"/>
      <c r="P1924" s="176"/>
    </row>
    <row r="1925" hidden="1">
      <c r="A1925" s="176"/>
      <c r="B1925" s="176"/>
      <c r="C1925" s="176"/>
      <c r="D1925" s="176"/>
      <c r="E1925" s="176"/>
      <c r="F1925" s="176"/>
      <c r="G1925" s="176"/>
      <c r="H1925" s="176"/>
      <c r="I1925" s="176"/>
      <c r="J1925" s="176"/>
      <c r="K1925" s="176"/>
      <c r="L1925" s="176"/>
      <c r="M1925" s="176"/>
      <c r="N1925" s="176"/>
      <c r="O1925" s="176"/>
      <c r="P1925" s="176"/>
    </row>
    <row r="1926" hidden="1">
      <c r="A1926" s="176"/>
      <c r="B1926" s="176"/>
      <c r="C1926" s="176"/>
      <c r="D1926" s="176"/>
      <c r="E1926" s="176"/>
      <c r="F1926" s="176"/>
      <c r="G1926" s="176"/>
      <c r="H1926" s="176"/>
      <c r="I1926" s="176"/>
      <c r="J1926" s="176"/>
      <c r="K1926" s="176"/>
      <c r="L1926" s="176"/>
      <c r="M1926" s="176"/>
      <c r="N1926" s="176"/>
      <c r="O1926" s="176"/>
      <c r="P1926" s="176"/>
    </row>
    <row r="1927" hidden="1">
      <c r="A1927" s="176"/>
      <c r="B1927" s="176"/>
      <c r="C1927" s="176"/>
      <c r="D1927" s="176"/>
      <c r="E1927" s="176"/>
      <c r="F1927" s="176"/>
      <c r="G1927" s="176"/>
      <c r="H1927" s="176"/>
      <c r="I1927" s="176"/>
      <c r="J1927" s="176"/>
      <c r="K1927" s="176"/>
      <c r="L1927" s="176"/>
      <c r="M1927" s="176"/>
      <c r="N1927" s="176"/>
      <c r="O1927" s="176"/>
      <c r="P1927" s="176"/>
    </row>
    <row r="1928" hidden="1">
      <c r="A1928" s="176"/>
      <c r="B1928" s="176"/>
      <c r="C1928" s="176"/>
      <c r="D1928" s="176"/>
      <c r="E1928" s="176"/>
      <c r="F1928" s="176"/>
      <c r="G1928" s="176"/>
      <c r="H1928" s="176"/>
      <c r="I1928" s="176"/>
      <c r="J1928" s="176"/>
      <c r="K1928" s="176"/>
      <c r="L1928" s="176"/>
      <c r="M1928" s="176"/>
      <c r="N1928" s="176"/>
      <c r="O1928" s="176"/>
      <c r="P1928" s="176"/>
    </row>
    <row r="1929" hidden="1">
      <c r="A1929" s="176"/>
      <c r="B1929" s="176"/>
      <c r="C1929" s="176"/>
      <c r="D1929" s="176"/>
      <c r="E1929" s="176"/>
      <c r="F1929" s="176"/>
      <c r="G1929" s="176"/>
      <c r="H1929" s="176"/>
      <c r="I1929" s="176"/>
      <c r="J1929" s="176"/>
      <c r="K1929" s="176"/>
      <c r="L1929" s="176"/>
      <c r="M1929" s="176"/>
      <c r="N1929" s="176"/>
      <c r="O1929" s="176"/>
      <c r="P1929" s="176"/>
    </row>
    <row r="1930" hidden="1">
      <c r="A1930" s="176"/>
      <c r="B1930" s="176"/>
      <c r="C1930" s="176"/>
      <c r="D1930" s="176"/>
      <c r="E1930" s="176"/>
      <c r="F1930" s="176"/>
      <c r="G1930" s="176"/>
      <c r="H1930" s="176"/>
      <c r="I1930" s="176"/>
      <c r="J1930" s="176"/>
      <c r="K1930" s="176"/>
      <c r="L1930" s="176"/>
      <c r="M1930" s="176"/>
      <c r="N1930" s="176"/>
      <c r="O1930" s="176"/>
      <c r="P1930" s="176"/>
    </row>
    <row r="1931" hidden="1">
      <c r="A1931" s="176"/>
      <c r="B1931" s="176"/>
      <c r="C1931" s="176"/>
      <c r="D1931" s="176"/>
      <c r="E1931" s="176"/>
      <c r="F1931" s="176"/>
      <c r="G1931" s="176"/>
      <c r="H1931" s="176"/>
      <c r="I1931" s="176"/>
      <c r="J1931" s="176"/>
      <c r="K1931" s="176"/>
      <c r="L1931" s="176"/>
      <c r="M1931" s="176"/>
      <c r="N1931" s="176"/>
      <c r="O1931" s="176"/>
      <c r="P1931" s="176"/>
    </row>
    <row r="1932" hidden="1">
      <c r="A1932" s="176"/>
      <c r="B1932" s="176"/>
      <c r="C1932" s="176"/>
      <c r="D1932" s="176"/>
      <c r="E1932" s="176"/>
      <c r="F1932" s="176"/>
      <c r="G1932" s="176"/>
      <c r="H1932" s="176"/>
      <c r="I1932" s="176"/>
      <c r="J1932" s="176"/>
      <c r="K1932" s="176"/>
      <c r="L1932" s="176"/>
      <c r="M1932" s="176"/>
      <c r="N1932" s="176"/>
      <c r="O1932" s="176"/>
      <c r="P1932" s="176"/>
    </row>
    <row r="1933" hidden="1">
      <c r="A1933" s="176"/>
      <c r="B1933" s="176"/>
      <c r="C1933" s="176"/>
      <c r="D1933" s="176"/>
      <c r="E1933" s="176"/>
      <c r="F1933" s="176"/>
      <c r="G1933" s="176"/>
      <c r="H1933" s="176"/>
      <c r="I1933" s="176"/>
      <c r="J1933" s="176"/>
      <c r="K1933" s="176"/>
      <c r="L1933" s="176"/>
      <c r="M1933" s="176"/>
      <c r="N1933" s="176"/>
      <c r="O1933" s="176"/>
      <c r="P1933" s="176"/>
    </row>
    <row r="1934" hidden="1">
      <c r="A1934" s="176"/>
      <c r="B1934" s="176"/>
      <c r="C1934" s="176"/>
      <c r="D1934" s="176"/>
      <c r="E1934" s="176"/>
      <c r="F1934" s="176"/>
      <c r="G1934" s="176"/>
      <c r="H1934" s="176"/>
      <c r="I1934" s="176"/>
      <c r="J1934" s="176"/>
      <c r="K1934" s="176"/>
      <c r="L1934" s="176"/>
      <c r="M1934" s="176"/>
      <c r="N1934" s="176"/>
      <c r="O1934" s="176"/>
      <c r="P1934" s="176"/>
    </row>
    <row r="1935" hidden="1">
      <c r="A1935" s="176"/>
      <c r="B1935" s="176"/>
      <c r="C1935" s="176"/>
      <c r="D1935" s="176"/>
      <c r="E1935" s="176"/>
      <c r="F1935" s="176"/>
      <c r="G1935" s="176"/>
      <c r="H1935" s="176"/>
      <c r="I1935" s="176"/>
      <c r="J1935" s="176"/>
      <c r="K1935" s="176"/>
      <c r="L1935" s="176"/>
      <c r="M1935" s="176"/>
      <c r="N1935" s="176"/>
      <c r="O1935" s="176"/>
      <c r="P1935" s="176"/>
    </row>
    <row r="1936" hidden="1">
      <c r="A1936" s="176"/>
      <c r="B1936" s="176"/>
      <c r="C1936" s="176"/>
      <c r="D1936" s="176"/>
      <c r="E1936" s="176"/>
      <c r="F1936" s="176"/>
      <c r="G1936" s="176"/>
      <c r="H1936" s="176"/>
      <c r="I1936" s="176"/>
      <c r="J1936" s="176"/>
      <c r="K1936" s="176"/>
      <c r="L1936" s="176"/>
      <c r="M1936" s="176"/>
      <c r="N1936" s="176"/>
      <c r="O1936" s="176"/>
      <c r="P1936" s="176"/>
    </row>
    <row r="1937" hidden="1">
      <c r="A1937" s="176"/>
      <c r="B1937" s="176"/>
      <c r="C1937" s="176"/>
      <c r="D1937" s="176"/>
      <c r="E1937" s="176"/>
      <c r="F1937" s="176"/>
      <c r="G1937" s="176"/>
      <c r="H1937" s="176"/>
      <c r="I1937" s="176"/>
      <c r="J1937" s="176"/>
      <c r="K1937" s="176"/>
      <c r="L1937" s="176"/>
      <c r="M1937" s="176"/>
      <c r="N1937" s="176"/>
      <c r="O1937" s="176"/>
      <c r="P1937" s="176"/>
    </row>
    <row r="1938" hidden="1">
      <c r="A1938" s="176"/>
      <c r="B1938" s="176"/>
      <c r="C1938" s="176"/>
      <c r="D1938" s="176"/>
      <c r="E1938" s="176"/>
      <c r="F1938" s="176"/>
      <c r="G1938" s="176"/>
      <c r="H1938" s="176"/>
      <c r="I1938" s="176"/>
      <c r="J1938" s="176"/>
      <c r="K1938" s="176"/>
      <c r="L1938" s="176"/>
      <c r="M1938" s="176"/>
      <c r="N1938" s="176"/>
      <c r="O1938" s="176"/>
      <c r="P1938" s="176"/>
    </row>
    <row r="1939" hidden="1">
      <c r="A1939" s="176"/>
      <c r="B1939" s="176"/>
      <c r="C1939" s="176"/>
      <c r="D1939" s="176"/>
      <c r="E1939" s="176"/>
      <c r="F1939" s="176"/>
      <c r="G1939" s="176"/>
      <c r="H1939" s="176"/>
      <c r="I1939" s="176"/>
      <c r="J1939" s="176"/>
      <c r="K1939" s="176"/>
      <c r="L1939" s="176"/>
      <c r="M1939" s="176"/>
      <c r="N1939" s="176"/>
      <c r="O1939" s="176"/>
      <c r="P1939" s="176"/>
    </row>
    <row r="1940" hidden="1">
      <c r="A1940" s="176"/>
      <c r="B1940" s="176"/>
      <c r="C1940" s="176"/>
      <c r="D1940" s="176"/>
      <c r="E1940" s="176"/>
      <c r="F1940" s="176"/>
      <c r="G1940" s="176"/>
      <c r="H1940" s="176"/>
      <c r="I1940" s="176"/>
      <c r="J1940" s="176"/>
      <c r="K1940" s="176"/>
      <c r="L1940" s="176"/>
      <c r="M1940" s="176"/>
      <c r="N1940" s="176"/>
      <c r="O1940" s="176"/>
      <c r="P1940" s="176"/>
    </row>
    <row r="1941" hidden="1">
      <c r="A1941" s="176"/>
      <c r="B1941" s="176"/>
      <c r="C1941" s="176"/>
      <c r="D1941" s="176"/>
      <c r="E1941" s="176"/>
      <c r="F1941" s="176"/>
      <c r="G1941" s="176"/>
      <c r="H1941" s="176"/>
      <c r="I1941" s="176"/>
      <c r="J1941" s="176"/>
      <c r="K1941" s="176"/>
      <c r="L1941" s="176"/>
      <c r="M1941" s="176"/>
      <c r="N1941" s="176"/>
      <c r="O1941" s="176"/>
      <c r="P1941" s="176"/>
    </row>
    <row r="1942" hidden="1">
      <c r="A1942" s="176"/>
      <c r="B1942" s="176"/>
      <c r="C1942" s="176"/>
      <c r="D1942" s="176"/>
      <c r="E1942" s="176"/>
      <c r="F1942" s="176"/>
      <c r="G1942" s="176"/>
      <c r="H1942" s="176"/>
      <c r="I1942" s="176"/>
      <c r="J1942" s="176"/>
      <c r="K1942" s="176"/>
      <c r="L1942" s="176"/>
      <c r="M1942" s="176"/>
      <c r="N1942" s="176"/>
      <c r="O1942" s="176"/>
      <c r="P1942" s="176"/>
    </row>
    <row r="1943" hidden="1">
      <c r="A1943" s="176"/>
      <c r="B1943" s="176"/>
      <c r="C1943" s="176"/>
      <c r="D1943" s="176"/>
      <c r="E1943" s="176"/>
      <c r="F1943" s="176"/>
      <c r="G1943" s="176"/>
      <c r="H1943" s="176"/>
      <c r="I1943" s="176"/>
      <c r="J1943" s="176"/>
      <c r="K1943" s="176"/>
      <c r="L1943" s="176"/>
      <c r="M1943" s="176"/>
      <c r="N1943" s="176"/>
      <c r="O1943" s="176"/>
      <c r="P1943" s="176"/>
    </row>
    <row r="1944" hidden="1">
      <c r="A1944" s="176"/>
      <c r="B1944" s="176"/>
      <c r="C1944" s="176"/>
      <c r="D1944" s="176"/>
      <c r="E1944" s="176"/>
      <c r="F1944" s="176"/>
      <c r="G1944" s="176"/>
      <c r="H1944" s="176"/>
      <c r="I1944" s="176"/>
      <c r="J1944" s="176"/>
      <c r="K1944" s="176"/>
      <c r="L1944" s="176"/>
      <c r="M1944" s="176"/>
      <c r="N1944" s="176"/>
      <c r="O1944" s="176"/>
      <c r="P1944" s="176"/>
    </row>
    <row r="1945" hidden="1">
      <c r="A1945" s="176"/>
      <c r="B1945" s="176"/>
      <c r="C1945" s="176"/>
      <c r="D1945" s="176"/>
      <c r="E1945" s="176"/>
      <c r="F1945" s="176"/>
      <c r="G1945" s="176"/>
      <c r="H1945" s="176"/>
      <c r="I1945" s="176"/>
      <c r="J1945" s="176"/>
      <c r="K1945" s="176"/>
      <c r="L1945" s="176"/>
      <c r="M1945" s="176"/>
      <c r="N1945" s="176"/>
      <c r="O1945" s="176"/>
      <c r="P1945" s="176"/>
    </row>
    <row r="1946" hidden="1">
      <c r="A1946" s="176"/>
      <c r="B1946" s="176"/>
      <c r="C1946" s="176"/>
      <c r="D1946" s="176"/>
      <c r="E1946" s="176"/>
      <c r="F1946" s="176"/>
      <c r="G1946" s="176"/>
      <c r="H1946" s="176"/>
      <c r="I1946" s="176"/>
      <c r="J1946" s="176"/>
      <c r="K1946" s="176"/>
      <c r="L1946" s="176"/>
      <c r="M1946" s="176"/>
      <c r="N1946" s="176"/>
      <c r="O1946" s="176"/>
      <c r="P1946" s="176"/>
    </row>
    <row r="1947" hidden="1">
      <c r="A1947" s="176"/>
      <c r="B1947" s="176"/>
      <c r="C1947" s="176"/>
      <c r="D1947" s="176"/>
      <c r="E1947" s="176"/>
      <c r="F1947" s="176"/>
      <c r="G1947" s="176"/>
      <c r="H1947" s="176"/>
      <c r="I1947" s="176"/>
      <c r="J1947" s="176"/>
      <c r="K1947" s="176"/>
      <c r="L1947" s="176"/>
      <c r="M1947" s="176"/>
      <c r="N1947" s="176"/>
      <c r="O1947" s="176"/>
      <c r="P1947" s="176"/>
    </row>
    <row r="1948" hidden="1">
      <c r="A1948" s="176"/>
      <c r="B1948" s="176"/>
      <c r="C1948" s="176"/>
      <c r="D1948" s="176"/>
      <c r="E1948" s="176"/>
      <c r="F1948" s="176"/>
      <c r="G1948" s="176"/>
      <c r="H1948" s="176"/>
      <c r="I1948" s="176"/>
      <c r="J1948" s="176"/>
      <c r="K1948" s="176"/>
      <c r="L1948" s="176"/>
      <c r="M1948" s="176"/>
      <c r="N1948" s="176"/>
      <c r="O1948" s="176"/>
      <c r="P1948" s="176"/>
    </row>
    <row r="1949" hidden="1">
      <c r="A1949" s="176"/>
      <c r="B1949" s="176"/>
      <c r="C1949" s="176"/>
      <c r="D1949" s="176"/>
      <c r="E1949" s="176"/>
      <c r="F1949" s="176"/>
      <c r="G1949" s="176"/>
      <c r="H1949" s="176"/>
      <c r="I1949" s="176"/>
      <c r="J1949" s="176"/>
      <c r="K1949" s="176"/>
      <c r="L1949" s="176"/>
      <c r="M1949" s="176"/>
      <c r="N1949" s="176"/>
      <c r="O1949" s="176"/>
      <c r="P1949" s="176"/>
    </row>
    <row r="1950" hidden="1">
      <c r="A1950" s="176"/>
      <c r="B1950" s="176"/>
      <c r="C1950" s="176"/>
      <c r="D1950" s="176"/>
      <c r="E1950" s="176"/>
      <c r="F1950" s="176"/>
      <c r="G1950" s="176"/>
      <c r="H1950" s="176"/>
      <c r="I1950" s="176"/>
      <c r="J1950" s="176"/>
      <c r="K1950" s="176"/>
      <c r="L1950" s="176"/>
      <c r="M1950" s="176"/>
      <c r="N1950" s="176"/>
      <c r="O1950" s="176"/>
      <c r="P1950" s="176"/>
    </row>
    <row r="1951" hidden="1">
      <c r="A1951" s="176"/>
      <c r="B1951" s="176"/>
      <c r="C1951" s="176"/>
      <c r="D1951" s="176"/>
      <c r="E1951" s="176"/>
      <c r="F1951" s="176"/>
      <c r="G1951" s="176"/>
      <c r="H1951" s="176"/>
      <c r="I1951" s="176"/>
      <c r="J1951" s="176"/>
      <c r="K1951" s="176"/>
      <c r="L1951" s="176"/>
      <c r="M1951" s="176"/>
      <c r="N1951" s="176"/>
      <c r="O1951" s="176"/>
      <c r="P1951" s="176"/>
    </row>
    <row r="1952" hidden="1">
      <c r="A1952" s="176"/>
      <c r="B1952" s="176"/>
      <c r="C1952" s="176"/>
      <c r="D1952" s="176"/>
      <c r="E1952" s="176"/>
      <c r="F1952" s="176"/>
      <c r="G1952" s="176"/>
      <c r="H1952" s="176"/>
      <c r="I1952" s="176"/>
      <c r="J1952" s="176"/>
      <c r="K1952" s="176"/>
      <c r="L1952" s="176"/>
      <c r="M1952" s="176"/>
      <c r="N1952" s="176"/>
      <c r="O1952" s="176"/>
      <c r="P1952" s="176"/>
    </row>
    <row r="1953" hidden="1">
      <c r="A1953" s="176"/>
      <c r="B1953" s="176"/>
      <c r="C1953" s="176"/>
      <c r="D1953" s="176"/>
      <c r="E1953" s="176"/>
      <c r="F1953" s="176"/>
      <c r="G1953" s="176"/>
      <c r="H1953" s="176"/>
      <c r="I1953" s="176"/>
      <c r="J1953" s="176"/>
      <c r="K1953" s="176"/>
      <c r="L1953" s="176"/>
      <c r="M1953" s="176"/>
      <c r="N1953" s="176"/>
      <c r="O1953" s="176"/>
      <c r="P1953" s="176"/>
    </row>
    <row r="1954" hidden="1">
      <c r="A1954" s="176"/>
      <c r="B1954" s="176"/>
      <c r="C1954" s="176"/>
      <c r="D1954" s="176"/>
      <c r="E1954" s="176"/>
      <c r="F1954" s="176"/>
      <c r="G1954" s="176"/>
      <c r="H1954" s="176"/>
      <c r="I1954" s="176"/>
      <c r="J1954" s="176"/>
      <c r="K1954" s="176"/>
      <c r="L1954" s="176"/>
      <c r="M1954" s="176"/>
      <c r="N1954" s="176"/>
      <c r="O1954" s="176"/>
      <c r="P1954" s="176"/>
    </row>
    <row r="1955" hidden="1">
      <c r="A1955" s="176"/>
      <c r="B1955" s="176"/>
      <c r="C1955" s="176"/>
      <c r="D1955" s="176"/>
      <c r="E1955" s="176"/>
      <c r="F1955" s="176"/>
      <c r="G1955" s="176"/>
      <c r="H1955" s="176"/>
      <c r="I1955" s="176"/>
      <c r="J1955" s="176"/>
      <c r="K1955" s="176"/>
      <c r="L1955" s="176"/>
      <c r="M1955" s="176"/>
      <c r="N1955" s="176"/>
      <c r="O1955" s="176"/>
      <c r="P1955" s="176"/>
    </row>
    <row r="1956" hidden="1">
      <c r="A1956" s="176"/>
      <c r="B1956" s="176"/>
      <c r="C1956" s="176"/>
      <c r="D1956" s="176"/>
      <c r="E1956" s="176"/>
      <c r="F1956" s="176"/>
      <c r="G1956" s="176"/>
      <c r="H1956" s="176"/>
      <c r="I1956" s="176"/>
      <c r="J1956" s="176"/>
      <c r="K1956" s="176"/>
      <c r="L1956" s="176"/>
      <c r="M1956" s="176"/>
      <c r="N1956" s="176"/>
      <c r="O1956" s="176"/>
      <c r="P1956" s="176"/>
    </row>
    <row r="1957" hidden="1">
      <c r="A1957" s="176"/>
      <c r="B1957" s="176"/>
      <c r="C1957" s="176"/>
      <c r="D1957" s="176"/>
      <c r="E1957" s="176"/>
      <c r="F1957" s="176"/>
      <c r="G1957" s="176"/>
      <c r="H1957" s="176"/>
      <c r="I1957" s="176"/>
      <c r="J1957" s="176"/>
      <c r="K1957" s="176"/>
      <c r="L1957" s="176"/>
      <c r="M1957" s="176"/>
      <c r="N1957" s="176"/>
      <c r="O1957" s="176"/>
      <c r="P1957" s="176"/>
    </row>
    <row r="1958" hidden="1">
      <c r="A1958" s="176"/>
      <c r="B1958" s="176"/>
      <c r="C1958" s="176"/>
      <c r="D1958" s="176"/>
      <c r="E1958" s="176"/>
      <c r="F1958" s="176"/>
      <c r="G1958" s="176"/>
      <c r="H1958" s="176"/>
      <c r="I1958" s="176"/>
      <c r="J1958" s="176"/>
      <c r="K1958" s="176"/>
      <c r="L1958" s="176"/>
      <c r="M1958" s="176"/>
      <c r="N1958" s="176"/>
      <c r="O1958" s="176"/>
      <c r="P1958" s="176"/>
    </row>
    <row r="1959" hidden="1">
      <c r="A1959" s="176"/>
      <c r="B1959" s="176"/>
      <c r="C1959" s="176"/>
      <c r="D1959" s="176"/>
      <c r="E1959" s="176"/>
      <c r="F1959" s="176"/>
      <c r="G1959" s="176"/>
      <c r="H1959" s="176"/>
      <c r="I1959" s="176"/>
      <c r="J1959" s="176"/>
      <c r="K1959" s="176"/>
      <c r="L1959" s="176"/>
      <c r="M1959" s="176"/>
      <c r="N1959" s="176"/>
      <c r="O1959" s="176"/>
      <c r="P1959" s="176"/>
    </row>
    <row r="1960" hidden="1">
      <c r="A1960" s="176"/>
      <c r="B1960" s="176"/>
      <c r="C1960" s="176"/>
      <c r="D1960" s="176"/>
      <c r="E1960" s="176"/>
      <c r="F1960" s="176"/>
      <c r="G1960" s="176"/>
      <c r="H1960" s="176"/>
      <c r="I1960" s="176"/>
      <c r="J1960" s="176"/>
      <c r="K1960" s="176"/>
      <c r="L1960" s="176"/>
      <c r="M1960" s="176"/>
      <c r="N1960" s="176"/>
      <c r="O1960" s="176"/>
      <c r="P1960" s="176"/>
    </row>
    <row r="1961" hidden="1">
      <c r="A1961" s="176"/>
      <c r="B1961" s="176"/>
      <c r="C1961" s="176"/>
      <c r="D1961" s="176"/>
      <c r="E1961" s="176"/>
      <c r="F1961" s="176"/>
      <c r="G1961" s="176"/>
      <c r="H1961" s="176"/>
      <c r="I1961" s="176"/>
      <c r="J1961" s="176"/>
      <c r="K1961" s="176"/>
      <c r="L1961" s="176"/>
      <c r="M1961" s="176"/>
      <c r="N1961" s="176"/>
      <c r="O1961" s="176"/>
      <c r="P1961" s="176"/>
    </row>
    <row r="1962" hidden="1">
      <c r="A1962" s="176"/>
      <c r="B1962" s="176"/>
      <c r="C1962" s="176"/>
      <c r="D1962" s="176"/>
      <c r="E1962" s="176"/>
      <c r="F1962" s="176"/>
      <c r="G1962" s="176"/>
      <c r="H1962" s="176"/>
      <c r="I1962" s="176"/>
      <c r="J1962" s="176"/>
      <c r="K1962" s="176"/>
      <c r="L1962" s="176"/>
      <c r="M1962" s="176"/>
      <c r="N1962" s="176"/>
      <c r="O1962" s="176"/>
      <c r="P1962" s="176"/>
    </row>
    <row r="1963" hidden="1">
      <c r="A1963" s="176"/>
      <c r="B1963" s="176"/>
      <c r="C1963" s="176"/>
      <c r="D1963" s="176"/>
      <c r="E1963" s="176"/>
      <c r="F1963" s="176"/>
      <c r="G1963" s="176"/>
      <c r="H1963" s="176"/>
      <c r="I1963" s="176"/>
      <c r="J1963" s="176"/>
      <c r="K1963" s="176"/>
      <c r="L1963" s="176"/>
      <c r="M1963" s="176"/>
      <c r="N1963" s="176"/>
      <c r="O1963" s="176"/>
      <c r="P1963" s="176"/>
    </row>
    <row r="1964" hidden="1">
      <c r="A1964" s="176"/>
      <c r="B1964" s="176"/>
      <c r="C1964" s="176"/>
      <c r="D1964" s="176"/>
      <c r="E1964" s="176"/>
      <c r="F1964" s="176"/>
      <c r="G1964" s="176"/>
      <c r="H1964" s="176"/>
      <c r="I1964" s="176"/>
      <c r="J1964" s="176"/>
      <c r="K1964" s="176"/>
      <c r="L1964" s="176"/>
      <c r="M1964" s="176"/>
      <c r="N1964" s="176"/>
      <c r="O1964" s="176"/>
      <c r="P1964" s="176"/>
    </row>
    <row r="1965" hidden="1">
      <c r="A1965" s="176"/>
      <c r="B1965" s="176"/>
      <c r="C1965" s="176"/>
      <c r="D1965" s="176"/>
      <c r="E1965" s="176"/>
      <c r="F1965" s="176"/>
      <c r="G1965" s="176"/>
      <c r="H1965" s="176"/>
      <c r="I1965" s="176"/>
      <c r="J1965" s="176"/>
      <c r="K1965" s="176"/>
      <c r="L1965" s="176"/>
      <c r="M1965" s="176"/>
      <c r="N1965" s="176"/>
      <c r="O1965" s="176"/>
      <c r="P1965" s="176"/>
    </row>
    <row r="1966" hidden="1">
      <c r="A1966" s="176"/>
      <c r="B1966" s="176"/>
      <c r="C1966" s="176"/>
      <c r="D1966" s="176"/>
      <c r="E1966" s="176"/>
      <c r="F1966" s="176"/>
      <c r="G1966" s="176"/>
      <c r="H1966" s="176"/>
      <c r="I1966" s="176"/>
      <c r="J1966" s="176"/>
      <c r="K1966" s="176"/>
      <c r="L1966" s="176"/>
      <c r="M1966" s="176"/>
      <c r="N1966" s="176"/>
      <c r="O1966" s="176"/>
      <c r="P1966" s="176"/>
    </row>
    <row r="1967" hidden="1">
      <c r="A1967" s="176"/>
      <c r="B1967" s="176"/>
      <c r="C1967" s="176"/>
      <c r="D1967" s="176"/>
      <c r="E1967" s="176"/>
      <c r="F1967" s="176"/>
      <c r="G1967" s="176"/>
      <c r="H1967" s="176"/>
      <c r="I1967" s="176"/>
      <c r="J1967" s="176"/>
      <c r="K1967" s="176"/>
      <c r="L1967" s="176"/>
      <c r="M1967" s="176"/>
      <c r="N1967" s="176"/>
      <c r="O1967" s="176"/>
      <c r="P1967" s="176"/>
    </row>
    <row r="1968" hidden="1">
      <c r="A1968" s="176"/>
      <c r="B1968" s="176"/>
      <c r="C1968" s="176"/>
      <c r="D1968" s="176"/>
      <c r="E1968" s="176"/>
      <c r="F1968" s="176"/>
      <c r="G1968" s="176"/>
      <c r="H1968" s="176"/>
      <c r="I1968" s="176"/>
      <c r="J1968" s="176"/>
      <c r="K1968" s="176"/>
      <c r="L1968" s="176"/>
      <c r="M1968" s="176"/>
      <c r="N1968" s="176"/>
      <c r="O1968" s="176"/>
      <c r="P1968" s="176"/>
    </row>
    <row r="1969" hidden="1">
      <c r="A1969" s="176"/>
      <c r="B1969" s="176"/>
      <c r="C1969" s="176"/>
      <c r="D1969" s="176"/>
      <c r="E1969" s="176"/>
      <c r="F1969" s="176"/>
      <c r="G1969" s="176"/>
      <c r="H1969" s="176"/>
      <c r="I1969" s="176"/>
      <c r="J1969" s="176"/>
      <c r="K1969" s="176"/>
      <c r="L1969" s="176"/>
      <c r="M1969" s="176"/>
      <c r="N1969" s="176"/>
      <c r="O1969" s="176"/>
      <c r="P1969" s="176"/>
    </row>
    <row r="1970" hidden="1">
      <c r="A1970" s="176"/>
      <c r="B1970" s="176"/>
      <c r="C1970" s="176"/>
      <c r="D1970" s="176"/>
      <c r="E1970" s="176"/>
      <c r="F1970" s="176"/>
      <c r="G1970" s="176"/>
      <c r="H1970" s="176"/>
      <c r="I1970" s="176"/>
      <c r="J1970" s="176"/>
      <c r="K1970" s="176"/>
      <c r="L1970" s="176"/>
      <c r="M1970" s="176"/>
      <c r="N1970" s="176"/>
      <c r="O1970" s="176"/>
      <c r="P1970" s="176"/>
    </row>
    <row r="1971" hidden="1">
      <c r="A1971" s="176"/>
      <c r="B1971" s="176"/>
      <c r="C1971" s="176"/>
      <c r="D1971" s="176"/>
      <c r="E1971" s="176"/>
      <c r="F1971" s="176"/>
      <c r="G1971" s="176"/>
      <c r="H1971" s="176"/>
      <c r="I1971" s="176"/>
      <c r="J1971" s="176"/>
      <c r="K1971" s="176"/>
      <c r="L1971" s="176"/>
      <c r="M1971" s="176"/>
      <c r="N1971" s="176"/>
      <c r="O1971" s="176"/>
      <c r="P1971" s="176"/>
    </row>
    <row r="1972" hidden="1">
      <c r="A1972" s="176"/>
      <c r="B1972" s="176"/>
      <c r="C1972" s="176"/>
      <c r="D1972" s="176"/>
      <c r="E1972" s="176"/>
      <c r="F1972" s="176"/>
      <c r="G1972" s="176"/>
      <c r="H1972" s="176"/>
      <c r="I1972" s="176"/>
      <c r="J1972" s="176"/>
      <c r="K1972" s="176"/>
      <c r="L1972" s="176"/>
      <c r="M1972" s="176"/>
      <c r="N1972" s="176"/>
      <c r="O1972" s="176"/>
      <c r="P1972" s="176"/>
    </row>
    <row r="1973" hidden="1">
      <c r="A1973" s="176"/>
      <c r="B1973" s="176"/>
      <c r="C1973" s="176"/>
      <c r="D1973" s="176"/>
      <c r="E1973" s="176"/>
      <c r="F1973" s="176"/>
      <c r="G1973" s="176"/>
      <c r="H1973" s="176"/>
      <c r="I1973" s="176"/>
      <c r="J1973" s="176"/>
      <c r="K1973" s="176"/>
      <c r="L1973" s="176"/>
      <c r="M1973" s="176"/>
      <c r="N1973" s="176"/>
      <c r="O1973" s="176"/>
      <c r="P1973" s="176"/>
    </row>
    <row r="1974" hidden="1">
      <c r="A1974" s="176"/>
      <c r="B1974" s="176"/>
      <c r="C1974" s="176"/>
      <c r="D1974" s="176"/>
      <c r="E1974" s="176"/>
      <c r="F1974" s="176"/>
      <c r="G1974" s="176"/>
      <c r="H1974" s="176"/>
      <c r="I1974" s="176"/>
      <c r="J1974" s="176"/>
      <c r="K1974" s="176"/>
      <c r="L1974" s="176"/>
      <c r="M1974" s="176"/>
      <c r="N1974" s="176"/>
      <c r="O1974" s="176"/>
      <c r="P1974" s="176"/>
    </row>
    <row r="1975" hidden="1">
      <c r="A1975" s="176"/>
      <c r="B1975" s="176"/>
      <c r="C1975" s="176"/>
      <c r="D1975" s="176"/>
      <c r="E1975" s="176"/>
      <c r="F1975" s="176"/>
      <c r="G1975" s="176"/>
      <c r="H1975" s="176"/>
      <c r="I1975" s="176"/>
      <c r="J1975" s="176"/>
      <c r="K1975" s="176"/>
      <c r="L1975" s="176"/>
      <c r="M1975" s="176"/>
      <c r="N1975" s="176"/>
      <c r="O1975" s="176"/>
      <c r="P1975" s="176"/>
    </row>
    <row r="1976" hidden="1">
      <c r="A1976" s="176"/>
      <c r="B1976" s="176"/>
      <c r="C1976" s="176"/>
      <c r="D1976" s="176"/>
      <c r="E1976" s="176"/>
      <c r="F1976" s="176"/>
      <c r="G1976" s="176"/>
      <c r="H1976" s="176"/>
      <c r="I1976" s="176"/>
      <c r="J1976" s="176"/>
      <c r="K1976" s="176"/>
      <c r="L1976" s="176"/>
      <c r="M1976" s="176"/>
      <c r="N1976" s="176"/>
      <c r="O1976" s="176"/>
      <c r="P1976" s="176"/>
    </row>
    <row r="1977" hidden="1">
      <c r="A1977" s="176"/>
      <c r="B1977" s="176"/>
      <c r="C1977" s="176"/>
      <c r="D1977" s="176"/>
      <c r="E1977" s="176"/>
      <c r="F1977" s="176"/>
      <c r="G1977" s="176"/>
      <c r="H1977" s="176"/>
      <c r="I1977" s="176"/>
      <c r="J1977" s="176"/>
      <c r="K1977" s="176"/>
      <c r="L1977" s="176"/>
      <c r="M1977" s="176"/>
      <c r="N1977" s="176"/>
      <c r="O1977" s="176"/>
      <c r="P1977" s="176"/>
    </row>
    <row r="1978" hidden="1">
      <c r="A1978" s="176"/>
      <c r="B1978" s="176"/>
      <c r="C1978" s="176"/>
      <c r="D1978" s="176"/>
      <c r="E1978" s="176"/>
      <c r="F1978" s="176"/>
      <c r="G1978" s="176"/>
      <c r="H1978" s="176"/>
      <c r="I1978" s="176"/>
      <c r="J1978" s="176"/>
      <c r="K1978" s="176"/>
      <c r="L1978" s="176"/>
      <c r="M1978" s="176"/>
      <c r="N1978" s="176"/>
      <c r="O1978" s="176"/>
      <c r="P1978" s="176"/>
    </row>
    <row r="1979" hidden="1">
      <c r="A1979" s="176"/>
      <c r="B1979" s="176"/>
      <c r="C1979" s="176"/>
      <c r="D1979" s="176"/>
      <c r="E1979" s="176"/>
      <c r="F1979" s="176"/>
      <c r="G1979" s="176"/>
      <c r="H1979" s="176"/>
      <c r="I1979" s="176"/>
      <c r="J1979" s="176"/>
      <c r="K1979" s="176"/>
      <c r="L1979" s="176"/>
      <c r="M1979" s="176"/>
      <c r="N1979" s="176"/>
      <c r="O1979" s="176"/>
      <c r="P1979" s="176"/>
    </row>
    <row r="1980" hidden="1">
      <c r="A1980" s="176"/>
      <c r="B1980" s="176"/>
      <c r="C1980" s="176"/>
      <c r="D1980" s="176"/>
      <c r="E1980" s="176"/>
      <c r="F1980" s="176"/>
      <c r="G1980" s="176"/>
      <c r="H1980" s="176"/>
      <c r="I1980" s="176"/>
      <c r="J1980" s="176"/>
      <c r="K1980" s="176"/>
      <c r="L1980" s="176"/>
      <c r="M1980" s="176"/>
      <c r="N1980" s="176"/>
      <c r="O1980" s="176"/>
      <c r="P1980" s="176"/>
    </row>
    <row r="1981" hidden="1">
      <c r="A1981" s="176"/>
      <c r="B1981" s="176"/>
      <c r="C1981" s="176"/>
      <c r="D1981" s="176"/>
      <c r="E1981" s="176"/>
      <c r="F1981" s="176"/>
      <c r="G1981" s="176"/>
      <c r="H1981" s="176"/>
      <c r="I1981" s="176"/>
      <c r="J1981" s="176"/>
      <c r="K1981" s="176"/>
      <c r="L1981" s="176"/>
      <c r="M1981" s="176"/>
      <c r="N1981" s="176"/>
      <c r="O1981" s="176"/>
      <c r="P1981" s="176"/>
    </row>
    <row r="1982" hidden="1">
      <c r="A1982" s="176"/>
      <c r="B1982" s="176"/>
      <c r="C1982" s="176"/>
      <c r="D1982" s="176"/>
      <c r="E1982" s="176"/>
      <c r="F1982" s="176"/>
      <c r="G1982" s="176"/>
      <c r="H1982" s="176"/>
      <c r="I1982" s="176"/>
      <c r="J1982" s="176"/>
      <c r="K1982" s="176"/>
      <c r="L1982" s="176"/>
      <c r="M1982" s="176"/>
      <c r="N1982" s="176"/>
      <c r="O1982" s="176"/>
      <c r="P1982" s="176"/>
    </row>
    <row r="1983" hidden="1">
      <c r="A1983" s="176"/>
      <c r="B1983" s="176"/>
      <c r="C1983" s="176"/>
      <c r="D1983" s="176"/>
      <c r="E1983" s="176"/>
      <c r="F1983" s="176"/>
      <c r="G1983" s="176"/>
      <c r="H1983" s="176"/>
      <c r="I1983" s="176"/>
      <c r="J1983" s="176"/>
      <c r="K1983" s="176"/>
      <c r="L1983" s="176"/>
      <c r="M1983" s="176"/>
      <c r="N1983" s="176"/>
      <c r="O1983" s="176"/>
      <c r="P1983" s="176"/>
    </row>
    <row r="1984" hidden="1">
      <c r="A1984" s="176"/>
      <c r="B1984" s="176"/>
      <c r="C1984" s="176"/>
      <c r="D1984" s="176"/>
      <c r="E1984" s="176"/>
      <c r="F1984" s="176"/>
      <c r="G1984" s="176"/>
      <c r="H1984" s="176"/>
      <c r="I1984" s="176"/>
      <c r="J1984" s="176"/>
      <c r="K1984" s="176"/>
      <c r="L1984" s="176"/>
      <c r="M1984" s="176"/>
      <c r="N1984" s="176"/>
      <c r="O1984" s="176"/>
      <c r="P1984" s="176"/>
    </row>
    <row r="1985" hidden="1">
      <c r="A1985" s="176"/>
      <c r="B1985" s="176"/>
      <c r="C1985" s="176"/>
      <c r="D1985" s="176"/>
      <c r="E1985" s="176"/>
      <c r="F1985" s="176"/>
      <c r="G1985" s="176"/>
      <c r="H1985" s="176"/>
      <c r="I1985" s="176"/>
      <c r="J1985" s="176"/>
      <c r="K1985" s="176"/>
      <c r="L1985" s="176"/>
      <c r="M1985" s="176"/>
      <c r="N1985" s="176"/>
      <c r="O1985" s="176"/>
      <c r="P1985" s="176"/>
    </row>
    <row r="1986" hidden="1">
      <c r="A1986" s="176"/>
      <c r="B1986" s="176"/>
      <c r="C1986" s="176"/>
      <c r="D1986" s="176"/>
      <c r="E1986" s="176"/>
      <c r="F1986" s="176"/>
      <c r="G1986" s="176"/>
      <c r="H1986" s="176"/>
      <c r="I1986" s="176"/>
      <c r="J1986" s="176"/>
      <c r="K1986" s="176"/>
      <c r="L1986" s="176"/>
      <c r="M1986" s="176"/>
      <c r="N1986" s="176"/>
      <c r="O1986" s="176"/>
      <c r="P1986" s="176"/>
    </row>
    <row r="1987" hidden="1">
      <c r="A1987" s="176"/>
      <c r="B1987" s="176"/>
      <c r="C1987" s="176"/>
      <c r="D1987" s="176"/>
      <c r="E1987" s="176"/>
      <c r="F1987" s="176"/>
      <c r="G1987" s="176"/>
      <c r="H1987" s="176"/>
      <c r="I1987" s="176"/>
      <c r="J1987" s="176"/>
      <c r="K1987" s="176"/>
      <c r="L1987" s="176"/>
      <c r="M1987" s="176"/>
      <c r="N1987" s="176"/>
      <c r="O1987" s="176"/>
      <c r="P1987" s="176"/>
    </row>
    <row r="1988" hidden="1">
      <c r="A1988" s="176"/>
      <c r="B1988" s="176"/>
      <c r="C1988" s="176"/>
      <c r="D1988" s="176"/>
      <c r="E1988" s="176"/>
      <c r="F1988" s="176"/>
      <c r="G1988" s="176"/>
      <c r="H1988" s="176"/>
      <c r="I1988" s="176"/>
      <c r="J1988" s="176"/>
      <c r="K1988" s="176"/>
      <c r="L1988" s="176"/>
      <c r="M1988" s="176"/>
      <c r="N1988" s="176"/>
      <c r="O1988" s="176"/>
      <c r="P1988" s="176"/>
    </row>
    <row r="1989" hidden="1">
      <c r="A1989" s="176"/>
      <c r="B1989" s="176"/>
      <c r="C1989" s="176"/>
      <c r="D1989" s="176"/>
      <c r="E1989" s="176"/>
      <c r="F1989" s="176"/>
      <c r="G1989" s="176"/>
      <c r="H1989" s="176"/>
      <c r="I1989" s="176"/>
      <c r="J1989" s="176"/>
      <c r="K1989" s="176"/>
      <c r="L1989" s="176"/>
      <c r="M1989" s="176"/>
      <c r="N1989" s="176"/>
      <c r="O1989" s="176"/>
      <c r="P1989" s="176"/>
    </row>
    <row r="1990" hidden="1">
      <c r="A1990" s="176"/>
      <c r="B1990" s="176"/>
      <c r="C1990" s="176"/>
      <c r="D1990" s="176"/>
      <c r="E1990" s="176"/>
      <c r="F1990" s="176"/>
      <c r="G1990" s="176"/>
      <c r="H1990" s="176"/>
      <c r="I1990" s="176"/>
      <c r="J1990" s="176"/>
      <c r="K1990" s="176"/>
      <c r="L1990" s="176"/>
      <c r="M1990" s="176"/>
      <c r="N1990" s="176"/>
      <c r="O1990" s="176"/>
      <c r="P1990" s="176"/>
    </row>
    <row r="1991" hidden="1">
      <c r="A1991" s="176"/>
      <c r="B1991" s="176"/>
      <c r="C1991" s="176"/>
      <c r="D1991" s="176"/>
      <c r="E1991" s="176"/>
      <c r="F1991" s="176"/>
      <c r="G1991" s="176"/>
      <c r="H1991" s="176"/>
      <c r="I1991" s="176"/>
      <c r="J1991" s="176"/>
      <c r="K1991" s="176"/>
      <c r="L1991" s="176"/>
      <c r="M1991" s="176"/>
      <c r="N1991" s="176"/>
      <c r="O1991" s="176"/>
      <c r="P1991" s="176"/>
    </row>
    <row r="1992" hidden="1">
      <c r="A1992" s="176"/>
      <c r="B1992" s="176"/>
      <c r="C1992" s="176"/>
      <c r="D1992" s="176"/>
      <c r="E1992" s="176"/>
      <c r="F1992" s="176"/>
      <c r="G1992" s="176"/>
      <c r="H1992" s="176"/>
      <c r="I1992" s="176"/>
      <c r="J1992" s="176"/>
      <c r="K1992" s="176"/>
      <c r="L1992" s="176"/>
      <c r="M1992" s="176"/>
      <c r="N1992" s="176"/>
      <c r="O1992" s="176"/>
      <c r="P1992" s="176"/>
    </row>
    <row r="1993" hidden="1">
      <c r="A1993" s="176"/>
      <c r="B1993" s="176"/>
      <c r="C1993" s="176"/>
      <c r="D1993" s="176"/>
      <c r="E1993" s="176"/>
      <c r="F1993" s="176"/>
      <c r="G1993" s="176"/>
      <c r="H1993" s="176"/>
      <c r="I1993" s="176"/>
      <c r="J1993" s="176"/>
      <c r="K1993" s="176"/>
      <c r="L1993" s="176"/>
      <c r="M1993" s="176"/>
      <c r="N1993" s="176"/>
      <c r="O1993" s="176"/>
      <c r="P1993" s="176"/>
    </row>
    <row r="1994" hidden="1">
      <c r="A1994" s="176"/>
      <c r="B1994" s="176"/>
      <c r="C1994" s="176"/>
      <c r="D1994" s="176"/>
      <c r="E1994" s="176"/>
      <c r="F1994" s="176"/>
      <c r="G1994" s="176"/>
      <c r="H1994" s="176"/>
      <c r="I1994" s="176"/>
      <c r="J1994" s="176"/>
      <c r="K1994" s="176"/>
      <c r="L1994" s="176"/>
      <c r="M1994" s="176"/>
      <c r="N1994" s="176"/>
      <c r="O1994" s="176"/>
      <c r="P1994" s="176"/>
    </row>
    <row r="1995" hidden="1">
      <c r="A1995" s="176"/>
      <c r="B1995" s="176"/>
      <c r="C1995" s="176"/>
      <c r="D1995" s="176"/>
      <c r="E1995" s="176"/>
      <c r="F1995" s="176"/>
      <c r="G1995" s="176"/>
      <c r="H1995" s="176"/>
      <c r="I1995" s="176"/>
      <c r="J1995" s="176"/>
      <c r="K1995" s="176"/>
      <c r="L1995" s="176"/>
      <c r="M1995" s="176"/>
      <c r="N1995" s="176"/>
      <c r="O1995" s="176"/>
      <c r="P1995" s="176"/>
    </row>
    <row r="1996" hidden="1">
      <c r="A1996" s="176"/>
      <c r="B1996" s="176"/>
      <c r="C1996" s="176"/>
      <c r="D1996" s="176"/>
      <c r="E1996" s="176"/>
      <c r="F1996" s="176"/>
      <c r="G1996" s="176"/>
      <c r="H1996" s="176"/>
      <c r="I1996" s="176"/>
      <c r="J1996" s="176"/>
      <c r="K1996" s="176"/>
      <c r="L1996" s="176"/>
      <c r="M1996" s="176"/>
      <c r="N1996" s="176"/>
      <c r="O1996" s="176"/>
      <c r="P1996" s="176"/>
    </row>
    <row r="1997" hidden="1">
      <c r="A1997" s="176"/>
      <c r="B1997" s="176"/>
      <c r="C1997" s="176"/>
      <c r="D1997" s="176"/>
      <c r="E1997" s="176"/>
      <c r="F1997" s="176"/>
      <c r="G1997" s="176"/>
      <c r="H1997" s="176"/>
      <c r="I1997" s="176"/>
      <c r="J1997" s="176"/>
      <c r="K1997" s="176"/>
      <c r="L1997" s="176"/>
      <c r="M1997" s="176"/>
      <c r="N1997" s="176"/>
      <c r="O1997" s="176"/>
      <c r="P1997" s="176"/>
    </row>
    <row r="1998" hidden="1">
      <c r="A1998" s="176"/>
      <c r="B1998" s="176"/>
      <c r="C1998" s="176"/>
      <c r="D1998" s="176"/>
      <c r="E1998" s="176"/>
      <c r="F1998" s="176"/>
      <c r="G1998" s="176"/>
      <c r="H1998" s="176"/>
      <c r="I1998" s="176"/>
      <c r="J1998" s="176"/>
      <c r="K1998" s="176"/>
      <c r="L1998" s="176"/>
      <c r="M1998" s="176"/>
      <c r="N1998" s="176"/>
      <c r="O1998" s="176"/>
      <c r="P1998" s="176"/>
    </row>
    <row r="1999" hidden="1">
      <c r="A1999" s="176"/>
      <c r="B1999" s="176"/>
      <c r="C1999" s="176"/>
      <c r="D1999" s="176"/>
      <c r="E1999" s="176"/>
      <c r="F1999" s="176"/>
      <c r="G1999" s="176"/>
      <c r="H1999" s="176"/>
      <c r="I1999" s="176"/>
      <c r="J1999" s="176"/>
      <c r="K1999" s="176"/>
      <c r="L1999" s="176"/>
      <c r="M1999" s="176"/>
      <c r="N1999" s="176"/>
      <c r="O1999" s="176"/>
      <c r="P1999" s="176"/>
    </row>
    <row r="2000" hidden="1">
      <c r="A2000" s="176"/>
      <c r="B2000" s="176"/>
      <c r="C2000" s="176"/>
      <c r="D2000" s="176"/>
      <c r="E2000" s="176"/>
      <c r="F2000" s="176"/>
      <c r="G2000" s="176"/>
      <c r="H2000" s="176"/>
      <c r="I2000" s="176"/>
      <c r="J2000" s="176"/>
      <c r="K2000" s="176"/>
      <c r="L2000" s="176"/>
      <c r="M2000" s="176"/>
      <c r="N2000" s="176"/>
      <c r="O2000" s="176"/>
      <c r="P2000" s="176"/>
    </row>
    <row r="2001" hidden="1">
      <c r="A2001" s="176"/>
      <c r="B2001" s="176"/>
      <c r="C2001" s="176"/>
      <c r="D2001" s="176"/>
      <c r="E2001" s="176"/>
      <c r="F2001" s="176"/>
      <c r="G2001" s="176"/>
      <c r="H2001" s="176"/>
      <c r="I2001" s="176"/>
      <c r="J2001" s="176"/>
      <c r="K2001" s="176"/>
      <c r="L2001" s="176"/>
      <c r="M2001" s="176"/>
      <c r="N2001" s="176"/>
      <c r="O2001" s="176"/>
      <c r="P2001" s="176"/>
    </row>
    <row r="2002" hidden="1">
      <c r="A2002" s="176"/>
      <c r="B2002" s="176"/>
      <c r="C2002" s="176"/>
      <c r="D2002" s="176"/>
      <c r="E2002" s="176"/>
      <c r="F2002" s="176"/>
      <c r="G2002" s="176"/>
      <c r="H2002" s="176"/>
      <c r="I2002" s="176"/>
      <c r="J2002" s="176"/>
      <c r="K2002" s="176"/>
      <c r="L2002" s="176"/>
      <c r="M2002" s="176"/>
      <c r="N2002" s="176"/>
      <c r="O2002" s="176"/>
      <c r="P2002" s="176"/>
    </row>
    <row r="2003" hidden="1">
      <c r="A2003" s="176"/>
      <c r="B2003" s="176"/>
      <c r="C2003" s="176"/>
      <c r="D2003" s="176"/>
      <c r="E2003" s="176"/>
      <c r="F2003" s="176"/>
      <c r="G2003" s="176"/>
      <c r="H2003" s="176"/>
      <c r="I2003" s="176"/>
      <c r="J2003" s="176"/>
      <c r="K2003" s="176"/>
      <c r="L2003" s="176"/>
      <c r="M2003" s="176"/>
      <c r="N2003" s="176"/>
      <c r="O2003" s="176"/>
      <c r="P2003" s="176"/>
    </row>
    <row r="2004" hidden="1">
      <c r="A2004" s="176"/>
      <c r="B2004" s="176"/>
      <c r="C2004" s="176"/>
      <c r="D2004" s="176"/>
      <c r="E2004" s="176"/>
      <c r="F2004" s="176"/>
      <c r="G2004" s="176"/>
      <c r="H2004" s="176"/>
      <c r="I2004" s="176"/>
      <c r="J2004" s="176"/>
      <c r="K2004" s="176"/>
      <c r="L2004" s="176"/>
      <c r="M2004" s="176"/>
      <c r="N2004" s="176"/>
      <c r="O2004" s="176"/>
      <c r="P2004" s="176"/>
    </row>
    <row r="2005" hidden="1">
      <c r="A2005" s="176"/>
      <c r="B2005" s="176"/>
      <c r="C2005" s="176"/>
      <c r="D2005" s="176"/>
      <c r="E2005" s="176"/>
      <c r="F2005" s="176"/>
      <c r="G2005" s="176"/>
      <c r="H2005" s="176"/>
      <c r="I2005" s="176"/>
      <c r="J2005" s="176"/>
      <c r="K2005" s="176"/>
      <c r="L2005" s="176"/>
      <c r="M2005" s="176"/>
      <c r="N2005" s="176"/>
      <c r="O2005" s="176"/>
      <c r="P2005" s="176"/>
    </row>
    <row r="2006" hidden="1">
      <c r="A2006" s="176"/>
      <c r="B2006" s="176"/>
      <c r="C2006" s="176"/>
      <c r="D2006" s="176"/>
      <c r="E2006" s="176"/>
      <c r="F2006" s="176"/>
      <c r="G2006" s="176"/>
      <c r="H2006" s="176"/>
      <c r="I2006" s="176"/>
      <c r="J2006" s="176"/>
      <c r="K2006" s="176"/>
      <c r="L2006" s="176"/>
      <c r="M2006" s="176"/>
      <c r="N2006" s="176"/>
      <c r="O2006" s="176"/>
      <c r="P2006" s="176"/>
    </row>
    <row r="2007" hidden="1">
      <c r="A2007" s="176"/>
      <c r="B2007" s="176"/>
      <c r="C2007" s="176"/>
      <c r="D2007" s="176"/>
      <c r="E2007" s="176"/>
      <c r="F2007" s="176"/>
      <c r="G2007" s="176"/>
      <c r="H2007" s="176"/>
      <c r="I2007" s="176"/>
      <c r="J2007" s="176"/>
      <c r="K2007" s="176"/>
      <c r="L2007" s="176"/>
      <c r="M2007" s="176"/>
      <c r="N2007" s="176"/>
      <c r="O2007" s="176"/>
      <c r="P2007" s="176"/>
    </row>
    <row r="2008" hidden="1">
      <c r="A2008" s="176"/>
      <c r="B2008" s="176"/>
      <c r="C2008" s="176"/>
      <c r="D2008" s="176"/>
      <c r="E2008" s="176"/>
      <c r="F2008" s="176"/>
      <c r="G2008" s="176"/>
      <c r="H2008" s="176"/>
      <c r="I2008" s="176"/>
      <c r="J2008" s="176"/>
      <c r="K2008" s="176"/>
      <c r="L2008" s="176"/>
      <c r="M2008" s="176"/>
      <c r="N2008" s="176"/>
      <c r="O2008" s="176"/>
      <c r="P2008" s="176"/>
    </row>
    <row r="2009" hidden="1">
      <c r="A2009" s="176"/>
      <c r="B2009" s="176"/>
      <c r="C2009" s="176"/>
      <c r="D2009" s="176"/>
      <c r="E2009" s="176"/>
      <c r="F2009" s="176"/>
      <c r="G2009" s="176"/>
      <c r="H2009" s="176"/>
      <c r="I2009" s="176"/>
      <c r="J2009" s="176"/>
      <c r="K2009" s="176"/>
      <c r="L2009" s="176"/>
      <c r="M2009" s="176"/>
      <c r="N2009" s="176"/>
      <c r="O2009" s="176"/>
      <c r="P2009" s="176"/>
    </row>
    <row r="2010" hidden="1">
      <c r="A2010" s="176"/>
      <c r="B2010" s="176"/>
      <c r="C2010" s="176"/>
      <c r="D2010" s="176"/>
      <c r="E2010" s="176"/>
      <c r="F2010" s="176"/>
      <c r="G2010" s="176"/>
      <c r="H2010" s="176"/>
      <c r="I2010" s="176"/>
      <c r="J2010" s="176"/>
      <c r="K2010" s="176"/>
      <c r="L2010" s="176"/>
      <c r="M2010" s="176"/>
      <c r="N2010" s="176"/>
      <c r="O2010" s="176"/>
      <c r="P2010" s="176"/>
    </row>
    <row r="2011" hidden="1">
      <c r="A2011" s="176"/>
      <c r="B2011" s="176"/>
      <c r="C2011" s="176"/>
      <c r="D2011" s="176"/>
      <c r="E2011" s="176"/>
      <c r="F2011" s="176"/>
      <c r="G2011" s="176"/>
      <c r="H2011" s="176"/>
      <c r="I2011" s="176"/>
      <c r="J2011" s="176"/>
      <c r="K2011" s="176"/>
      <c r="L2011" s="176"/>
      <c r="M2011" s="176"/>
      <c r="N2011" s="176"/>
      <c r="O2011" s="176"/>
      <c r="P2011" s="176"/>
    </row>
    <row r="2012" hidden="1">
      <c r="A2012" s="176"/>
      <c r="B2012" s="176"/>
      <c r="C2012" s="176"/>
      <c r="D2012" s="176"/>
      <c r="E2012" s="176"/>
      <c r="F2012" s="176"/>
      <c r="G2012" s="176"/>
      <c r="H2012" s="176"/>
      <c r="I2012" s="176"/>
      <c r="J2012" s="176"/>
      <c r="K2012" s="176"/>
      <c r="L2012" s="176"/>
      <c r="M2012" s="176"/>
      <c r="N2012" s="176"/>
      <c r="O2012" s="176"/>
      <c r="P2012" s="176"/>
    </row>
    <row r="2013" hidden="1">
      <c r="A2013" s="176"/>
      <c r="B2013" s="176"/>
      <c r="C2013" s="176"/>
      <c r="D2013" s="176"/>
      <c r="E2013" s="176"/>
      <c r="F2013" s="176"/>
      <c r="G2013" s="176"/>
      <c r="H2013" s="176"/>
      <c r="I2013" s="176"/>
      <c r="J2013" s="176"/>
      <c r="K2013" s="176"/>
      <c r="L2013" s="176"/>
      <c r="M2013" s="176"/>
      <c r="N2013" s="176"/>
      <c r="O2013" s="176"/>
      <c r="P2013" s="176"/>
    </row>
    <row r="2014" hidden="1">
      <c r="A2014" s="176"/>
      <c r="B2014" s="176"/>
      <c r="C2014" s="176"/>
      <c r="D2014" s="176"/>
      <c r="E2014" s="176"/>
      <c r="F2014" s="176"/>
      <c r="G2014" s="176"/>
      <c r="H2014" s="176"/>
      <c r="I2014" s="176"/>
      <c r="J2014" s="176"/>
      <c r="K2014" s="176"/>
      <c r="L2014" s="176"/>
      <c r="M2014" s="176"/>
      <c r="N2014" s="176"/>
      <c r="O2014" s="176"/>
      <c r="P2014" s="176"/>
    </row>
    <row r="2015" hidden="1">
      <c r="A2015" s="176"/>
      <c r="B2015" s="176"/>
      <c r="C2015" s="176"/>
      <c r="D2015" s="176"/>
      <c r="E2015" s="176"/>
      <c r="F2015" s="176"/>
      <c r="G2015" s="176"/>
      <c r="H2015" s="176"/>
      <c r="I2015" s="176"/>
      <c r="J2015" s="176"/>
      <c r="K2015" s="176"/>
      <c r="L2015" s="176"/>
      <c r="M2015" s="176"/>
      <c r="N2015" s="176"/>
      <c r="O2015" s="176"/>
      <c r="P2015" s="176"/>
    </row>
    <row r="2016" hidden="1">
      <c r="A2016" s="176"/>
      <c r="B2016" s="176"/>
      <c r="C2016" s="176"/>
      <c r="D2016" s="176"/>
      <c r="E2016" s="176"/>
      <c r="F2016" s="176"/>
      <c r="G2016" s="176"/>
      <c r="H2016" s="176"/>
      <c r="I2016" s="176"/>
      <c r="J2016" s="176"/>
      <c r="K2016" s="176"/>
      <c r="L2016" s="176"/>
      <c r="M2016" s="176"/>
      <c r="N2016" s="176"/>
      <c r="O2016" s="176"/>
      <c r="P2016" s="176"/>
    </row>
    <row r="2017" hidden="1">
      <c r="A2017" s="176"/>
      <c r="B2017" s="176"/>
      <c r="C2017" s="176"/>
      <c r="D2017" s="176"/>
      <c r="E2017" s="176"/>
      <c r="F2017" s="176"/>
      <c r="G2017" s="176"/>
      <c r="H2017" s="176"/>
      <c r="I2017" s="176"/>
      <c r="J2017" s="176"/>
      <c r="K2017" s="176"/>
      <c r="L2017" s="176"/>
      <c r="M2017" s="176"/>
      <c r="N2017" s="176"/>
      <c r="O2017" s="176"/>
      <c r="P2017" s="176"/>
    </row>
    <row r="2018" hidden="1">
      <c r="A2018" s="176"/>
      <c r="B2018" s="176"/>
      <c r="C2018" s="176"/>
      <c r="D2018" s="176"/>
      <c r="E2018" s="176"/>
      <c r="F2018" s="176"/>
      <c r="G2018" s="176"/>
      <c r="H2018" s="176"/>
      <c r="I2018" s="176"/>
      <c r="J2018" s="176"/>
      <c r="K2018" s="176"/>
      <c r="L2018" s="176"/>
      <c r="M2018" s="176"/>
      <c r="N2018" s="176"/>
      <c r="O2018" s="176"/>
      <c r="P2018" s="176"/>
    </row>
    <row r="2019" hidden="1">
      <c r="A2019" s="176"/>
      <c r="B2019" s="176"/>
      <c r="C2019" s="176"/>
      <c r="D2019" s="176"/>
      <c r="E2019" s="176"/>
      <c r="F2019" s="176"/>
      <c r="G2019" s="176"/>
      <c r="H2019" s="176"/>
      <c r="I2019" s="176"/>
      <c r="J2019" s="176"/>
      <c r="K2019" s="176"/>
      <c r="L2019" s="176"/>
      <c r="M2019" s="176"/>
      <c r="N2019" s="176"/>
      <c r="O2019" s="176"/>
      <c r="P2019" s="176"/>
    </row>
    <row r="2020" hidden="1">
      <c r="A2020" s="176"/>
      <c r="B2020" s="176"/>
      <c r="C2020" s="176"/>
      <c r="D2020" s="176"/>
      <c r="E2020" s="176"/>
      <c r="F2020" s="176"/>
      <c r="G2020" s="176"/>
      <c r="H2020" s="176"/>
      <c r="I2020" s="176"/>
      <c r="J2020" s="176"/>
      <c r="K2020" s="176"/>
      <c r="L2020" s="176"/>
      <c r="M2020" s="176"/>
      <c r="N2020" s="176"/>
      <c r="O2020" s="176"/>
      <c r="P2020" s="176"/>
    </row>
    <row r="2021" hidden="1">
      <c r="A2021" s="176"/>
      <c r="B2021" s="176"/>
      <c r="C2021" s="176"/>
      <c r="D2021" s="176"/>
      <c r="E2021" s="176"/>
      <c r="F2021" s="176"/>
      <c r="G2021" s="176"/>
      <c r="H2021" s="176"/>
      <c r="I2021" s="176"/>
      <c r="J2021" s="176"/>
      <c r="K2021" s="176"/>
      <c r="L2021" s="176"/>
      <c r="M2021" s="176"/>
      <c r="N2021" s="176"/>
      <c r="O2021" s="176"/>
      <c r="P2021" s="176"/>
    </row>
    <row r="2022" hidden="1">
      <c r="A2022" s="176"/>
      <c r="B2022" s="176"/>
      <c r="C2022" s="176"/>
      <c r="D2022" s="176"/>
      <c r="E2022" s="176"/>
      <c r="F2022" s="176"/>
      <c r="G2022" s="176"/>
      <c r="H2022" s="176"/>
      <c r="I2022" s="176"/>
      <c r="J2022" s="176"/>
      <c r="K2022" s="176"/>
      <c r="L2022" s="176"/>
      <c r="M2022" s="176"/>
      <c r="N2022" s="176"/>
      <c r="O2022" s="176"/>
      <c r="P2022" s="176"/>
    </row>
    <row r="2023" hidden="1">
      <c r="A2023" s="176"/>
      <c r="B2023" s="176"/>
      <c r="C2023" s="176"/>
      <c r="D2023" s="176"/>
      <c r="E2023" s="176"/>
      <c r="F2023" s="176"/>
      <c r="G2023" s="176"/>
      <c r="H2023" s="176"/>
      <c r="I2023" s="176"/>
      <c r="J2023" s="176"/>
      <c r="K2023" s="176"/>
      <c r="L2023" s="176"/>
      <c r="M2023" s="176"/>
      <c r="N2023" s="176"/>
      <c r="O2023" s="176"/>
      <c r="P2023" s="176"/>
    </row>
    <row r="2024" hidden="1">
      <c r="A2024" s="176"/>
      <c r="B2024" s="176"/>
      <c r="C2024" s="176"/>
      <c r="D2024" s="176"/>
      <c r="E2024" s="176"/>
      <c r="F2024" s="176"/>
      <c r="G2024" s="176"/>
      <c r="H2024" s="176"/>
      <c r="I2024" s="176"/>
      <c r="J2024" s="176"/>
      <c r="K2024" s="176"/>
      <c r="L2024" s="176"/>
      <c r="M2024" s="176"/>
      <c r="N2024" s="176"/>
      <c r="O2024" s="176"/>
      <c r="P2024" s="176"/>
    </row>
    <row r="2025" hidden="1">
      <c r="A2025" s="176"/>
      <c r="B2025" s="176"/>
      <c r="C2025" s="176"/>
      <c r="D2025" s="176"/>
      <c r="E2025" s="176"/>
      <c r="F2025" s="176"/>
      <c r="G2025" s="176"/>
      <c r="H2025" s="176"/>
      <c r="I2025" s="176"/>
      <c r="J2025" s="176"/>
      <c r="K2025" s="176"/>
      <c r="L2025" s="176"/>
      <c r="M2025" s="176"/>
      <c r="N2025" s="176"/>
      <c r="O2025" s="176"/>
      <c r="P2025" s="176"/>
    </row>
    <row r="2026" hidden="1">
      <c r="A2026" s="176"/>
      <c r="B2026" s="176"/>
      <c r="C2026" s="176"/>
      <c r="D2026" s="176"/>
      <c r="E2026" s="176"/>
      <c r="F2026" s="176"/>
      <c r="G2026" s="176"/>
      <c r="H2026" s="176"/>
      <c r="I2026" s="176"/>
      <c r="J2026" s="176"/>
      <c r="K2026" s="176"/>
      <c r="L2026" s="176"/>
      <c r="M2026" s="176"/>
      <c r="N2026" s="176"/>
      <c r="O2026" s="176"/>
      <c r="P2026" s="176"/>
    </row>
    <row r="2027" hidden="1">
      <c r="A2027" s="176"/>
      <c r="B2027" s="176"/>
      <c r="C2027" s="176"/>
      <c r="D2027" s="176"/>
      <c r="E2027" s="176"/>
      <c r="F2027" s="176"/>
      <c r="G2027" s="176"/>
      <c r="H2027" s="176"/>
      <c r="I2027" s="176"/>
      <c r="J2027" s="176"/>
      <c r="K2027" s="176"/>
      <c r="L2027" s="176"/>
      <c r="M2027" s="176"/>
      <c r="N2027" s="176"/>
      <c r="O2027" s="176"/>
      <c r="P2027" s="176"/>
    </row>
    <row r="2028" hidden="1">
      <c r="A2028" s="176"/>
      <c r="B2028" s="176"/>
      <c r="C2028" s="176"/>
      <c r="D2028" s="176"/>
      <c r="E2028" s="176"/>
      <c r="F2028" s="176"/>
      <c r="G2028" s="176"/>
      <c r="H2028" s="176"/>
      <c r="I2028" s="176"/>
      <c r="J2028" s="176"/>
      <c r="K2028" s="176"/>
      <c r="L2028" s="176"/>
      <c r="M2028" s="176"/>
      <c r="N2028" s="176"/>
      <c r="O2028" s="176"/>
      <c r="P2028" s="176"/>
    </row>
    <row r="2029" hidden="1">
      <c r="A2029" s="176"/>
      <c r="B2029" s="176"/>
      <c r="C2029" s="176"/>
      <c r="D2029" s="176"/>
      <c r="E2029" s="176"/>
      <c r="F2029" s="176"/>
      <c r="G2029" s="176"/>
      <c r="H2029" s="176"/>
      <c r="I2029" s="176"/>
      <c r="J2029" s="176"/>
      <c r="K2029" s="176"/>
      <c r="L2029" s="176"/>
      <c r="M2029" s="176"/>
      <c r="N2029" s="176"/>
      <c r="O2029" s="176"/>
      <c r="P2029" s="176"/>
    </row>
    <row r="2030" hidden="1">
      <c r="A2030" s="176"/>
      <c r="B2030" s="176"/>
      <c r="C2030" s="176"/>
      <c r="D2030" s="176"/>
      <c r="E2030" s="176"/>
      <c r="F2030" s="176"/>
      <c r="G2030" s="176"/>
      <c r="H2030" s="176"/>
      <c r="I2030" s="176"/>
      <c r="J2030" s="176"/>
      <c r="K2030" s="176"/>
      <c r="L2030" s="176"/>
      <c r="M2030" s="176"/>
      <c r="N2030" s="176"/>
      <c r="O2030" s="176"/>
      <c r="P2030" s="176"/>
    </row>
    <row r="2031" hidden="1">
      <c r="A2031" s="176"/>
      <c r="B2031" s="176"/>
      <c r="C2031" s="176"/>
      <c r="D2031" s="176"/>
      <c r="E2031" s="176"/>
      <c r="F2031" s="176"/>
      <c r="G2031" s="176"/>
      <c r="H2031" s="176"/>
      <c r="I2031" s="176"/>
      <c r="J2031" s="176"/>
      <c r="K2031" s="176"/>
      <c r="L2031" s="176"/>
      <c r="M2031" s="176"/>
      <c r="N2031" s="176"/>
      <c r="O2031" s="176"/>
      <c r="P2031" s="176"/>
    </row>
    <row r="2032" hidden="1">
      <c r="A2032" s="176"/>
      <c r="B2032" s="176"/>
      <c r="C2032" s="176"/>
      <c r="D2032" s="176"/>
      <c r="E2032" s="176"/>
      <c r="F2032" s="176"/>
      <c r="G2032" s="176"/>
      <c r="H2032" s="176"/>
      <c r="I2032" s="176"/>
      <c r="J2032" s="176"/>
      <c r="K2032" s="176"/>
      <c r="L2032" s="176"/>
      <c r="M2032" s="176"/>
      <c r="N2032" s="176"/>
      <c r="O2032" s="176"/>
      <c r="P2032" s="176"/>
    </row>
    <row r="2033" hidden="1">
      <c r="A2033" s="176"/>
      <c r="B2033" s="176"/>
      <c r="C2033" s="176"/>
      <c r="D2033" s="176"/>
      <c r="E2033" s="176"/>
      <c r="F2033" s="176"/>
      <c r="G2033" s="176"/>
      <c r="H2033" s="176"/>
      <c r="I2033" s="176"/>
      <c r="J2033" s="176"/>
      <c r="K2033" s="176"/>
      <c r="L2033" s="176"/>
      <c r="M2033" s="176"/>
      <c r="N2033" s="176"/>
      <c r="O2033" s="176"/>
      <c r="P2033" s="176"/>
    </row>
    <row r="2034" hidden="1">
      <c r="A2034" s="176"/>
      <c r="B2034" s="176"/>
      <c r="C2034" s="176"/>
      <c r="D2034" s="176"/>
      <c r="E2034" s="176"/>
      <c r="F2034" s="176"/>
      <c r="G2034" s="176"/>
      <c r="H2034" s="176"/>
      <c r="I2034" s="176"/>
      <c r="J2034" s="176"/>
      <c r="K2034" s="176"/>
      <c r="L2034" s="176"/>
      <c r="M2034" s="176"/>
      <c r="N2034" s="176"/>
      <c r="O2034" s="176"/>
      <c r="P2034" s="176"/>
    </row>
    <row r="2035" hidden="1">
      <c r="A2035" s="176"/>
      <c r="B2035" s="176"/>
      <c r="C2035" s="176"/>
      <c r="D2035" s="176"/>
      <c r="E2035" s="176"/>
      <c r="F2035" s="176"/>
      <c r="G2035" s="176"/>
      <c r="H2035" s="176"/>
      <c r="I2035" s="176"/>
      <c r="J2035" s="176"/>
      <c r="K2035" s="176"/>
      <c r="L2035" s="176"/>
      <c r="M2035" s="176"/>
      <c r="N2035" s="176"/>
      <c r="O2035" s="176"/>
      <c r="P2035" s="176"/>
    </row>
    <row r="2036" hidden="1">
      <c r="A2036" s="176"/>
      <c r="B2036" s="176"/>
      <c r="C2036" s="176"/>
      <c r="D2036" s="176"/>
      <c r="E2036" s="176"/>
      <c r="F2036" s="176"/>
      <c r="G2036" s="176"/>
      <c r="H2036" s="176"/>
      <c r="I2036" s="176"/>
      <c r="J2036" s="176"/>
      <c r="K2036" s="176"/>
      <c r="L2036" s="176"/>
      <c r="M2036" s="176"/>
      <c r="N2036" s="176"/>
      <c r="O2036" s="176"/>
      <c r="P2036" s="176"/>
    </row>
    <row r="2037" hidden="1">
      <c r="A2037" s="176"/>
      <c r="B2037" s="176"/>
      <c r="C2037" s="176"/>
      <c r="D2037" s="176"/>
      <c r="E2037" s="176"/>
      <c r="F2037" s="176"/>
      <c r="G2037" s="176"/>
      <c r="H2037" s="176"/>
      <c r="I2037" s="176"/>
      <c r="J2037" s="176"/>
      <c r="K2037" s="176"/>
      <c r="L2037" s="176"/>
      <c r="M2037" s="176"/>
      <c r="N2037" s="176"/>
      <c r="O2037" s="176"/>
      <c r="P2037" s="176"/>
    </row>
    <row r="2038" hidden="1">
      <c r="A2038" s="176"/>
      <c r="B2038" s="176"/>
      <c r="C2038" s="176"/>
      <c r="D2038" s="176"/>
      <c r="E2038" s="176"/>
      <c r="F2038" s="176"/>
      <c r="G2038" s="176"/>
      <c r="H2038" s="176"/>
      <c r="I2038" s="176"/>
      <c r="J2038" s="176"/>
      <c r="K2038" s="176"/>
      <c r="L2038" s="176"/>
      <c r="M2038" s="176"/>
      <c r="N2038" s="176"/>
      <c r="O2038" s="176"/>
      <c r="P2038" s="176"/>
    </row>
    <row r="2039" hidden="1">
      <c r="A2039" s="176"/>
      <c r="B2039" s="176"/>
      <c r="C2039" s="176"/>
      <c r="D2039" s="176"/>
      <c r="E2039" s="176"/>
      <c r="F2039" s="176"/>
      <c r="G2039" s="176"/>
      <c r="H2039" s="176"/>
      <c r="I2039" s="176"/>
      <c r="J2039" s="176"/>
      <c r="K2039" s="176"/>
      <c r="L2039" s="176"/>
      <c r="M2039" s="176"/>
      <c r="N2039" s="176"/>
      <c r="O2039" s="176"/>
      <c r="P2039" s="176"/>
    </row>
    <row r="2040" hidden="1">
      <c r="A2040" s="176"/>
      <c r="B2040" s="176"/>
      <c r="C2040" s="176"/>
      <c r="D2040" s="176"/>
      <c r="E2040" s="176"/>
      <c r="F2040" s="176"/>
      <c r="G2040" s="176"/>
      <c r="H2040" s="176"/>
      <c r="I2040" s="176"/>
      <c r="J2040" s="176"/>
      <c r="K2040" s="176"/>
      <c r="L2040" s="176"/>
      <c r="M2040" s="176"/>
      <c r="N2040" s="176"/>
      <c r="O2040" s="176"/>
      <c r="P2040" s="176"/>
    </row>
    <row r="2041" hidden="1">
      <c r="A2041" s="176"/>
      <c r="B2041" s="176"/>
      <c r="C2041" s="176"/>
      <c r="D2041" s="176"/>
      <c r="E2041" s="176"/>
      <c r="F2041" s="176"/>
      <c r="G2041" s="176"/>
      <c r="H2041" s="176"/>
      <c r="I2041" s="176"/>
      <c r="J2041" s="176"/>
      <c r="K2041" s="176"/>
      <c r="L2041" s="176"/>
      <c r="M2041" s="176"/>
      <c r="N2041" s="176"/>
      <c r="O2041" s="176"/>
      <c r="P2041" s="176"/>
    </row>
    <row r="2042" hidden="1">
      <c r="A2042" s="176"/>
      <c r="B2042" s="176"/>
      <c r="C2042" s="176"/>
      <c r="D2042" s="176"/>
      <c r="E2042" s="176"/>
      <c r="F2042" s="176"/>
      <c r="G2042" s="176"/>
      <c r="H2042" s="176"/>
      <c r="I2042" s="176"/>
      <c r="J2042" s="176"/>
      <c r="K2042" s="176"/>
      <c r="L2042" s="176"/>
      <c r="M2042" s="176"/>
      <c r="N2042" s="176"/>
      <c r="O2042" s="176"/>
      <c r="P2042" s="176"/>
    </row>
    <row r="2043" hidden="1">
      <c r="A2043" s="176"/>
      <c r="B2043" s="176"/>
      <c r="C2043" s="176"/>
      <c r="D2043" s="176"/>
      <c r="E2043" s="176"/>
      <c r="F2043" s="176"/>
      <c r="G2043" s="176"/>
      <c r="H2043" s="176"/>
      <c r="I2043" s="176"/>
      <c r="J2043" s="176"/>
      <c r="K2043" s="176"/>
      <c r="L2043" s="176"/>
      <c r="M2043" s="176"/>
      <c r="N2043" s="176"/>
      <c r="O2043" s="176"/>
      <c r="P2043" s="176"/>
    </row>
    <row r="2044" hidden="1">
      <c r="A2044" s="176"/>
      <c r="B2044" s="176"/>
      <c r="C2044" s="176"/>
      <c r="D2044" s="176"/>
      <c r="E2044" s="176"/>
      <c r="F2044" s="176"/>
      <c r="G2044" s="176"/>
      <c r="H2044" s="176"/>
      <c r="I2044" s="176"/>
      <c r="J2044" s="176"/>
      <c r="K2044" s="176"/>
      <c r="L2044" s="176"/>
      <c r="M2044" s="176"/>
      <c r="N2044" s="176"/>
      <c r="O2044" s="176"/>
      <c r="P2044" s="176"/>
    </row>
    <row r="2045" hidden="1">
      <c r="A2045" s="176"/>
      <c r="B2045" s="176"/>
      <c r="C2045" s="176"/>
      <c r="D2045" s="176"/>
      <c r="E2045" s="176"/>
      <c r="F2045" s="176"/>
      <c r="G2045" s="176"/>
      <c r="H2045" s="176"/>
      <c r="I2045" s="176"/>
      <c r="J2045" s="176"/>
      <c r="K2045" s="176"/>
      <c r="L2045" s="176"/>
      <c r="M2045" s="176"/>
      <c r="N2045" s="176"/>
      <c r="O2045" s="176"/>
      <c r="P2045" s="176"/>
    </row>
    <row r="2046" hidden="1">
      <c r="A2046" s="176"/>
      <c r="B2046" s="176"/>
      <c r="C2046" s="176"/>
      <c r="D2046" s="176"/>
      <c r="E2046" s="176"/>
      <c r="F2046" s="176"/>
      <c r="G2046" s="176"/>
      <c r="H2046" s="176"/>
      <c r="I2046" s="176"/>
      <c r="J2046" s="176"/>
      <c r="K2046" s="176"/>
      <c r="L2046" s="176"/>
      <c r="M2046" s="176"/>
      <c r="N2046" s="176"/>
      <c r="O2046" s="176"/>
      <c r="P2046" s="176"/>
    </row>
    <row r="2047" hidden="1">
      <c r="A2047" s="176"/>
      <c r="B2047" s="176"/>
      <c r="C2047" s="176"/>
      <c r="D2047" s="176"/>
      <c r="E2047" s="176"/>
      <c r="F2047" s="176"/>
      <c r="G2047" s="176"/>
      <c r="H2047" s="176"/>
      <c r="I2047" s="176"/>
      <c r="J2047" s="176"/>
      <c r="K2047" s="176"/>
      <c r="L2047" s="176"/>
      <c r="M2047" s="176"/>
      <c r="N2047" s="176"/>
      <c r="O2047" s="176"/>
      <c r="P2047" s="176"/>
    </row>
    <row r="2048" hidden="1">
      <c r="A2048" s="176"/>
      <c r="B2048" s="176"/>
      <c r="C2048" s="176"/>
      <c r="D2048" s="176"/>
      <c r="E2048" s="176"/>
      <c r="F2048" s="176"/>
      <c r="G2048" s="176"/>
      <c r="H2048" s="176"/>
      <c r="I2048" s="176"/>
      <c r="J2048" s="176"/>
      <c r="K2048" s="176"/>
      <c r="L2048" s="176"/>
      <c r="M2048" s="176"/>
      <c r="N2048" s="176"/>
      <c r="O2048" s="176"/>
      <c r="P2048" s="176"/>
    </row>
    <row r="2049" hidden="1">
      <c r="A2049" s="176"/>
      <c r="B2049" s="176"/>
      <c r="C2049" s="176"/>
      <c r="D2049" s="176"/>
      <c r="E2049" s="176"/>
      <c r="F2049" s="176"/>
      <c r="G2049" s="176"/>
      <c r="H2049" s="176"/>
      <c r="I2049" s="176"/>
      <c r="J2049" s="176"/>
      <c r="K2049" s="176"/>
      <c r="L2049" s="176"/>
      <c r="M2049" s="176"/>
      <c r="N2049" s="176"/>
      <c r="O2049" s="176"/>
      <c r="P2049" s="176"/>
    </row>
    <row r="2050" hidden="1">
      <c r="A2050" s="176"/>
      <c r="B2050" s="176"/>
      <c r="C2050" s="176"/>
      <c r="D2050" s="176"/>
      <c r="E2050" s="176"/>
      <c r="F2050" s="176"/>
      <c r="G2050" s="176"/>
      <c r="H2050" s="176"/>
      <c r="I2050" s="176"/>
      <c r="J2050" s="176"/>
      <c r="K2050" s="176"/>
      <c r="L2050" s="176"/>
      <c r="M2050" s="176"/>
      <c r="N2050" s="176"/>
      <c r="O2050" s="176"/>
      <c r="P2050" s="176"/>
    </row>
    <row r="2051" hidden="1">
      <c r="A2051" s="176"/>
      <c r="B2051" s="176"/>
      <c r="C2051" s="176"/>
      <c r="D2051" s="176"/>
      <c r="E2051" s="176"/>
      <c r="F2051" s="176"/>
      <c r="G2051" s="176"/>
      <c r="H2051" s="176"/>
      <c r="I2051" s="176"/>
      <c r="J2051" s="176"/>
      <c r="K2051" s="176"/>
      <c r="L2051" s="176"/>
      <c r="M2051" s="176"/>
      <c r="N2051" s="176"/>
      <c r="O2051" s="176"/>
      <c r="P2051" s="176"/>
    </row>
    <row r="2052" hidden="1">
      <c r="A2052" s="176"/>
      <c r="B2052" s="176"/>
      <c r="C2052" s="176"/>
      <c r="D2052" s="176"/>
      <c r="E2052" s="176"/>
      <c r="F2052" s="176"/>
      <c r="G2052" s="176"/>
      <c r="H2052" s="176"/>
      <c r="I2052" s="176"/>
      <c r="J2052" s="176"/>
      <c r="K2052" s="176"/>
      <c r="L2052" s="176"/>
      <c r="M2052" s="176"/>
      <c r="N2052" s="176"/>
      <c r="O2052" s="176"/>
      <c r="P2052" s="176"/>
    </row>
    <row r="2053" hidden="1">
      <c r="A2053" s="176"/>
      <c r="B2053" s="176"/>
      <c r="C2053" s="176"/>
      <c r="D2053" s="176"/>
      <c r="E2053" s="176"/>
      <c r="F2053" s="176"/>
      <c r="G2053" s="176"/>
      <c r="H2053" s="176"/>
      <c r="I2053" s="176"/>
      <c r="J2053" s="176"/>
      <c r="K2053" s="176"/>
      <c r="L2053" s="176"/>
      <c r="M2053" s="176"/>
      <c r="N2053" s="176"/>
      <c r="O2053" s="176"/>
      <c r="P2053" s="176"/>
    </row>
    <row r="2054" hidden="1">
      <c r="A2054" s="176"/>
      <c r="B2054" s="176"/>
      <c r="C2054" s="176"/>
      <c r="D2054" s="176"/>
      <c r="E2054" s="176"/>
      <c r="F2054" s="176"/>
      <c r="G2054" s="176"/>
      <c r="H2054" s="176"/>
      <c r="I2054" s="176"/>
      <c r="J2054" s="176"/>
      <c r="K2054" s="176"/>
      <c r="L2054" s="176"/>
      <c r="M2054" s="176"/>
      <c r="N2054" s="176"/>
      <c r="O2054" s="176"/>
      <c r="P2054" s="176"/>
    </row>
    <row r="2055" hidden="1">
      <c r="A2055" s="176"/>
      <c r="B2055" s="176"/>
      <c r="C2055" s="176"/>
      <c r="D2055" s="176"/>
      <c r="E2055" s="176"/>
      <c r="F2055" s="176"/>
      <c r="G2055" s="176"/>
      <c r="H2055" s="176"/>
      <c r="I2055" s="176"/>
      <c r="J2055" s="176"/>
      <c r="K2055" s="176"/>
      <c r="L2055" s="176"/>
      <c r="M2055" s="176"/>
      <c r="N2055" s="176"/>
      <c r="O2055" s="176"/>
      <c r="P2055" s="176"/>
    </row>
    <row r="2056" hidden="1">
      <c r="A2056" s="176"/>
      <c r="B2056" s="176"/>
      <c r="C2056" s="176"/>
      <c r="D2056" s="176"/>
      <c r="E2056" s="176"/>
      <c r="F2056" s="176"/>
      <c r="G2056" s="176"/>
      <c r="H2056" s="176"/>
      <c r="I2056" s="176"/>
      <c r="J2056" s="176"/>
      <c r="K2056" s="176"/>
      <c r="L2056" s="176"/>
      <c r="M2056" s="176"/>
      <c r="N2056" s="176"/>
      <c r="O2056" s="176"/>
      <c r="P2056" s="176"/>
    </row>
    <row r="2057" hidden="1">
      <c r="A2057" s="176"/>
      <c r="B2057" s="176"/>
      <c r="C2057" s="176"/>
      <c r="D2057" s="176"/>
      <c r="E2057" s="176"/>
      <c r="F2057" s="176"/>
      <c r="G2057" s="176"/>
      <c r="H2057" s="176"/>
      <c r="I2057" s="176"/>
      <c r="J2057" s="176"/>
      <c r="K2057" s="176"/>
      <c r="L2057" s="176"/>
      <c r="M2057" s="176"/>
      <c r="N2057" s="176"/>
      <c r="O2057" s="176"/>
      <c r="P2057" s="176"/>
    </row>
    <row r="2058" hidden="1">
      <c r="A2058" s="176"/>
      <c r="B2058" s="176"/>
      <c r="C2058" s="176"/>
      <c r="D2058" s="176"/>
      <c r="E2058" s="176"/>
      <c r="F2058" s="176"/>
      <c r="G2058" s="176"/>
      <c r="H2058" s="176"/>
      <c r="I2058" s="176"/>
      <c r="J2058" s="176"/>
      <c r="K2058" s="176"/>
      <c r="L2058" s="176"/>
      <c r="M2058" s="176"/>
      <c r="N2058" s="176"/>
      <c r="O2058" s="176"/>
      <c r="P2058" s="176"/>
    </row>
    <row r="2059" hidden="1">
      <c r="A2059" s="176"/>
      <c r="B2059" s="176"/>
      <c r="C2059" s="176"/>
      <c r="D2059" s="176"/>
      <c r="E2059" s="176"/>
      <c r="F2059" s="176"/>
      <c r="G2059" s="176"/>
      <c r="H2059" s="176"/>
      <c r="I2059" s="176"/>
      <c r="J2059" s="176"/>
      <c r="K2059" s="176"/>
      <c r="L2059" s="176"/>
      <c r="M2059" s="176"/>
      <c r="N2059" s="176"/>
      <c r="O2059" s="176"/>
      <c r="P2059" s="176"/>
    </row>
    <row r="2060" hidden="1">
      <c r="A2060" s="176"/>
      <c r="B2060" s="176"/>
      <c r="C2060" s="176"/>
      <c r="D2060" s="176"/>
      <c r="E2060" s="176"/>
      <c r="F2060" s="176"/>
      <c r="G2060" s="176"/>
      <c r="H2060" s="176"/>
      <c r="I2060" s="176"/>
      <c r="J2060" s="176"/>
      <c r="K2060" s="176"/>
      <c r="L2060" s="176"/>
      <c r="M2060" s="176"/>
      <c r="N2060" s="176"/>
      <c r="O2060" s="176"/>
      <c r="P2060" s="176"/>
    </row>
    <row r="2061" hidden="1">
      <c r="A2061" s="176"/>
      <c r="B2061" s="176"/>
      <c r="C2061" s="176"/>
      <c r="D2061" s="176"/>
      <c r="E2061" s="176"/>
      <c r="F2061" s="176"/>
      <c r="G2061" s="176"/>
      <c r="H2061" s="176"/>
      <c r="I2061" s="176"/>
      <c r="J2061" s="176"/>
      <c r="K2061" s="176"/>
      <c r="L2061" s="176"/>
      <c r="M2061" s="176"/>
      <c r="N2061" s="176"/>
      <c r="O2061" s="176"/>
      <c r="P2061" s="176"/>
    </row>
    <row r="2062" hidden="1">
      <c r="A2062" s="176"/>
      <c r="B2062" s="176"/>
      <c r="C2062" s="176"/>
      <c r="D2062" s="176"/>
      <c r="E2062" s="176"/>
      <c r="F2062" s="176"/>
      <c r="G2062" s="176"/>
      <c r="H2062" s="176"/>
      <c r="I2062" s="176"/>
      <c r="J2062" s="176"/>
      <c r="K2062" s="176"/>
      <c r="L2062" s="176"/>
      <c r="M2062" s="176"/>
      <c r="N2062" s="176"/>
      <c r="O2062" s="176"/>
      <c r="P2062" s="176"/>
    </row>
    <row r="2063" hidden="1">
      <c r="A2063" s="176"/>
      <c r="B2063" s="176"/>
      <c r="C2063" s="176"/>
      <c r="D2063" s="176"/>
      <c r="E2063" s="176"/>
      <c r="F2063" s="176"/>
      <c r="G2063" s="176"/>
      <c r="H2063" s="176"/>
      <c r="I2063" s="176"/>
      <c r="J2063" s="176"/>
      <c r="K2063" s="176"/>
      <c r="L2063" s="176"/>
      <c r="M2063" s="176"/>
      <c r="N2063" s="176"/>
      <c r="O2063" s="176"/>
      <c r="P2063" s="176"/>
    </row>
    <row r="2064" hidden="1">
      <c r="A2064" s="176"/>
      <c r="B2064" s="176"/>
      <c r="C2064" s="176"/>
      <c r="D2064" s="176"/>
      <c r="E2064" s="176"/>
      <c r="F2064" s="176"/>
      <c r="G2064" s="176"/>
      <c r="H2064" s="176"/>
      <c r="I2064" s="176"/>
      <c r="J2064" s="176"/>
      <c r="K2064" s="176"/>
      <c r="L2064" s="176"/>
      <c r="M2064" s="176"/>
      <c r="N2064" s="176"/>
      <c r="O2064" s="176"/>
      <c r="P2064" s="176"/>
    </row>
    <row r="2065" hidden="1">
      <c r="A2065" s="176"/>
      <c r="B2065" s="176"/>
      <c r="C2065" s="176"/>
      <c r="D2065" s="176"/>
      <c r="E2065" s="176"/>
      <c r="F2065" s="176"/>
      <c r="G2065" s="176"/>
      <c r="H2065" s="176"/>
      <c r="I2065" s="176"/>
      <c r="J2065" s="176"/>
      <c r="K2065" s="176"/>
      <c r="L2065" s="176"/>
      <c r="M2065" s="176"/>
      <c r="N2065" s="176"/>
      <c r="O2065" s="176"/>
      <c r="P2065" s="176"/>
    </row>
    <row r="2066" hidden="1">
      <c r="A2066" s="176"/>
      <c r="B2066" s="176"/>
      <c r="C2066" s="176"/>
      <c r="D2066" s="176"/>
      <c r="E2066" s="176"/>
      <c r="F2066" s="176"/>
      <c r="G2066" s="176"/>
      <c r="H2066" s="176"/>
      <c r="I2066" s="176"/>
      <c r="J2066" s="176"/>
      <c r="K2066" s="176"/>
      <c r="L2066" s="176"/>
      <c r="M2066" s="176"/>
      <c r="N2066" s="176"/>
      <c r="O2066" s="176"/>
      <c r="P2066" s="176"/>
    </row>
    <row r="2067" hidden="1">
      <c r="A2067" s="176"/>
      <c r="B2067" s="176"/>
      <c r="C2067" s="176"/>
      <c r="D2067" s="176"/>
      <c r="E2067" s="176"/>
      <c r="F2067" s="176"/>
      <c r="G2067" s="176"/>
      <c r="H2067" s="176"/>
      <c r="I2067" s="176"/>
      <c r="J2067" s="176"/>
      <c r="K2067" s="176"/>
      <c r="L2067" s="176"/>
      <c r="M2067" s="176"/>
      <c r="N2067" s="176"/>
      <c r="O2067" s="176"/>
      <c r="P2067" s="176"/>
    </row>
    <row r="2068" hidden="1">
      <c r="A2068" s="176"/>
      <c r="B2068" s="176"/>
      <c r="C2068" s="176"/>
      <c r="D2068" s="176"/>
      <c r="E2068" s="176"/>
      <c r="F2068" s="176"/>
      <c r="G2068" s="176"/>
      <c r="H2068" s="176"/>
      <c r="I2068" s="176"/>
      <c r="J2068" s="176"/>
      <c r="K2068" s="176"/>
      <c r="L2068" s="176"/>
      <c r="M2068" s="176"/>
      <c r="N2068" s="176"/>
      <c r="O2068" s="176"/>
      <c r="P2068" s="176"/>
    </row>
    <row r="2069" hidden="1">
      <c r="A2069" s="176"/>
      <c r="B2069" s="176"/>
      <c r="C2069" s="176"/>
      <c r="D2069" s="176"/>
      <c r="E2069" s="176"/>
      <c r="F2069" s="176"/>
      <c r="G2069" s="176"/>
      <c r="H2069" s="176"/>
      <c r="I2069" s="176"/>
      <c r="J2069" s="176"/>
      <c r="K2069" s="176"/>
      <c r="L2069" s="176"/>
      <c r="M2069" s="176"/>
      <c r="N2069" s="176"/>
      <c r="O2069" s="176"/>
      <c r="P2069" s="176"/>
    </row>
    <row r="2070" hidden="1">
      <c r="A2070" s="176"/>
      <c r="B2070" s="176"/>
      <c r="C2070" s="176"/>
      <c r="D2070" s="176"/>
      <c r="E2070" s="176"/>
      <c r="F2070" s="176"/>
      <c r="G2070" s="176"/>
      <c r="H2070" s="176"/>
      <c r="I2070" s="176"/>
      <c r="J2070" s="176"/>
      <c r="K2070" s="176"/>
      <c r="L2070" s="176"/>
      <c r="M2070" s="176"/>
      <c r="N2070" s="176"/>
      <c r="O2070" s="176"/>
      <c r="P2070" s="176"/>
    </row>
    <row r="2071" hidden="1">
      <c r="A2071" s="176"/>
      <c r="B2071" s="176"/>
      <c r="C2071" s="176"/>
      <c r="D2071" s="176"/>
      <c r="E2071" s="176"/>
      <c r="F2071" s="176"/>
      <c r="G2071" s="176"/>
      <c r="H2071" s="176"/>
      <c r="I2071" s="176"/>
      <c r="J2071" s="176"/>
      <c r="K2071" s="176"/>
      <c r="L2071" s="176"/>
      <c r="M2071" s="176"/>
      <c r="N2071" s="176"/>
      <c r="O2071" s="176"/>
      <c r="P2071" s="176"/>
    </row>
    <row r="2072" hidden="1">
      <c r="A2072" s="176"/>
      <c r="B2072" s="176"/>
      <c r="C2072" s="176"/>
      <c r="D2072" s="176"/>
      <c r="E2072" s="176"/>
      <c r="F2072" s="176"/>
      <c r="G2072" s="176"/>
      <c r="H2072" s="176"/>
      <c r="I2072" s="176"/>
      <c r="J2072" s="176"/>
      <c r="K2072" s="176"/>
      <c r="L2072" s="176"/>
      <c r="M2072" s="176"/>
      <c r="N2072" s="176"/>
      <c r="O2072" s="176"/>
      <c r="P2072" s="176"/>
    </row>
    <row r="2073" hidden="1">
      <c r="A2073" s="176"/>
      <c r="B2073" s="176"/>
      <c r="C2073" s="176"/>
      <c r="D2073" s="176"/>
      <c r="E2073" s="176"/>
      <c r="F2073" s="176"/>
      <c r="G2073" s="176"/>
      <c r="H2073" s="176"/>
      <c r="I2073" s="176"/>
      <c r="J2073" s="176"/>
      <c r="K2073" s="176"/>
      <c r="L2073" s="176"/>
      <c r="M2073" s="176"/>
      <c r="N2073" s="176"/>
      <c r="O2073" s="176"/>
      <c r="P2073" s="176"/>
    </row>
    <row r="2074" hidden="1">
      <c r="A2074" s="176"/>
      <c r="B2074" s="176"/>
      <c r="C2074" s="176"/>
      <c r="D2074" s="176"/>
      <c r="E2074" s="176"/>
      <c r="F2074" s="176"/>
      <c r="G2074" s="176"/>
      <c r="H2074" s="176"/>
      <c r="I2074" s="176"/>
      <c r="J2074" s="176"/>
      <c r="K2074" s="176"/>
      <c r="L2074" s="176"/>
      <c r="M2074" s="176"/>
      <c r="N2074" s="176"/>
      <c r="O2074" s="176"/>
      <c r="P2074" s="176"/>
    </row>
    <row r="2075" hidden="1">
      <c r="A2075" s="176"/>
      <c r="B2075" s="176"/>
      <c r="C2075" s="176"/>
      <c r="D2075" s="176"/>
      <c r="E2075" s="176"/>
      <c r="F2075" s="176"/>
      <c r="G2075" s="176"/>
      <c r="H2075" s="176"/>
      <c r="I2075" s="176"/>
      <c r="J2075" s="176"/>
      <c r="K2075" s="176"/>
      <c r="L2075" s="176"/>
      <c r="M2075" s="176"/>
      <c r="N2075" s="176"/>
      <c r="O2075" s="176"/>
      <c r="P2075" s="176"/>
    </row>
    <row r="2076" hidden="1">
      <c r="A2076" s="176"/>
      <c r="B2076" s="176"/>
      <c r="C2076" s="176"/>
      <c r="D2076" s="176"/>
      <c r="E2076" s="176"/>
      <c r="F2076" s="176"/>
      <c r="G2076" s="176"/>
      <c r="H2076" s="176"/>
      <c r="I2076" s="176"/>
      <c r="J2076" s="176"/>
      <c r="K2076" s="176"/>
      <c r="L2076" s="176"/>
      <c r="M2076" s="176"/>
      <c r="N2076" s="176"/>
      <c r="O2076" s="176"/>
      <c r="P2076" s="176"/>
    </row>
    <row r="2077" hidden="1">
      <c r="A2077" s="176"/>
      <c r="B2077" s="176"/>
      <c r="C2077" s="176"/>
      <c r="D2077" s="176"/>
      <c r="E2077" s="176"/>
      <c r="F2077" s="176"/>
      <c r="G2077" s="176"/>
      <c r="H2077" s="176"/>
      <c r="I2077" s="176"/>
      <c r="J2077" s="176"/>
      <c r="K2077" s="176"/>
      <c r="L2077" s="176"/>
      <c r="M2077" s="176"/>
      <c r="N2077" s="176"/>
      <c r="O2077" s="176"/>
      <c r="P2077" s="176"/>
    </row>
    <row r="2078" hidden="1">
      <c r="A2078" s="176"/>
      <c r="B2078" s="176"/>
      <c r="C2078" s="176"/>
      <c r="D2078" s="176"/>
      <c r="E2078" s="176"/>
      <c r="F2078" s="176"/>
      <c r="G2078" s="176"/>
      <c r="H2078" s="176"/>
      <c r="I2078" s="176"/>
      <c r="J2078" s="176"/>
      <c r="K2078" s="176"/>
      <c r="L2078" s="176"/>
      <c r="M2078" s="176"/>
      <c r="N2078" s="176"/>
      <c r="O2078" s="176"/>
      <c r="P2078" s="176"/>
    </row>
    <row r="2079" hidden="1">
      <c r="A2079" s="176"/>
      <c r="B2079" s="176"/>
      <c r="C2079" s="176"/>
      <c r="D2079" s="176"/>
      <c r="E2079" s="176"/>
      <c r="F2079" s="176"/>
      <c r="G2079" s="176"/>
      <c r="H2079" s="176"/>
      <c r="I2079" s="176"/>
      <c r="J2079" s="176"/>
      <c r="K2079" s="176"/>
      <c r="L2079" s="176"/>
      <c r="M2079" s="176"/>
      <c r="N2079" s="176"/>
      <c r="O2079" s="176"/>
      <c r="P2079" s="176"/>
    </row>
    <row r="2080" hidden="1">
      <c r="A2080" s="176"/>
      <c r="B2080" s="176"/>
      <c r="C2080" s="176"/>
      <c r="D2080" s="176"/>
      <c r="E2080" s="176"/>
      <c r="F2080" s="176"/>
      <c r="G2080" s="176"/>
      <c r="H2080" s="176"/>
      <c r="I2080" s="176"/>
      <c r="J2080" s="176"/>
      <c r="K2080" s="176"/>
      <c r="L2080" s="176"/>
      <c r="M2080" s="176"/>
      <c r="N2080" s="176"/>
      <c r="O2080" s="176"/>
      <c r="P2080" s="176"/>
    </row>
    <row r="2081" hidden="1">
      <c r="A2081" s="176"/>
      <c r="B2081" s="176"/>
      <c r="C2081" s="176"/>
      <c r="D2081" s="176"/>
      <c r="E2081" s="176"/>
      <c r="F2081" s="176"/>
      <c r="G2081" s="176"/>
      <c r="H2081" s="176"/>
      <c r="I2081" s="176"/>
      <c r="J2081" s="176"/>
      <c r="K2081" s="176"/>
      <c r="L2081" s="176"/>
      <c r="M2081" s="176"/>
      <c r="N2081" s="176"/>
      <c r="O2081" s="176"/>
      <c r="P2081" s="176"/>
    </row>
    <row r="2082" hidden="1">
      <c r="A2082" s="176"/>
      <c r="B2082" s="176"/>
      <c r="C2082" s="176"/>
      <c r="D2082" s="176"/>
      <c r="E2082" s="176"/>
      <c r="F2082" s="176"/>
      <c r="G2082" s="176"/>
      <c r="H2082" s="176"/>
      <c r="I2082" s="176"/>
      <c r="J2082" s="176"/>
      <c r="K2082" s="176"/>
      <c r="L2082" s="176"/>
      <c r="M2082" s="176"/>
      <c r="N2082" s="176"/>
      <c r="O2082" s="176"/>
      <c r="P2082" s="176"/>
    </row>
    <row r="2083" hidden="1">
      <c r="A2083" s="176"/>
      <c r="B2083" s="176"/>
      <c r="C2083" s="176"/>
      <c r="D2083" s="176"/>
      <c r="E2083" s="176"/>
      <c r="F2083" s="176"/>
      <c r="G2083" s="176"/>
      <c r="H2083" s="176"/>
      <c r="I2083" s="176"/>
      <c r="J2083" s="176"/>
      <c r="K2083" s="176"/>
      <c r="L2083" s="176"/>
      <c r="M2083" s="176"/>
      <c r="N2083" s="176"/>
      <c r="O2083" s="176"/>
      <c r="P2083" s="176"/>
    </row>
    <row r="2084" hidden="1">
      <c r="A2084" s="176"/>
      <c r="B2084" s="176"/>
      <c r="C2084" s="176"/>
      <c r="D2084" s="176"/>
      <c r="E2084" s="176"/>
      <c r="F2084" s="176"/>
      <c r="G2084" s="176"/>
      <c r="H2084" s="176"/>
      <c r="I2084" s="176"/>
      <c r="J2084" s="176"/>
      <c r="K2084" s="176"/>
      <c r="L2084" s="176"/>
      <c r="M2084" s="176"/>
      <c r="N2084" s="176"/>
      <c r="O2084" s="176"/>
      <c r="P2084" s="176"/>
    </row>
    <row r="2085" hidden="1">
      <c r="A2085" s="176"/>
      <c r="B2085" s="176"/>
      <c r="C2085" s="176"/>
      <c r="D2085" s="176"/>
      <c r="E2085" s="176"/>
      <c r="F2085" s="176"/>
      <c r="G2085" s="176"/>
      <c r="H2085" s="176"/>
      <c r="I2085" s="176"/>
      <c r="J2085" s="176"/>
      <c r="K2085" s="176"/>
      <c r="L2085" s="176"/>
      <c r="M2085" s="176"/>
      <c r="N2085" s="176"/>
      <c r="O2085" s="176"/>
      <c r="P2085" s="176"/>
    </row>
    <row r="2086" hidden="1">
      <c r="A2086" s="176"/>
      <c r="B2086" s="176"/>
      <c r="C2086" s="176"/>
      <c r="D2086" s="176"/>
      <c r="E2086" s="176"/>
      <c r="F2086" s="176"/>
      <c r="G2086" s="176"/>
      <c r="H2086" s="176"/>
      <c r="I2086" s="176"/>
      <c r="J2086" s="176"/>
      <c r="K2086" s="176"/>
      <c r="L2086" s="176"/>
      <c r="M2086" s="176"/>
      <c r="N2086" s="176"/>
      <c r="O2086" s="176"/>
      <c r="P2086" s="176"/>
    </row>
    <row r="2087" hidden="1">
      <c r="A2087" s="176"/>
      <c r="B2087" s="176"/>
      <c r="C2087" s="176"/>
      <c r="D2087" s="176"/>
      <c r="E2087" s="176"/>
      <c r="F2087" s="176"/>
      <c r="G2087" s="176"/>
      <c r="H2087" s="176"/>
      <c r="I2087" s="176"/>
      <c r="J2087" s="176"/>
      <c r="K2087" s="176"/>
      <c r="L2087" s="176"/>
      <c r="M2087" s="176"/>
      <c r="N2087" s="176"/>
      <c r="O2087" s="176"/>
      <c r="P2087" s="176"/>
    </row>
    <row r="2088" hidden="1">
      <c r="A2088" s="176"/>
      <c r="B2088" s="176"/>
      <c r="C2088" s="176"/>
      <c r="D2088" s="176"/>
      <c r="E2088" s="176"/>
      <c r="F2088" s="176"/>
      <c r="G2088" s="176"/>
      <c r="H2088" s="176"/>
      <c r="I2088" s="176"/>
      <c r="J2088" s="176"/>
      <c r="K2088" s="176"/>
      <c r="L2088" s="176"/>
      <c r="M2088" s="176"/>
      <c r="N2088" s="176"/>
      <c r="O2088" s="176"/>
      <c r="P2088" s="176"/>
    </row>
    <row r="2089" hidden="1">
      <c r="A2089" s="176"/>
      <c r="B2089" s="176"/>
      <c r="C2089" s="176"/>
      <c r="D2089" s="176"/>
      <c r="E2089" s="176"/>
      <c r="F2089" s="176"/>
      <c r="G2089" s="176"/>
      <c r="H2089" s="176"/>
      <c r="I2089" s="176"/>
      <c r="J2089" s="176"/>
      <c r="K2089" s="176"/>
      <c r="L2089" s="176"/>
      <c r="M2089" s="176"/>
      <c r="N2089" s="176"/>
      <c r="O2089" s="176"/>
      <c r="P2089" s="176"/>
    </row>
    <row r="2090" hidden="1">
      <c r="A2090" s="176"/>
      <c r="B2090" s="176"/>
      <c r="C2090" s="176"/>
      <c r="D2090" s="176"/>
      <c r="E2090" s="176"/>
      <c r="F2090" s="176"/>
      <c r="G2090" s="176"/>
      <c r="H2090" s="176"/>
      <c r="I2090" s="176"/>
      <c r="J2090" s="176"/>
      <c r="K2090" s="176"/>
      <c r="L2090" s="176"/>
      <c r="M2090" s="176"/>
      <c r="N2090" s="176"/>
      <c r="O2090" s="176"/>
      <c r="P2090" s="176"/>
    </row>
    <row r="2091" hidden="1">
      <c r="A2091" s="176"/>
      <c r="B2091" s="176"/>
      <c r="C2091" s="176"/>
      <c r="D2091" s="176"/>
      <c r="E2091" s="176"/>
      <c r="F2091" s="176"/>
      <c r="G2091" s="176"/>
      <c r="H2091" s="176"/>
      <c r="I2091" s="176"/>
      <c r="J2091" s="176"/>
      <c r="K2091" s="176"/>
      <c r="L2091" s="176"/>
      <c r="M2091" s="176"/>
      <c r="N2091" s="176"/>
      <c r="O2091" s="176"/>
      <c r="P2091" s="176"/>
    </row>
    <row r="2092" hidden="1">
      <c r="A2092" s="176"/>
      <c r="B2092" s="176"/>
      <c r="C2092" s="176"/>
      <c r="D2092" s="176"/>
      <c r="E2092" s="176"/>
      <c r="F2092" s="176"/>
      <c r="G2092" s="176"/>
      <c r="H2092" s="176"/>
      <c r="I2092" s="176"/>
      <c r="J2092" s="176"/>
      <c r="K2092" s="176"/>
      <c r="L2092" s="176"/>
      <c r="M2092" s="176"/>
      <c r="N2092" s="176"/>
      <c r="O2092" s="176"/>
      <c r="P2092" s="176"/>
    </row>
    <row r="2093" hidden="1">
      <c r="A2093" s="176"/>
      <c r="B2093" s="176"/>
      <c r="C2093" s="176"/>
      <c r="D2093" s="176"/>
      <c r="E2093" s="176"/>
      <c r="F2093" s="176"/>
      <c r="G2093" s="176"/>
      <c r="H2093" s="176"/>
      <c r="I2093" s="176"/>
      <c r="J2093" s="176"/>
      <c r="K2093" s="176"/>
      <c r="L2093" s="176"/>
      <c r="M2093" s="176"/>
      <c r="N2093" s="176"/>
      <c r="O2093" s="176"/>
      <c r="P2093" s="176"/>
    </row>
    <row r="2094" hidden="1">
      <c r="A2094" s="176"/>
      <c r="B2094" s="176"/>
      <c r="C2094" s="176"/>
      <c r="D2094" s="176"/>
      <c r="E2094" s="176"/>
      <c r="F2094" s="176"/>
      <c r="G2094" s="176"/>
      <c r="H2094" s="176"/>
      <c r="I2094" s="176"/>
      <c r="J2094" s="176"/>
      <c r="K2094" s="176"/>
      <c r="L2094" s="176"/>
      <c r="M2094" s="176"/>
      <c r="N2094" s="176"/>
      <c r="O2094" s="176"/>
      <c r="P2094" s="176"/>
    </row>
    <row r="2095" hidden="1">
      <c r="A2095" s="176"/>
      <c r="B2095" s="176"/>
      <c r="C2095" s="176"/>
      <c r="D2095" s="176"/>
      <c r="E2095" s="176"/>
      <c r="F2095" s="176"/>
      <c r="G2095" s="176"/>
      <c r="H2095" s="176"/>
      <c r="I2095" s="176"/>
      <c r="J2095" s="176"/>
      <c r="K2095" s="176"/>
      <c r="L2095" s="176"/>
      <c r="M2095" s="176"/>
      <c r="N2095" s="176"/>
      <c r="O2095" s="176"/>
      <c r="P2095" s="176"/>
    </row>
    <row r="2096" hidden="1">
      <c r="A2096" s="176"/>
      <c r="B2096" s="176"/>
      <c r="C2096" s="176"/>
      <c r="D2096" s="176"/>
      <c r="E2096" s="176"/>
      <c r="F2096" s="176"/>
      <c r="G2096" s="176"/>
      <c r="H2096" s="176"/>
      <c r="I2096" s="176"/>
      <c r="J2096" s="176"/>
      <c r="K2096" s="176"/>
      <c r="L2096" s="176"/>
      <c r="M2096" s="176"/>
      <c r="N2096" s="176"/>
      <c r="O2096" s="176"/>
      <c r="P2096" s="176"/>
    </row>
    <row r="2097" hidden="1">
      <c r="A2097" s="176"/>
      <c r="B2097" s="176"/>
      <c r="C2097" s="176"/>
      <c r="D2097" s="176"/>
      <c r="E2097" s="176"/>
      <c r="F2097" s="176"/>
      <c r="G2097" s="176"/>
      <c r="H2097" s="176"/>
      <c r="I2097" s="176"/>
      <c r="J2097" s="176"/>
      <c r="K2097" s="176"/>
      <c r="L2097" s="176"/>
      <c r="M2097" s="176"/>
      <c r="N2097" s="176"/>
      <c r="O2097" s="176"/>
      <c r="P2097" s="176"/>
    </row>
    <row r="2098" hidden="1">
      <c r="A2098" s="176"/>
      <c r="B2098" s="176"/>
      <c r="C2098" s="176"/>
      <c r="D2098" s="176"/>
      <c r="E2098" s="176"/>
      <c r="F2098" s="176"/>
      <c r="G2098" s="176"/>
      <c r="H2098" s="176"/>
      <c r="I2098" s="176"/>
      <c r="J2098" s="176"/>
      <c r="K2098" s="176"/>
      <c r="L2098" s="176"/>
      <c r="M2098" s="176"/>
      <c r="N2098" s="176"/>
      <c r="O2098" s="176"/>
      <c r="P2098" s="176"/>
    </row>
    <row r="2099" hidden="1">
      <c r="A2099" s="176"/>
      <c r="B2099" s="176"/>
      <c r="C2099" s="176"/>
      <c r="D2099" s="176"/>
      <c r="E2099" s="176"/>
      <c r="F2099" s="176"/>
      <c r="G2099" s="176"/>
      <c r="H2099" s="176"/>
      <c r="I2099" s="176"/>
      <c r="J2099" s="176"/>
      <c r="K2099" s="176"/>
      <c r="L2099" s="176"/>
      <c r="M2099" s="176"/>
      <c r="N2099" s="176"/>
      <c r="O2099" s="176"/>
      <c r="P2099" s="176"/>
    </row>
    <row r="2100" hidden="1">
      <c r="A2100" s="176"/>
      <c r="B2100" s="176"/>
      <c r="C2100" s="176"/>
      <c r="D2100" s="176"/>
      <c r="E2100" s="176"/>
      <c r="F2100" s="176"/>
      <c r="G2100" s="176"/>
      <c r="H2100" s="176"/>
      <c r="I2100" s="176"/>
      <c r="J2100" s="176"/>
      <c r="K2100" s="176"/>
      <c r="L2100" s="176"/>
      <c r="M2100" s="176"/>
      <c r="N2100" s="176"/>
      <c r="O2100" s="176"/>
      <c r="P2100" s="176"/>
    </row>
    <row r="2101" hidden="1">
      <c r="A2101" s="176"/>
      <c r="B2101" s="176"/>
      <c r="C2101" s="176"/>
      <c r="D2101" s="176"/>
      <c r="E2101" s="176"/>
      <c r="F2101" s="176"/>
      <c r="G2101" s="176"/>
      <c r="H2101" s="176"/>
      <c r="I2101" s="176"/>
      <c r="J2101" s="176"/>
      <c r="K2101" s="176"/>
      <c r="L2101" s="176"/>
      <c r="M2101" s="176"/>
      <c r="N2101" s="176"/>
      <c r="O2101" s="176"/>
      <c r="P2101" s="176"/>
    </row>
    <row r="2102" hidden="1">
      <c r="A2102" s="176"/>
      <c r="B2102" s="176"/>
      <c r="C2102" s="176"/>
      <c r="D2102" s="176"/>
      <c r="E2102" s="176"/>
      <c r="F2102" s="176"/>
      <c r="G2102" s="176"/>
      <c r="H2102" s="176"/>
      <c r="I2102" s="176"/>
      <c r="J2102" s="176"/>
      <c r="K2102" s="176"/>
      <c r="L2102" s="176"/>
      <c r="M2102" s="176"/>
      <c r="N2102" s="176"/>
      <c r="O2102" s="176"/>
      <c r="P2102" s="176"/>
    </row>
    <row r="2103" hidden="1">
      <c r="A2103" s="176"/>
      <c r="B2103" s="176"/>
      <c r="C2103" s="176"/>
      <c r="D2103" s="176"/>
      <c r="E2103" s="176"/>
      <c r="F2103" s="176"/>
      <c r="G2103" s="176"/>
      <c r="H2103" s="176"/>
      <c r="I2103" s="176"/>
      <c r="J2103" s="176"/>
      <c r="K2103" s="176"/>
      <c r="L2103" s="176"/>
      <c r="M2103" s="176"/>
      <c r="N2103" s="176"/>
      <c r="O2103" s="176"/>
      <c r="P2103" s="176"/>
    </row>
    <row r="2104" hidden="1">
      <c r="A2104" s="176"/>
      <c r="B2104" s="176"/>
      <c r="C2104" s="176"/>
      <c r="D2104" s="176"/>
      <c r="E2104" s="176"/>
      <c r="F2104" s="176"/>
      <c r="G2104" s="176"/>
      <c r="H2104" s="176"/>
      <c r="I2104" s="176"/>
      <c r="J2104" s="176"/>
      <c r="K2104" s="176"/>
      <c r="L2104" s="176"/>
      <c r="M2104" s="176"/>
      <c r="N2104" s="176"/>
      <c r="O2104" s="176"/>
      <c r="P2104" s="176"/>
    </row>
    <row r="2105" hidden="1">
      <c r="A2105" s="176"/>
      <c r="B2105" s="176"/>
      <c r="C2105" s="176"/>
      <c r="D2105" s="176"/>
      <c r="E2105" s="176"/>
      <c r="F2105" s="176"/>
      <c r="G2105" s="176"/>
      <c r="H2105" s="176"/>
      <c r="I2105" s="176"/>
      <c r="J2105" s="176"/>
      <c r="K2105" s="176"/>
      <c r="L2105" s="176"/>
      <c r="M2105" s="176"/>
      <c r="N2105" s="176"/>
      <c r="O2105" s="176"/>
      <c r="P2105" s="176"/>
    </row>
    <row r="2106" hidden="1">
      <c r="A2106" s="176"/>
      <c r="B2106" s="176"/>
      <c r="C2106" s="176"/>
      <c r="D2106" s="176"/>
      <c r="E2106" s="176"/>
      <c r="F2106" s="176"/>
      <c r="G2106" s="176"/>
      <c r="H2106" s="176"/>
      <c r="I2106" s="176"/>
      <c r="J2106" s="176"/>
      <c r="K2106" s="176"/>
      <c r="L2106" s="176"/>
      <c r="M2106" s="176"/>
      <c r="N2106" s="176"/>
      <c r="O2106" s="176"/>
      <c r="P2106" s="176"/>
    </row>
    <row r="2107" hidden="1">
      <c r="A2107" s="176"/>
      <c r="B2107" s="176"/>
      <c r="C2107" s="176"/>
      <c r="D2107" s="176"/>
      <c r="E2107" s="176"/>
      <c r="F2107" s="176"/>
      <c r="G2107" s="176"/>
      <c r="H2107" s="176"/>
      <c r="I2107" s="176"/>
      <c r="J2107" s="176"/>
      <c r="K2107" s="176"/>
      <c r="L2107" s="176"/>
      <c r="M2107" s="176"/>
      <c r="N2107" s="176"/>
      <c r="O2107" s="176"/>
      <c r="P2107" s="176"/>
    </row>
    <row r="2108" hidden="1">
      <c r="A2108" s="176"/>
      <c r="B2108" s="176"/>
      <c r="C2108" s="176"/>
      <c r="D2108" s="176"/>
      <c r="E2108" s="176"/>
      <c r="F2108" s="176"/>
      <c r="G2108" s="176"/>
      <c r="H2108" s="176"/>
      <c r="I2108" s="176"/>
      <c r="J2108" s="176"/>
      <c r="K2108" s="176"/>
      <c r="L2108" s="176"/>
      <c r="M2108" s="176"/>
      <c r="N2108" s="176"/>
      <c r="O2108" s="176"/>
      <c r="P2108" s="176"/>
    </row>
    <row r="2109" hidden="1">
      <c r="A2109" s="176"/>
      <c r="B2109" s="176"/>
      <c r="C2109" s="176"/>
      <c r="D2109" s="176"/>
      <c r="E2109" s="176"/>
      <c r="F2109" s="176"/>
      <c r="G2109" s="176"/>
      <c r="H2109" s="176"/>
      <c r="I2109" s="176"/>
      <c r="J2109" s="176"/>
      <c r="K2109" s="176"/>
      <c r="L2109" s="176"/>
      <c r="M2109" s="176"/>
      <c r="N2109" s="176"/>
      <c r="O2109" s="176"/>
      <c r="P2109" s="176"/>
    </row>
    <row r="2110" hidden="1">
      <c r="A2110" s="176"/>
      <c r="B2110" s="176"/>
      <c r="C2110" s="176"/>
      <c r="D2110" s="176"/>
      <c r="E2110" s="176"/>
      <c r="F2110" s="176"/>
      <c r="G2110" s="176"/>
      <c r="H2110" s="176"/>
      <c r="I2110" s="176"/>
      <c r="J2110" s="176"/>
      <c r="K2110" s="176"/>
      <c r="L2110" s="176"/>
      <c r="M2110" s="176"/>
      <c r="N2110" s="176"/>
      <c r="O2110" s="176"/>
      <c r="P2110" s="176"/>
    </row>
    <row r="2111" hidden="1">
      <c r="A2111" s="176"/>
      <c r="B2111" s="176"/>
      <c r="C2111" s="176"/>
      <c r="D2111" s="176"/>
      <c r="E2111" s="176"/>
      <c r="F2111" s="176"/>
      <c r="G2111" s="176"/>
      <c r="H2111" s="176"/>
      <c r="I2111" s="176"/>
      <c r="J2111" s="176"/>
      <c r="K2111" s="176"/>
      <c r="L2111" s="176"/>
      <c r="M2111" s="176"/>
      <c r="N2111" s="176"/>
      <c r="O2111" s="176"/>
      <c r="P2111" s="176"/>
    </row>
    <row r="2112" hidden="1">
      <c r="A2112" s="176"/>
      <c r="B2112" s="176"/>
      <c r="C2112" s="176"/>
      <c r="D2112" s="176"/>
      <c r="E2112" s="176"/>
      <c r="F2112" s="176"/>
      <c r="G2112" s="176"/>
      <c r="H2112" s="176"/>
      <c r="I2112" s="176"/>
      <c r="J2112" s="176"/>
      <c r="K2112" s="176"/>
      <c r="L2112" s="176"/>
      <c r="M2112" s="176"/>
      <c r="N2112" s="176"/>
      <c r="O2112" s="176"/>
      <c r="P2112" s="176"/>
    </row>
    <row r="2113" hidden="1">
      <c r="A2113" s="176"/>
      <c r="B2113" s="176"/>
      <c r="C2113" s="176"/>
      <c r="D2113" s="176"/>
      <c r="E2113" s="176"/>
      <c r="F2113" s="176"/>
      <c r="G2113" s="176"/>
      <c r="H2113" s="176"/>
      <c r="I2113" s="176"/>
      <c r="J2113" s="176"/>
      <c r="K2113" s="176"/>
      <c r="L2113" s="176"/>
      <c r="M2113" s="176"/>
      <c r="N2113" s="176"/>
      <c r="O2113" s="176"/>
      <c r="P2113" s="176"/>
    </row>
    <row r="2114" hidden="1">
      <c r="A2114" s="176"/>
      <c r="B2114" s="176"/>
      <c r="C2114" s="176"/>
      <c r="D2114" s="176"/>
      <c r="E2114" s="176"/>
      <c r="F2114" s="176"/>
      <c r="G2114" s="176"/>
      <c r="H2114" s="176"/>
      <c r="I2114" s="176"/>
      <c r="J2114" s="176"/>
      <c r="K2114" s="176"/>
      <c r="L2114" s="176"/>
      <c r="M2114" s="176"/>
      <c r="N2114" s="176"/>
      <c r="O2114" s="176"/>
      <c r="P2114" s="176"/>
    </row>
    <row r="2115" hidden="1">
      <c r="A2115" s="176"/>
      <c r="B2115" s="176"/>
      <c r="C2115" s="176"/>
      <c r="D2115" s="176"/>
      <c r="E2115" s="176"/>
      <c r="F2115" s="176"/>
      <c r="G2115" s="176"/>
      <c r="H2115" s="176"/>
      <c r="I2115" s="176"/>
      <c r="J2115" s="176"/>
      <c r="K2115" s="176"/>
      <c r="L2115" s="176"/>
      <c r="M2115" s="176"/>
      <c r="N2115" s="176"/>
      <c r="O2115" s="176"/>
      <c r="P2115" s="176"/>
    </row>
    <row r="2116" hidden="1">
      <c r="A2116" s="176"/>
      <c r="B2116" s="176"/>
      <c r="C2116" s="176"/>
      <c r="D2116" s="176"/>
      <c r="E2116" s="176"/>
      <c r="F2116" s="176"/>
      <c r="G2116" s="176"/>
      <c r="H2116" s="176"/>
      <c r="I2116" s="176"/>
      <c r="J2116" s="176"/>
      <c r="K2116" s="176"/>
      <c r="L2116" s="176"/>
      <c r="M2116" s="176"/>
      <c r="N2116" s="176"/>
      <c r="O2116" s="176"/>
      <c r="P2116" s="176"/>
    </row>
    <row r="2117" hidden="1">
      <c r="A2117" s="176"/>
      <c r="B2117" s="176"/>
      <c r="C2117" s="176"/>
      <c r="D2117" s="176"/>
      <c r="E2117" s="176"/>
      <c r="F2117" s="176"/>
      <c r="G2117" s="176"/>
      <c r="H2117" s="176"/>
      <c r="I2117" s="176"/>
      <c r="J2117" s="176"/>
      <c r="K2117" s="176"/>
      <c r="L2117" s="176"/>
      <c r="M2117" s="176"/>
      <c r="N2117" s="176"/>
      <c r="O2117" s="176"/>
      <c r="P2117" s="176"/>
    </row>
    <row r="2118" hidden="1">
      <c r="A2118" s="176"/>
      <c r="B2118" s="176"/>
      <c r="C2118" s="176"/>
      <c r="D2118" s="176"/>
      <c r="E2118" s="176"/>
      <c r="F2118" s="176"/>
      <c r="G2118" s="176"/>
      <c r="H2118" s="176"/>
      <c r="I2118" s="176"/>
      <c r="J2118" s="176"/>
      <c r="K2118" s="176"/>
      <c r="L2118" s="176"/>
      <c r="M2118" s="176"/>
      <c r="N2118" s="176"/>
      <c r="O2118" s="176"/>
      <c r="P2118" s="176"/>
    </row>
    <row r="2119" hidden="1">
      <c r="A2119" s="176"/>
      <c r="B2119" s="176"/>
      <c r="C2119" s="176"/>
      <c r="D2119" s="176"/>
      <c r="E2119" s="176"/>
      <c r="F2119" s="176"/>
      <c r="G2119" s="176"/>
      <c r="H2119" s="176"/>
      <c r="I2119" s="176"/>
      <c r="J2119" s="176"/>
      <c r="K2119" s="176"/>
      <c r="L2119" s="176"/>
      <c r="M2119" s="176"/>
      <c r="N2119" s="176"/>
      <c r="O2119" s="176"/>
      <c r="P2119" s="176"/>
    </row>
    <row r="2120" hidden="1">
      <c r="A2120" s="176"/>
      <c r="B2120" s="176"/>
      <c r="C2120" s="176"/>
      <c r="D2120" s="176"/>
      <c r="E2120" s="176"/>
      <c r="F2120" s="176"/>
      <c r="G2120" s="176"/>
      <c r="H2120" s="176"/>
      <c r="I2120" s="176"/>
      <c r="J2120" s="176"/>
      <c r="K2120" s="176"/>
      <c r="L2120" s="176"/>
      <c r="M2120" s="176"/>
      <c r="N2120" s="176"/>
      <c r="O2120" s="176"/>
      <c r="P2120" s="176"/>
    </row>
    <row r="2121" hidden="1">
      <c r="A2121" s="176"/>
      <c r="B2121" s="176"/>
      <c r="C2121" s="176"/>
      <c r="D2121" s="176"/>
      <c r="E2121" s="176"/>
      <c r="F2121" s="176"/>
      <c r="G2121" s="176"/>
      <c r="H2121" s="176"/>
      <c r="I2121" s="176"/>
      <c r="J2121" s="176"/>
      <c r="K2121" s="176"/>
      <c r="L2121" s="176"/>
      <c r="M2121" s="176"/>
      <c r="N2121" s="176"/>
      <c r="O2121" s="176"/>
      <c r="P2121" s="176"/>
    </row>
    <row r="2122" hidden="1">
      <c r="A2122" s="176"/>
      <c r="B2122" s="176"/>
      <c r="C2122" s="176"/>
      <c r="D2122" s="176"/>
      <c r="E2122" s="176"/>
      <c r="F2122" s="176"/>
      <c r="G2122" s="176"/>
      <c r="H2122" s="176"/>
      <c r="I2122" s="176"/>
      <c r="J2122" s="176"/>
      <c r="K2122" s="176"/>
      <c r="L2122" s="176"/>
      <c r="M2122" s="176"/>
      <c r="N2122" s="176"/>
      <c r="O2122" s="176"/>
      <c r="P2122" s="176"/>
    </row>
    <row r="2123" hidden="1">
      <c r="A2123" s="176"/>
      <c r="B2123" s="176"/>
      <c r="C2123" s="176"/>
      <c r="D2123" s="176"/>
      <c r="E2123" s="176"/>
      <c r="F2123" s="176"/>
      <c r="G2123" s="176"/>
      <c r="H2123" s="176"/>
      <c r="I2123" s="176"/>
      <c r="J2123" s="176"/>
      <c r="K2123" s="176"/>
      <c r="L2123" s="176"/>
      <c r="M2123" s="176"/>
      <c r="N2123" s="176"/>
      <c r="O2123" s="176"/>
      <c r="P2123" s="176"/>
    </row>
    <row r="2124" hidden="1">
      <c r="A2124" s="176"/>
      <c r="B2124" s="176"/>
      <c r="C2124" s="176"/>
      <c r="D2124" s="176"/>
      <c r="E2124" s="176"/>
      <c r="F2124" s="176"/>
      <c r="G2124" s="176"/>
      <c r="H2124" s="176"/>
      <c r="I2124" s="176"/>
      <c r="J2124" s="176"/>
      <c r="K2124" s="176"/>
      <c r="L2124" s="176"/>
      <c r="M2124" s="176"/>
      <c r="N2124" s="176"/>
      <c r="O2124" s="176"/>
      <c r="P2124" s="176"/>
    </row>
    <row r="2125" hidden="1">
      <c r="A2125" s="176"/>
      <c r="B2125" s="176"/>
      <c r="C2125" s="176"/>
      <c r="D2125" s="176"/>
      <c r="E2125" s="176"/>
      <c r="F2125" s="176"/>
      <c r="G2125" s="176"/>
      <c r="H2125" s="176"/>
      <c r="I2125" s="176"/>
      <c r="J2125" s="176"/>
      <c r="K2125" s="176"/>
      <c r="L2125" s="176"/>
      <c r="M2125" s="176"/>
      <c r="N2125" s="176"/>
      <c r="O2125" s="176"/>
      <c r="P2125" s="176"/>
    </row>
    <row r="2126" hidden="1">
      <c r="A2126" s="176"/>
      <c r="B2126" s="176"/>
      <c r="C2126" s="176"/>
      <c r="D2126" s="176"/>
      <c r="E2126" s="176"/>
      <c r="F2126" s="176"/>
      <c r="G2126" s="176"/>
      <c r="H2126" s="176"/>
      <c r="I2126" s="176"/>
      <c r="J2126" s="176"/>
      <c r="K2126" s="176"/>
      <c r="L2126" s="176"/>
      <c r="M2126" s="176"/>
      <c r="N2126" s="176"/>
      <c r="O2126" s="176"/>
      <c r="P2126" s="176"/>
    </row>
    <row r="2127" hidden="1">
      <c r="A2127" s="176"/>
      <c r="B2127" s="176"/>
      <c r="C2127" s="176"/>
      <c r="D2127" s="176"/>
      <c r="E2127" s="176"/>
      <c r="F2127" s="176"/>
      <c r="G2127" s="176"/>
      <c r="H2127" s="176"/>
      <c r="I2127" s="176"/>
      <c r="J2127" s="176"/>
      <c r="K2127" s="176"/>
      <c r="L2127" s="176"/>
      <c r="M2127" s="176"/>
      <c r="N2127" s="176"/>
      <c r="O2127" s="176"/>
      <c r="P2127" s="176"/>
    </row>
    <row r="2128" hidden="1">
      <c r="A2128" s="176"/>
      <c r="B2128" s="176"/>
      <c r="C2128" s="176"/>
      <c r="D2128" s="176"/>
      <c r="E2128" s="176"/>
      <c r="F2128" s="176"/>
      <c r="G2128" s="176"/>
      <c r="H2128" s="176"/>
      <c r="I2128" s="176"/>
      <c r="J2128" s="176"/>
      <c r="K2128" s="176"/>
      <c r="L2128" s="176"/>
      <c r="M2128" s="176"/>
      <c r="N2128" s="176"/>
      <c r="O2128" s="176"/>
      <c r="P2128" s="176"/>
    </row>
    <row r="2129" hidden="1">
      <c r="A2129" s="176"/>
      <c r="B2129" s="176"/>
      <c r="C2129" s="176"/>
      <c r="D2129" s="176"/>
      <c r="E2129" s="176"/>
      <c r="F2129" s="176"/>
      <c r="G2129" s="176"/>
      <c r="H2129" s="176"/>
      <c r="I2129" s="176"/>
      <c r="J2129" s="176"/>
      <c r="K2129" s="176"/>
      <c r="L2129" s="176"/>
      <c r="M2129" s="176"/>
      <c r="N2129" s="176"/>
      <c r="O2129" s="176"/>
      <c r="P2129" s="176"/>
    </row>
    <row r="2130" hidden="1">
      <c r="A2130" s="176"/>
      <c r="B2130" s="176"/>
      <c r="C2130" s="176"/>
      <c r="D2130" s="176"/>
      <c r="E2130" s="176"/>
      <c r="F2130" s="176"/>
      <c r="G2130" s="176"/>
      <c r="H2130" s="176"/>
      <c r="I2130" s="176"/>
      <c r="J2130" s="176"/>
      <c r="K2130" s="176"/>
      <c r="L2130" s="176"/>
      <c r="M2130" s="176"/>
      <c r="N2130" s="176"/>
      <c r="O2130" s="176"/>
      <c r="P2130" s="176"/>
    </row>
    <row r="2131" hidden="1">
      <c r="A2131" s="176"/>
      <c r="B2131" s="176"/>
      <c r="C2131" s="176"/>
      <c r="D2131" s="176"/>
      <c r="E2131" s="176"/>
      <c r="F2131" s="176"/>
      <c r="G2131" s="176"/>
      <c r="H2131" s="176"/>
      <c r="I2131" s="176"/>
      <c r="J2131" s="176"/>
      <c r="K2131" s="176"/>
      <c r="L2131" s="176"/>
      <c r="M2131" s="176"/>
      <c r="N2131" s="176"/>
      <c r="O2131" s="176"/>
      <c r="P2131" s="176"/>
    </row>
    <row r="2132" hidden="1">
      <c r="A2132" s="176"/>
      <c r="B2132" s="176"/>
      <c r="C2132" s="176"/>
      <c r="D2132" s="176"/>
      <c r="E2132" s="176"/>
      <c r="F2132" s="176"/>
      <c r="G2132" s="176"/>
      <c r="H2132" s="176"/>
      <c r="I2132" s="176"/>
      <c r="J2132" s="176"/>
      <c r="K2132" s="176"/>
      <c r="L2132" s="176"/>
      <c r="M2132" s="176"/>
      <c r="N2132" s="176"/>
      <c r="O2132" s="176"/>
      <c r="P2132" s="176"/>
    </row>
    <row r="2133" hidden="1">
      <c r="A2133" s="176"/>
      <c r="B2133" s="176"/>
      <c r="C2133" s="176"/>
      <c r="D2133" s="176"/>
      <c r="E2133" s="176"/>
      <c r="F2133" s="176"/>
      <c r="G2133" s="176"/>
      <c r="H2133" s="176"/>
      <c r="I2133" s="176"/>
      <c r="J2133" s="176"/>
      <c r="K2133" s="176"/>
      <c r="L2133" s="176"/>
      <c r="M2133" s="176"/>
      <c r="N2133" s="176"/>
      <c r="O2133" s="176"/>
      <c r="P2133" s="176"/>
    </row>
    <row r="2134" hidden="1">
      <c r="A2134" s="176"/>
      <c r="B2134" s="176"/>
      <c r="C2134" s="176"/>
      <c r="D2134" s="176"/>
      <c r="E2134" s="176"/>
      <c r="F2134" s="176"/>
      <c r="G2134" s="176"/>
      <c r="H2134" s="176"/>
      <c r="I2134" s="176"/>
      <c r="J2134" s="176"/>
      <c r="K2134" s="176"/>
      <c r="L2134" s="176"/>
      <c r="M2134" s="176"/>
      <c r="N2134" s="176"/>
      <c r="O2134" s="176"/>
      <c r="P2134" s="176"/>
    </row>
    <row r="2135" hidden="1">
      <c r="A2135" s="176"/>
      <c r="B2135" s="176"/>
      <c r="C2135" s="176"/>
      <c r="D2135" s="176"/>
      <c r="E2135" s="176"/>
      <c r="F2135" s="176"/>
      <c r="G2135" s="176"/>
      <c r="H2135" s="176"/>
      <c r="I2135" s="176"/>
      <c r="J2135" s="176"/>
      <c r="K2135" s="176"/>
      <c r="L2135" s="176"/>
      <c r="M2135" s="176"/>
      <c r="N2135" s="176"/>
      <c r="O2135" s="176"/>
      <c r="P2135" s="176"/>
    </row>
    <row r="2136" hidden="1">
      <c r="A2136" s="176"/>
      <c r="B2136" s="176"/>
      <c r="C2136" s="176"/>
      <c r="D2136" s="176"/>
      <c r="E2136" s="176"/>
      <c r="F2136" s="176"/>
      <c r="G2136" s="176"/>
      <c r="H2136" s="176"/>
      <c r="I2136" s="176"/>
      <c r="J2136" s="176"/>
      <c r="K2136" s="176"/>
      <c r="L2136" s="176"/>
      <c r="M2136" s="176"/>
      <c r="N2136" s="176"/>
      <c r="O2136" s="176"/>
      <c r="P2136" s="176"/>
    </row>
    <row r="2137" hidden="1">
      <c r="A2137" s="176"/>
      <c r="B2137" s="176"/>
      <c r="C2137" s="176"/>
      <c r="D2137" s="176"/>
      <c r="E2137" s="176"/>
      <c r="F2137" s="176"/>
      <c r="G2137" s="176"/>
      <c r="H2137" s="176"/>
      <c r="I2137" s="176"/>
      <c r="J2137" s="176"/>
      <c r="K2137" s="176"/>
      <c r="L2137" s="176"/>
      <c r="M2137" s="176"/>
      <c r="N2137" s="176"/>
      <c r="O2137" s="176"/>
      <c r="P2137" s="176"/>
    </row>
    <row r="2138" hidden="1">
      <c r="A2138" s="176"/>
      <c r="B2138" s="176"/>
      <c r="C2138" s="176"/>
      <c r="D2138" s="176"/>
      <c r="E2138" s="176"/>
      <c r="F2138" s="176"/>
      <c r="G2138" s="176"/>
      <c r="H2138" s="176"/>
      <c r="I2138" s="176"/>
      <c r="J2138" s="176"/>
      <c r="K2138" s="176"/>
      <c r="L2138" s="176"/>
      <c r="M2138" s="176"/>
      <c r="N2138" s="176"/>
      <c r="O2138" s="176"/>
      <c r="P2138" s="176"/>
    </row>
    <row r="2139" hidden="1">
      <c r="A2139" s="176"/>
      <c r="B2139" s="176"/>
      <c r="C2139" s="176"/>
      <c r="D2139" s="176"/>
      <c r="E2139" s="176"/>
      <c r="F2139" s="176"/>
      <c r="G2139" s="176"/>
      <c r="H2139" s="176"/>
      <c r="I2139" s="176"/>
      <c r="J2139" s="176"/>
      <c r="K2139" s="176"/>
      <c r="L2139" s="176"/>
      <c r="M2139" s="176"/>
      <c r="N2139" s="176"/>
      <c r="O2139" s="176"/>
      <c r="P2139" s="176"/>
    </row>
    <row r="2140" hidden="1">
      <c r="A2140" s="176"/>
      <c r="B2140" s="176"/>
      <c r="C2140" s="176"/>
      <c r="D2140" s="176"/>
      <c r="E2140" s="176"/>
      <c r="F2140" s="176"/>
      <c r="G2140" s="176"/>
      <c r="H2140" s="176"/>
      <c r="I2140" s="176"/>
      <c r="J2140" s="176"/>
      <c r="K2140" s="176"/>
      <c r="L2140" s="176"/>
      <c r="M2140" s="176"/>
      <c r="N2140" s="176"/>
      <c r="O2140" s="176"/>
      <c r="P2140" s="176"/>
    </row>
    <row r="2141" hidden="1">
      <c r="A2141" s="176"/>
      <c r="B2141" s="176"/>
      <c r="C2141" s="176"/>
      <c r="D2141" s="176"/>
      <c r="E2141" s="176"/>
      <c r="F2141" s="176"/>
      <c r="G2141" s="176"/>
      <c r="H2141" s="176"/>
      <c r="I2141" s="176"/>
      <c r="J2141" s="176"/>
      <c r="K2141" s="176"/>
      <c r="L2141" s="176"/>
      <c r="M2141" s="176"/>
      <c r="N2141" s="176"/>
      <c r="O2141" s="176"/>
      <c r="P2141" s="176"/>
    </row>
    <row r="2142" hidden="1">
      <c r="A2142" s="176"/>
      <c r="B2142" s="176"/>
      <c r="C2142" s="176"/>
      <c r="D2142" s="176"/>
      <c r="E2142" s="176"/>
      <c r="F2142" s="176"/>
      <c r="G2142" s="176"/>
      <c r="H2142" s="176"/>
      <c r="I2142" s="176"/>
      <c r="J2142" s="176"/>
      <c r="K2142" s="176"/>
      <c r="L2142" s="176"/>
      <c r="M2142" s="176"/>
      <c r="N2142" s="176"/>
      <c r="O2142" s="176"/>
      <c r="P2142" s="176"/>
    </row>
    <row r="2143" hidden="1">
      <c r="A2143" s="176"/>
      <c r="B2143" s="176"/>
      <c r="C2143" s="176"/>
      <c r="D2143" s="176"/>
      <c r="E2143" s="176"/>
      <c r="F2143" s="176"/>
      <c r="G2143" s="176"/>
      <c r="H2143" s="176"/>
      <c r="I2143" s="176"/>
      <c r="J2143" s="176"/>
      <c r="K2143" s="176"/>
      <c r="L2143" s="176"/>
      <c r="M2143" s="176"/>
      <c r="N2143" s="176"/>
      <c r="O2143" s="176"/>
      <c r="P2143" s="176"/>
    </row>
    <row r="2144" hidden="1">
      <c r="A2144" s="176"/>
      <c r="B2144" s="176"/>
      <c r="C2144" s="176"/>
      <c r="D2144" s="176"/>
      <c r="E2144" s="176"/>
      <c r="F2144" s="176"/>
      <c r="G2144" s="176"/>
      <c r="H2144" s="176"/>
      <c r="I2144" s="176"/>
      <c r="J2144" s="176"/>
      <c r="K2144" s="176"/>
      <c r="L2144" s="176"/>
      <c r="M2144" s="176"/>
      <c r="N2144" s="176"/>
      <c r="O2144" s="176"/>
      <c r="P2144" s="176"/>
    </row>
    <row r="2145" hidden="1">
      <c r="A2145" s="176"/>
      <c r="B2145" s="176"/>
      <c r="C2145" s="176"/>
      <c r="D2145" s="176"/>
      <c r="E2145" s="176"/>
      <c r="F2145" s="176"/>
      <c r="G2145" s="176"/>
      <c r="H2145" s="176"/>
      <c r="I2145" s="176"/>
      <c r="J2145" s="176"/>
      <c r="K2145" s="176"/>
      <c r="L2145" s="176"/>
      <c r="M2145" s="176"/>
      <c r="N2145" s="176"/>
      <c r="O2145" s="176"/>
      <c r="P2145" s="176"/>
    </row>
    <row r="2146" hidden="1">
      <c r="A2146" s="176"/>
      <c r="B2146" s="176"/>
      <c r="C2146" s="176"/>
      <c r="D2146" s="176"/>
      <c r="E2146" s="176"/>
      <c r="F2146" s="176"/>
      <c r="G2146" s="176"/>
      <c r="H2146" s="176"/>
      <c r="I2146" s="176"/>
      <c r="J2146" s="176"/>
      <c r="K2146" s="176"/>
      <c r="L2146" s="176"/>
      <c r="M2146" s="176"/>
      <c r="N2146" s="176"/>
      <c r="O2146" s="176"/>
      <c r="P2146" s="176"/>
    </row>
    <row r="2147" hidden="1">
      <c r="A2147" s="176"/>
      <c r="B2147" s="176"/>
      <c r="C2147" s="176"/>
      <c r="D2147" s="176"/>
      <c r="E2147" s="176"/>
      <c r="F2147" s="176"/>
      <c r="G2147" s="176"/>
      <c r="H2147" s="176"/>
      <c r="I2147" s="176"/>
      <c r="J2147" s="176"/>
      <c r="K2147" s="176"/>
      <c r="L2147" s="176"/>
      <c r="M2147" s="176"/>
      <c r="N2147" s="176"/>
      <c r="O2147" s="176"/>
      <c r="P2147" s="176"/>
    </row>
    <row r="2148" hidden="1">
      <c r="A2148" s="176"/>
      <c r="B2148" s="176"/>
      <c r="C2148" s="176"/>
      <c r="D2148" s="176"/>
      <c r="E2148" s="176"/>
      <c r="F2148" s="176"/>
      <c r="G2148" s="176"/>
      <c r="H2148" s="176"/>
      <c r="I2148" s="176"/>
      <c r="J2148" s="176"/>
      <c r="K2148" s="176"/>
      <c r="L2148" s="176"/>
      <c r="M2148" s="176"/>
      <c r="N2148" s="176"/>
      <c r="O2148" s="176"/>
      <c r="P2148" s="176"/>
    </row>
    <row r="2149" hidden="1">
      <c r="A2149" s="176"/>
      <c r="B2149" s="176"/>
      <c r="C2149" s="176"/>
      <c r="D2149" s="176"/>
      <c r="E2149" s="176"/>
      <c r="F2149" s="176"/>
      <c r="G2149" s="176"/>
      <c r="H2149" s="176"/>
      <c r="I2149" s="176"/>
      <c r="J2149" s="176"/>
      <c r="K2149" s="176"/>
      <c r="L2149" s="176"/>
      <c r="M2149" s="176"/>
      <c r="N2149" s="176"/>
      <c r="O2149" s="176"/>
      <c r="P2149" s="176"/>
    </row>
    <row r="2150" hidden="1">
      <c r="A2150" s="176"/>
      <c r="B2150" s="176"/>
      <c r="C2150" s="176"/>
      <c r="D2150" s="176"/>
      <c r="E2150" s="176"/>
      <c r="F2150" s="176"/>
      <c r="G2150" s="176"/>
      <c r="H2150" s="176"/>
      <c r="I2150" s="176"/>
      <c r="J2150" s="176"/>
      <c r="K2150" s="176"/>
      <c r="L2150" s="176"/>
      <c r="M2150" s="176"/>
      <c r="N2150" s="176"/>
      <c r="O2150" s="176"/>
      <c r="P2150" s="176"/>
    </row>
    <row r="2151" hidden="1">
      <c r="A2151" s="176"/>
      <c r="B2151" s="176"/>
      <c r="C2151" s="176"/>
      <c r="D2151" s="176"/>
      <c r="E2151" s="176"/>
      <c r="F2151" s="176"/>
      <c r="G2151" s="176"/>
      <c r="H2151" s="176"/>
      <c r="I2151" s="176"/>
      <c r="J2151" s="176"/>
      <c r="K2151" s="176"/>
      <c r="L2151" s="176"/>
      <c r="M2151" s="176"/>
      <c r="N2151" s="176"/>
      <c r="O2151" s="176"/>
      <c r="P2151" s="176"/>
    </row>
    <row r="2152" hidden="1">
      <c r="A2152" s="176"/>
      <c r="B2152" s="176"/>
      <c r="C2152" s="176"/>
      <c r="D2152" s="176"/>
      <c r="E2152" s="176"/>
      <c r="F2152" s="176"/>
      <c r="G2152" s="176"/>
      <c r="H2152" s="176"/>
      <c r="I2152" s="176"/>
      <c r="J2152" s="176"/>
      <c r="K2152" s="176"/>
      <c r="L2152" s="176"/>
      <c r="M2152" s="176"/>
      <c r="N2152" s="176"/>
      <c r="O2152" s="176"/>
      <c r="P2152" s="176"/>
    </row>
    <row r="2153" hidden="1">
      <c r="A2153" s="176"/>
      <c r="B2153" s="176"/>
      <c r="C2153" s="176"/>
      <c r="D2153" s="176"/>
      <c r="E2153" s="176"/>
      <c r="F2153" s="176"/>
      <c r="G2153" s="176"/>
      <c r="H2153" s="176"/>
      <c r="I2153" s="176"/>
      <c r="J2153" s="176"/>
      <c r="K2153" s="176"/>
      <c r="L2153" s="176"/>
      <c r="M2153" s="176"/>
      <c r="N2153" s="176"/>
      <c r="O2153" s="176"/>
      <c r="P2153" s="176"/>
    </row>
    <row r="2154" hidden="1">
      <c r="A2154" s="176"/>
      <c r="B2154" s="176"/>
      <c r="C2154" s="176"/>
      <c r="D2154" s="176"/>
      <c r="E2154" s="176"/>
      <c r="F2154" s="176"/>
      <c r="G2154" s="176"/>
      <c r="H2154" s="176"/>
      <c r="I2154" s="176"/>
      <c r="J2154" s="176"/>
      <c r="K2154" s="176"/>
      <c r="L2154" s="176"/>
      <c r="M2154" s="176"/>
      <c r="N2154" s="176"/>
      <c r="O2154" s="176"/>
      <c r="P2154" s="176"/>
    </row>
    <row r="2155" hidden="1">
      <c r="A2155" s="176"/>
      <c r="B2155" s="176"/>
      <c r="C2155" s="176"/>
      <c r="D2155" s="176"/>
      <c r="E2155" s="176"/>
      <c r="F2155" s="176"/>
      <c r="G2155" s="176"/>
      <c r="H2155" s="176"/>
      <c r="I2155" s="176"/>
      <c r="J2155" s="176"/>
      <c r="K2155" s="176"/>
      <c r="L2155" s="176"/>
      <c r="M2155" s="176"/>
      <c r="N2155" s="176"/>
      <c r="O2155" s="176"/>
      <c r="P2155" s="176"/>
    </row>
    <row r="2156" hidden="1">
      <c r="A2156" s="176"/>
      <c r="B2156" s="176"/>
      <c r="C2156" s="176"/>
      <c r="D2156" s="176"/>
      <c r="E2156" s="176"/>
      <c r="F2156" s="176"/>
      <c r="G2156" s="176"/>
      <c r="H2156" s="176"/>
      <c r="I2156" s="176"/>
      <c r="J2156" s="176"/>
      <c r="K2156" s="176"/>
      <c r="L2156" s="176"/>
      <c r="M2156" s="176"/>
      <c r="N2156" s="176"/>
      <c r="O2156" s="176"/>
      <c r="P2156" s="176"/>
    </row>
    <row r="2157" hidden="1">
      <c r="A2157" s="176"/>
      <c r="B2157" s="176"/>
      <c r="C2157" s="176"/>
      <c r="D2157" s="176"/>
      <c r="E2157" s="176"/>
      <c r="F2157" s="176"/>
      <c r="G2157" s="176"/>
      <c r="H2157" s="176"/>
      <c r="I2157" s="176"/>
      <c r="J2157" s="176"/>
      <c r="K2157" s="176"/>
      <c r="L2157" s="176"/>
      <c r="M2157" s="176"/>
      <c r="N2157" s="176"/>
      <c r="O2157" s="176"/>
      <c r="P2157" s="176"/>
    </row>
    <row r="2158" hidden="1">
      <c r="A2158" s="176"/>
      <c r="B2158" s="176"/>
      <c r="C2158" s="176"/>
      <c r="D2158" s="176"/>
      <c r="E2158" s="176"/>
      <c r="F2158" s="176"/>
      <c r="G2158" s="176"/>
      <c r="H2158" s="176"/>
      <c r="I2158" s="176"/>
      <c r="J2158" s="176"/>
      <c r="K2158" s="176"/>
      <c r="L2158" s="176"/>
      <c r="M2158" s="176"/>
      <c r="N2158" s="176"/>
      <c r="O2158" s="176"/>
      <c r="P2158" s="176"/>
    </row>
    <row r="2159" hidden="1">
      <c r="A2159" s="176"/>
      <c r="B2159" s="176"/>
      <c r="C2159" s="176"/>
      <c r="D2159" s="176"/>
      <c r="E2159" s="176"/>
      <c r="F2159" s="176"/>
      <c r="G2159" s="176"/>
      <c r="H2159" s="176"/>
      <c r="I2159" s="176"/>
      <c r="J2159" s="176"/>
      <c r="K2159" s="176"/>
      <c r="L2159" s="176"/>
      <c r="M2159" s="176"/>
      <c r="N2159" s="176"/>
      <c r="O2159" s="176"/>
      <c r="P2159" s="176"/>
    </row>
    <row r="2160" hidden="1">
      <c r="A2160" s="176"/>
      <c r="B2160" s="176"/>
      <c r="C2160" s="176"/>
      <c r="D2160" s="176"/>
      <c r="E2160" s="176"/>
      <c r="F2160" s="176"/>
      <c r="G2160" s="176"/>
      <c r="H2160" s="176"/>
      <c r="I2160" s="176"/>
      <c r="J2160" s="176"/>
      <c r="K2160" s="176"/>
      <c r="L2160" s="176"/>
      <c r="M2160" s="176"/>
      <c r="N2160" s="176"/>
      <c r="O2160" s="176"/>
      <c r="P2160" s="176"/>
    </row>
    <row r="2161" hidden="1">
      <c r="A2161" s="176"/>
      <c r="B2161" s="176"/>
      <c r="C2161" s="176"/>
      <c r="D2161" s="176"/>
      <c r="E2161" s="176"/>
      <c r="F2161" s="176"/>
      <c r="G2161" s="176"/>
      <c r="H2161" s="176"/>
      <c r="I2161" s="176"/>
      <c r="J2161" s="176"/>
      <c r="K2161" s="176"/>
      <c r="L2161" s="176"/>
      <c r="M2161" s="176"/>
      <c r="N2161" s="176"/>
      <c r="O2161" s="176"/>
      <c r="P2161" s="176"/>
    </row>
    <row r="2162" hidden="1">
      <c r="A2162" s="176"/>
      <c r="B2162" s="176"/>
      <c r="C2162" s="176"/>
      <c r="D2162" s="176"/>
      <c r="E2162" s="176"/>
      <c r="F2162" s="176"/>
      <c r="G2162" s="176"/>
      <c r="H2162" s="176"/>
      <c r="I2162" s="176"/>
      <c r="J2162" s="176"/>
      <c r="K2162" s="176"/>
      <c r="L2162" s="176"/>
      <c r="M2162" s="176"/>
      <c r="N2162" s="176"/>
      <c r="O2162" s="176"/>
      <c r="P2162" s="176"/>
    </row>
    <row r="2163" hidden="1">
      <c r="A2163" s="176"/>
      <c r="B2163" s="176"/>
      <c r="C2163" s="176"/>
      <c r="D2163" s="176"/>
      <c r="E2163" s="176"/>
      <c r="F2163" s="176"/>
      <c r="G2163" s="176"/>
      <c r="H2163" s="176"/>
      <c r="I2163" s="176"/>
      <c r="J2163" s="176"/>
      <c r="K2163" s="176"/>
      <c r="L2163" s="176"/>
      <c r="M2163" s="176"/>
      <c r="N2163" s="176"/>
      <c r="O2163" s="176"/>
      <c r="P2163" s="176"/>
    </row>
    <row r="2164" hidden="1">
      <c r="A2164" s="176"/>
      <c r="B2164" s="176"/>
      <c r="C2164" s="176"/>
      <c r="D2164" s="176"/>
      <c r="E2164" s="176"/>
      <c r="F2164" s="176"/>
      <c r="G2164" s="176"/>
      <c r="H2164" s="176"/>
      <c r="I2164" s="176"/>
      <c r="J2164" s="176"/>
      <c r="K2164" s="176"/>
      <c r="L2164" s="176"/>
      <c r="M2164" s="176"/>
      <c r="N2164" s="176"/>
      <c r="O2164" s="176"/>
      <c r="P2164" s="176"/>
    </row>
    <row r="2165" hidden="1">
      <c r="A2165" s="176"/>
      <c r="B2165" s="176"/>
      <c r="C2165" s="176"/>
      <c r="D2165" s="176"/>
      <c r="E2165" s="176"/>
      <c r="F2165" s="176"/>
      <c r="G2165" s="176"/>
      <c r="H2165" s="176"/>
      <c r="I2165" s="176"/>
      <c r="J2165" s="176"/>
      <c r="K2165" s="176"/>
      <c r="L2165" s="176"/>
      <c r="M2165" s="176"/>
      <c r="N2165" s="176"/>
      <c r="O2165" s="176"/>
      <c r="P2165" s="176"/>
    </row>
    <row r="2166" hidden="1">
      <c r="A2166" s="176"/>
      <c r="B2166" s="176"/>
      <c r="C2166" s="176"/>
      <c r="D2166" s="176"/>
      <c r="E2166" s="176"/>
      <c r="F2166" s="176"/>
      <c r="G2166" s="176"/>
      <c r="H2166" s="176"/>
      <c r="I2166" s="176"/>
      <c r="J2166" s="176"/>
      <c r="K2166" s="176"/>
      <c r="L2166" s="176"/>
      <c r="M2166" s="176"/>
      <c r="N2166" s="176"/>
      <c r="O2166" s="176"/>
      <c r="P2166" s="176"/>
    </row>
    <row r="2167" hidden="1">
      <c r="A2167" s="176"/>
      <c r="B2167" s="176"/>
      <c r="C2167" s="176"/>
      <c r="D2167" s="176"/>
      <c r="E2167" s="176"/>
      <c r="F2167" s="176"/>
      <c r="G2167" s="176"/>
      <c r="H2167" s="176"/>
      <c r="I2167" s="176"/>
      <c r="J2167" s="176"/>
      <c r="K2167" s="176"/>
      <c r="L2167" s="176"/>
      <c r="M2167" s="176"/>
      <c r="N2167" s="176"/>
      <c r="O2167" s="176"/>
      <c r="P2167" s="176"/>
    </row>
    <row r="2168" hidden="1">
      <c r="A2168" s="176"/>
      <c r="B2168" s="176"/>
      <c r="C2168" s="176"/>
      <c r="D2168" s="176"/>
      <c r="E2168" s="176"/>
      <c r="F2168" s="176"/>
      <c r="G2168" s="176"/>
      <c r="H2168" s="176"/>
      <c r="I2168" s="176"/>
      <c r="J2168" s="176"/>
      <c r="K2168" s="176"/>
      <c r="L2168" s="176"/>
      <c r="M2168" s="176"/>
      <c r="N2168" s="176"/>
      <c r="O2168" s="176"/>
      <c r="P2168" s="176"/>
    </row>
    <row r="2169" hidden="1">
      <c r="A2169" s="176"/>
      <c r="B2169" s="176"/>
      <c r="C2169" s="176"/>
      <c r="D2169" s="176"/>
      <c r="E2169" s="176"/>
      <c r="F2169" s="176"/>
      <c r="G2169" s="176"/>
      <c r="H2169" s="176"/>
      <c r="I2169" s="176"/>
      <c r="J2169" s="176"/>
      <c r="K2169" s="176"/>
      <c r="L2169" s="176"/>
      <c r="M2169" s="176"/>
      <c r="N2169" s="176"/>
      <c r="O2169" s="176"/>
      <c r="P2169" s="176"/>
    </row>
    <row r="2170" hidden="1">
      <c r="A2170" s="176"/>
      <c r="B2170" s="176"/>
      <c r="C2170" s="176"/>
      <c r="D2170" s="176"/>
      <c r="E2170" s="176"/>
      <c r="F2170" s="176"/>
      <c r="G2170" s="176"/>
      <c r="H2170" s="176"/>
      <c r="I2170" s="176"/>
      <c r="J2170" s="176"/>
      <c r="K2170" s="176"/>
      <c r="L2170" s="176"/>
      <c r="M2170" s="176"/>
      <c r="N2170" s="176"/>
      <c r="O2170" s="176"/>
      <c r="P2170" s="176"/>
    </row>
    <row r="2171" hidden="1">
      <c r="A2171" s="176"/>
      <c r="B2171" s="176"/>
      <c r="C2171" s="176"/>
      <c r="D2171" s="176"/>
      <c r="E2171" s="176"/>
      <c r="F2171" s="176"/>
      <c r="G2171" s="176"/>
      <c r="H2171" s="176"/>
      <c r="I2171" s="176"/>
      <c r="J2171" s="176"/>
      <c r="K2171" s="176"/>
      <c r="L2171" s="176"/>
      <c r="M2171" s="176"/>
      <c r="N2171" s="176"/>
      <c r="O2171" s="176"/>
      <c r="P2171" s="176"/>
    </row>
    <row r="2172" hidden="1">
      <c r="A2172" s="176"/>
      <c r="B2172" s="176"/>
      <c r="C2172" s="176"/>
      <c r="D2172" s="176"/>
      <c r="E2172" s="176"/>
      <c r="F2172" s="176"/>
      <c r="G2172" s="176"/>
      <c r="H2172" s="176"/>
      <c r="I2172" s="176"/>
      <c r="J2172" s="176"/>
      <c r="K2172" s="176"/>
      <c r="L2172" s="176"/>
      <c r="M2172" s="176"/>
      <c r="N2172" s="176"/>
      <c r="O2172" s="176"/>
      <c r="P2172" s="176"/>
    </row>
    <row r="2173" hidden="1">
      <c r="A2173" s="176"/>
      <c r="B2173" s="176"/>
      <c r="C2173" s="176"/>
      <c r="D2173" s="176"/>
      <c r="E2173" s="176"/>
      <c r="F2173" s="176"/>
      <c r="G2173" s="176"/>
      <c r="H2173" s="176"/>
      <c r="I2173" s="176"/>
      <c r="J2173" s="176"/>
      <c r="K2173" s="176"/>
      <c r="L2173" s="176"/>
      <c r="M2173" s="176"/>
      <c r="N2173" s="176"/>
      <c r="O2173" s="176"/>
      <c r="P2173" s="176"/>
    </row>
    <row r="2174" hidden="1">
      <c r="A2174" s="176"/>
      <c r="B2174" s="176"/>
      <c r="C2174" s="176"/>
      <c r="D2174" s="176"/>
      <c r="E2174" s="176"/>
      <c r="F2174" s="176"/>
      <c r="G2174" s="176"/>
      <c r="H2174" s="176"/>
      <c r="I2174" s="176"/>
      <c r="J2174" s="176"/>
      <c r="K2174" s="176"/>
      <c r="L2174" s="176"/>
      <c r="M2174" s="176"/>
      <c r="N2174" s="176"/>
      <c r="O2174" s="176"/>
      <c r="P2174" s="176"/>
    </row>
    <row r="2175" hidden="1">
      <c r="A2175" s="176"/>
      <c r="B2175" s="176"/>
      <c r="C2175" s="176"/>
      <c r="D2175" s="176"/>
      <c r="E2175" s="176"/>
      <c r="F2175" s="176"/>
      <c r="G2175" s="176"/>
      <c r="H2175" s="176"/>
      <c r="I2175" s="176"/>
      <c r="J2175" s="176"/>
      <c r="K2175" s="176"/>
      <c r="L2175" s="176"/>
      <c r="M2175" s="176"/>
      <c r="N2175" s="176"/>
      <c r="O2175" s="176"/>
      <c r="P2175" s="176"/>
    </row>
    <row r="2176" hidden="1">
      <c r="A2176" s="176"/>
      <c r="B2176" s="176"/>
      <c r="C2176" s="176"/>
      <c r="D2176" s="176"/>
      <c r="E2176" s="176"/>
      <c r="F2176" s="176"/>
      <c r="G2176" s="176"/>
      <c r="H2176" s="176"/>
      <c r="I2176" s="176"/>
      <c r="J2176" s="176"/>
      <c r="K2176" s="176"/>
      <c r="L2176" s="176"/>
      <c r="M2176" s="176"/>
      <c r="N2176" s="176"/>
      <c r="O2176" s="176"/>
      <c r="P2176" s="176"/>
    </row>
    <row r="2177" hidden="1">
      <c r="A2177" s="176"/>
      <c r="B2177" s="176"/>
      <c r="C2177" s="176"/>
      <c r="D2177" s="176"/>
      <c r="E2177" s="176"/>
      <c r="F2177" s="176"/>
      <c r="G2177" s="176"/>
      <c r="H2177" s="176"/>
      <c r="I2177" s="176"/>
      <c r="J2177" s="176"/>
      <c r="K2177" s="176"/>
      <c r="L2177" s="176"/>
      <c r="M2177" s="176"/>
      <c r="N2177" s="176"/>
      <c r="O2177" s="176"/>
      <c r="P2177" s="176"/>
    </row>
    <row r="2178" hidden="1">
      <c r="A2178" s="176"/>
      <c r="B2178" s="176"/>
      <c r="C2178" s="176"/>
      <c r="D2178" s="176"/>
      <c r="E2178" s="176"/>
      <c r="F2178" s="176"/>
      <c r="G2178" s="176"/>
      <c r="H2178" s="176"/>
      <c r="I2178" s="176"/>
      <c r="J2178" s="176"/>
      <c r="K2178" s="176"/>
      <c r="L2178" s="176"/>
      <c r="M2178" s="176"/>
      <c r="N2178" s="176"/>
      <c r="O2178" s="176"/>
      <c r="P2178" s="176"/>
    </row>
    <row r="2179" hidden="1">
      <c r="A2179" s="176"/>
      <c r="B2179" s="176"/>
      <c r="C2179" s="176"/>
      <c r="D2179" s="176"/>
      <c r="E2179" s="176"/>
      <c r="F2179" s="176"/>
      <c r="G2179" s="176"/>
      <c r="H2179" s="176"/>
      <c r="I2179" s="176"/>
      <c r="J2179" s="176"/>
      <c r="K2179" s="176"/>
      <c r="L2179" s="176"/>
      <c r="M2179" s="176"/>
      <c r="N2179" s="176"/>
      <c r="O2179" s="176"/>
      <c r="P2179" s="176"/>
    </row>
    <row r="2180" hidden="1">
      <c r="A2180" s="176"/>
      <c r="B2180" s="176"/>
      <c r="C2180" s="176"/>
      <c r="D2180" s="176"/>
      <c r="E2180" s="176"/>
      <c r="F2180" s="176"/>
      <c r="G2180" s="176"/>
      <c r="H2180" s="176"/>
      <c r="I2180" s="176"/>
      <c r="J2180" s="176"/>
      <c r="K2180" s="176"/>
      <c r="L2180" s="176"/>
      <c r="M2180" s="176"/>
      <c r="N2180" s="176"/>
      <c r="O2180" s="176"/>
      <c r="P2180" s="176"/>
    </row>
    <row r="2181" hidden="1">
      <c r="A2181" s="176"/>
      <c r="B2181" s="176"/>
      <c r="C2181" s="176"/>
      <c r="D2181" s="176"/>
      <c r="E2181" s="176"/>
      <c r="F2181" s="176"/>
      <c r="G2181" s="176"/>
      <c r="H2181" s="176"/>
      <c r="I2181" s="176"/>
      <c r="J2181" s="176"/>
      <c r="K2181" s="176"/>
      <c r="L2181" s="176"/>
      <c r="M2181" s="176"/>
      <c r="N2181" s="176"/>
      <c r="O2181" s="176"/>
      <c r="P2181" s="176"/>
    </row>
    <row r="2182" hidden="1">
      <c r="A2182" s="176"/>
      <c r="B2182" s="176"/>
      <c r="C2182" s="176"/>
      <c r="D2182" s="176"/>
      <c r="E2182" s="176"/>
      <c r="F2182" s="176"/>
      <c r="G2182" s="176"/>
      <c r="H2182" s="176"/>
      <c r="I2182" s="176"/>
      <c r="J2182" s="176"/>
      <c r="K2182" s="176"/>
      <c r="L2182" s="176"/>
      <c r="M2182" s="176"/>
      <c r="N2182" s="176"/>
      <c r="O2182" s="176"/>
      <c r="P2182" s="176"/>
    </row>
    <row r="2183" hidden="1">
      <c r="A2183" s="176"/>
      <c r="B2183" s="176"/>
      <c r="C2183" s="176"/>
      <c r="D2183" s="176"/>
      <c r="E2183" s="176"/>
      <c r="F2183" s="176"/>
      <c r="G2183" s="176"/>
      <c r="H2183" s="176"/>
      <c r="I2183" s="176"/>
      <c r="J2183" s="176"/>
      <c r="K2183" s="176"/>
      <c r="L2183" s="176"/>
      <c r="M2183" s="176"/>
      <c r="N2183" s="176"/>
      <c r="O2183" s="176"/>
      <c r="P2183" s="176"/>
    </row>
    <row r="2184" hidden="1">
      <c r="A2184" s="176"/>
      <c r="B2184" s="176"/>
      <c r="C2184" s="176"/>
      <c r="D2184" s="176"/>
      <c r="E2184" s="176"/>
      <c r="F2184" s="176"/>
      <c r="G2184" s="176"/>
      <c r="H2184" s="176"/>
      <c r="I2184" s="176"/>
      <c r="J2184" s="176"/>
      <c r="K2184" s="176"/>
      <c r="L2184" s="176"/>
      <c r="M2184" s="176"/>
      <c r="N2184" s="176"/>
      <c r="O2184" s="176"/>
      <c r="P2184" s="176"/>
    </row>
    <row r="2185" hidden="1">
      <c r="A2185" s="176"/>
      <c r="B2185" s="176"/>
      <c r="C2185" s="176"/>
      <c r="D2185" s="176"/>
      <c r="E2185" s="176"/>
      <c r="F2185" s="176"/>
      <c r="G2185" s="176"/>
      <c r="H2185" s="176"/>
      <c r="I2185" s="176"/>
      <c r="J2185" s="176"/>
      <c r="K2185" s="176"/>
      <c r="L2185" s="176"/>
      <c r="M2185" s="176"/>
      <c r="N2185" s="176"/>
      <c r="O2185" s="176"/>
      <c r="P2185" s="176"/>
    </row>
    <row r="2186" hidden="1">
      <c r="A2186" s="176"/>
      <c r="B2186" s="176"/>
      <c r="C2186" s="176"/>
      <c r="D2186" s="176"/>
      <c r="E2186" s="176"/>
      <c r="F2186" s="176"/>
      <c r="G2186" s="176"/>
      <c r="H2186" s="176"/>
      <c r="I2186" s="176"/>
      <c r="J2186" s="176"/>
      <c r="K2186" s="176"/>
      <c r="L2186" s="176"/>
      <c r="M2186" s="176"/>
      <c r="N2186" s="176"/>
      <c r="O2186" s="176"/>
      <c r="P2186" s="176"/>
    </row>
    <row r="2187" hidden="1">
      <c r="A2187" s="176"/>
      <c r="B2187" s="176"/>
      <c r="C2187" s="176"/>
      <c r="D2187" s="176"/>
      <c r="E2187" s="176"/>
      <c r="F2187" s="176"/>
      <c r="G2187" s="176"/>
      <c r="H2187" s="176"/>
      <c r="I2187" s="176"/>
      <c r="J2187" s="176"/>
      <c r="K2187" s="176"/>
      <c r="L2187" s="176"/>
      <c r="M2187" s="176"/>
      <c r="N2187" s="176"/>
      <c r="O2187" s="176"/>
      <c r="P2187" s="176"/>
    </row>
    <row r="2188" hidden="1">
      <c r="A2188" s="176"/>
      <c r="B2188" s="176"/>
      <c r="C2188" s="176"/>
      <c r="D2188" s="176"/>
      <c r="E2188" s="176"/>
      <c r="F2188" s="176"/>
      <c r="G2188" s="176"/>
      <c r="H2188" s="176"/>
      <c r="I2188" s="176"/>
      <c r="J2188" s="176"/>
      <c r="K2188" s="176"/>
      <c r="L2188" s="176"/>
      <c r="M2188" s="176"/>
      <c r="N2188" s="176"/>
      <c r="O2188" s="176"/>
      <c r="P2188" s="176"/>
    </row>
    <row r="2189" hidden="1">
      <c r="A2189" s="176"/>
      <c r="B2189" s="176"/>
      <c r="C2189" s="176"/>
      <c r="D2189" s="176"/>
      <c r="E2189" s="176"/>
      <c r="F2189" s="176"/>
      <c r="G2189" s="176"/>
      <c r="H2189" s="176"/>
      <c r="I2189" s="176"/>
      <c r="J2189" s="176"/>
      <c r="K2189" s="176"/>
      <c r="L2189" s="176"/>
      <c r="M2189" s="176"/>
      <c r="N2189" s="176"/>
      <c r="O2189" s="176"/>
      <c r="P2189" s="176"/>
    </row>
    <row r="2190" hidden="1">
      <c r="A2190" s="176"/>
      <c r="B2190" s="176"/>
      <c r="C2190" s="176"/>
      <c r="D2190" s="176"/>
      <c r="E2190" s="176"/>
      <c r="F2190" s="176"/>
      <c r="G2190" s="176"/>
      <c r="H2190" s="176"/>
      <c r="I2190" s="176"/>
      <c r="J2190" s="176"/>
      <c r="K2190" s="176"/>
      <c r="L2190" s="176"/>
      <c r="M2190" s="176"/>
      <c r="N2190" s="176"/>
      <c r="O2190" s="176"/>
      <c r="P2190" s="176"/>
    </row>
    <row r="2191" hidden="1">
      <c r="A2191" s="176"/>
      <c r="B2191" s="176"/>
      <c r="C2191" s="176"/>
      <c r="D2191" s="176"/>
      <c r="E2191" s="176"/>
      <c r="F2191" s="176"/>
      <c r="G2191" s="176"/>
      <c r="H2191" s="176"/>
      <c r="I2191" s="176"/>
      <c r="J2191" s="176"/>
      <c r="K2191" s="176"/>
      <c r="L2191" s="176"/>
      <c r="M2191" s="176"/>
      <c r="N2191" s="176"/>
      <c r="O2191" s="176"/>
      <c r="P2191" s="176"/>
    </row>
    <row r="2192" hidden="1">
      <c r="A2192" s="176"/>
      <c r="B2192" s="176"/>
      <c r="C2192" s="176"/>
      <c r="D2192" s="176"/>
      <c r="E2192" s="176"/>
      <c r="F2192" s="176"/>
      <c r="G2192" s="176"/>
      <c r="H2192" s="176"/>
      <c r="I2192" s="176"/>
      <c r="J2192" s="176"/>
      <c r="K2192" s="176"/>
      <c r="L2192" s="176"/>
      <c r="M2192" s="176"/>
      <c r="N2192" s="176"/>
      <c r="O2192" s="176"/>
      <c r="P2192" s="176"/>
    </row>
    <row r="2193" hidden="1">
      <c r="A2193" s="176"/>
      <c r="B2193" s="176"/>
      <c r="C2193" s="176"/>
      <c r="D2193" s="176"/>
      <c r="E2193" s="176"/>
      <c r="F2193" s="176"/>
      <c r="G2193" s="176"/>
      <c r="H2193" s="176"/>
      <c r="I2193" s="176"/>
      <c r="J2193" s="176"/>
      <c r="K2193" s="176"/>
      <c r="L2193" s="176"/>
      <c r="M2193" s="176"/>
      <c r="N2193" s="176"/>
      <c r="O2193" s="176"/>
      <c r="P2193" s="176"/>
    </row>
    <row r="2194" hidden="1">
      <c r="A2194" s="176"/>
      <c r="B2194" s="176"/>
      <c r="C2194" s="176"/>
      <c r="D2194" s="176"/>
      <c r="E2194" s="176"/>
      <c r="F2194" s="176"/>
      <c r="G2194" s="176"/>
      <c r="H2194" s="176"/>
      <c r="I2194" s="176"/>
      <c r="J2194" s="176"/>
      <c r="K2194" s="176"/>
      <c r="L2194" s="176"/>
      <c r="M2194" s="176"/>
      <c r="N2194" s="176"/>
      <c r="O2194" s="176"/>
      <c r="P2194" s="176"/>
    </row>
    <row r="2195" hidden="1">
      <c r="A2195" s="176"/>
      <c r="B2195" s="176"/>
      <c r="C2195" s="176"/>
      <c r="D2195" s="176"/>
      <c r="E2195" s="176"/>
      <c r="F2195" s="176"/>
      <c r="G2195" s="176"/>
      <c r="H2195" s="176"/>
      <c r="I2195" s="176"/>
      <c r="J2195" s="176"/>
      <c r="K2195" s="176"/>
      <c r="L2195" s="176"/>
      <c r="M2195" s="176"/>
      <c r="N2195" s="176"/>
      <c r="O2195" s="176"/>
      <c r="P2195" s="176"/>
    </row>
    <row r="2196" hidden="1">
      <c r="A2196" s="176"/>
      <c r="B2196" s="176"/>
      <c r="C2196" s="176"/>
      <c r="D2196" s="176"/>
      <c r="E2196" s="176"/>
      <c r="F2196" s="176"/>
      <c r="G2196" s="176"/>
      <c r="H2196" s="176"/>
      <c r="I2196" s="176"/>
      <c r="J2196" s="176"/>
      <c r="K2196" s="176"/>
      <c r="L2196" s="176"/>
      <c r="M2196" s="176"/>
      <c r="N2196" s="176"/>
      <c r="O2196" s="176"/>
      <c r="P2196" s="176"/>
    </row>
    <row r="2197" hidden="1">
      <c r="A2197" s="176"/>
      <c r="B2197" s="176"/>
      <c r="C2197" s="176"/>
      <c r="D2197" s="176"/>
      <c r="E2197" s="176"/>
      <c r="F2197" s="176"/>
      <c r="G2197" s="176"/>
      <c r="H2197" s="176"/>
      <c r="I2197" s="176"/>
      <c r="J2197" s="176"/>
      <c r="K2197" s="176"/>
      <c r="L2197" s="176"/>
      <c r="M2197" s="176"/>
      <c r="N2197" s="176"/>
      <c r="O2197" s="176"/>
      <c r="P2197" s="176"/>
    </row>
    <row r="2198" hidden="1">
      <c r="A2198" s="176"/>
      <c r="B2198" s="176"/>
      <c r="C2198" s="176"/>
      <c r="D2198" s="176"/>
      <c r="E2198" s="176"/>
      <c r="F2198" s="176"/>
      <c r="G2198" s="176"/>
      <c r="H2198" s="176"/>
      <c r="I2198" s="176"/>
      <c r="J2198" s="176"/>
      <c r="K2198" s="176"/>
      <c r="L2198" s="176"/>
      <c r="M2198" s="176"/>
      <c r="N2198" s="176"/>
      <c r="O2198" s="176"/>
      <c r="P2198" s="176"/>
    </row>
    <row r="2199" hidden="1">
      <c r="A2199" s="176"/>
      <c r="B2199" s="176"/>
      <c r="C2199" s="176"/>
      <c r="D2199" s="176"/>
      <c r="E2199" s="176"/>
      <c r="F2199" s="176"/>
      <c r="G2199" s="176"/>
      <c r="H2199" s="176"/>
      <c r="I2199" s="176"/>
      <c r="J2199" s="176"/>
      <c r="K2199" s="176"/>
      <c r="L2199" s="176"/>
      <c r="M2199" s="176"/>
      <c r="N2199" s="176"/>
      <c r="O2199" s="176"/>
      <c r="P2199" s="176"/>
    </row>
    <row r="2200" hidden="1">
      <c r="A2200" s="176"/>
      <c r="B2200" s="176"/>
      <c r="C2200" s="176"/>
      <c r="D2200" s="176"/>
      <c r="E2200" s="176"/>
      <c r="F2200" s="176"/>
      <c r="G2200" s="176"/>
      <c r="H2200" s="176"/>
      <c r="I2200" s="176"/>
      <c r="J2200" s="176"/>
      <c r="K2200" s="176"/>
      <c r="L2200" s="176"/>
      <c r="M2200" s="176"/>
      <c r="N2200" s="176"/>
      <c r="O2200" s="176"/>
      <c r="P2200" s="176"/>
    </row>
    <row r="2201" hidden="1">
      <c r="A2201" s="176"/>
      <c r="B2201" s="176"/>
      <c r="C2201" s="176"/>
      <c r="D2201" s="176"/>
      <c r="E2201" s="176"/>
      <c r="F2201" s="176"/>
      <c r="G2201" s="176"/>
      <c r="H2201" s="176"/>
      <c r="I2201" s="176"/>
      <c r="J2201" s="176"/>
      <c r="K2201" s="176"/>
      <c r="L2201" s="176"/>
      <c r="M2201" s="176"/>
      <c r="N2201" s="176"/>
      <c r="O2201" s="176"/>
      <c r="P2201" s="176"/>
    </row>
    <row r="2202" hidden="1">
      <c r="A2202" s="176"/>
      <c r="B2202" s="176"/>
      <c r="C2202" s="176"/>
      <c r="D2202" s="176"/>
      <c r="E2202" s="176"/>
      <c r="F2202" s="176"/>
      <c r="G2202" s="176"/>
      <c r="H2202" s="176"/>
      <c r="I2202" s="176"/>
      <c r="J2202" s="176"/>
      <c r="K2202" s="176"/>
      <c r="L2202" s="176"/>
      <c r="M2202" s="176"/>
      <c r="N2202" s="176"/>
      <c r="O2202" s="176"/>
      <c r="P2202" s="176"/>
    </row>
    <row r="2203" hidden="1">
      <c r="A2203" s="176"/>
      <c r="B2203" s="176"/>
      <c r="C2203" s="176"/>
      <c r="D2203" s="176"/>
      <c r="E2203" s="176"/>
      <c r="F2203" s="176"/>
      <c r="G2203" s="176"/>
      <c r="H2203" s="176"/>
      <c r="I2203" s="176"/>
      <c r="J2203" s="176"/>
      <c r="K2203" s="176"/>
      <c r="L2203" s="176"/>
      <c r="M2203" s="176"/>
      <c r="N2203" s="176"/>
      <c r="O2203" s="176"/>
      <c r="P2203" s="176"/>
    </row>
    <row r="2204" hidden="1">
      <c r="A2204" s="176"/>
      <c r="B2204" s="176"/>
      <c r="C2204" s="176"/>
      <c r="D2204" s="176"/>
      <c r="E2204" s="176"/>
      <c r="F2204" s="176"/>
      <c r="G2204" s="176"/>
      <c r="H2204" s="176"/>
      <c r="I2204" s="176"/>
      <c r="J2204" s="176"/>
      <c r="K2204" s="176"/>
      <c r="L2204" s="176"/>
      <c r="M2204" s="176"/>
      <c r="N2204" s="176"/>
      <c r="O2204" s="176"/>
      <c r="P2204" s="176"/>
    </row>
    <row r="2205" hidden="1">
      <c r="A2205" s="176"/>
      <c r="B2205" s="176"/>
      <c r="C2205" s="176"/>
      <c r="D2205" s="176"/>
      <c r="E2205" s="176"/>
      <c r="F2205" s="176"/>
      <c r="G2205" s="176"/>
      <c r="H2205" s="176"/>
      <c r="I2205" s="176"/>
      <c r="J2205" s="176"/>
      <c r="K2205" s="176"/>
      <c r="L2205" s="176"/>
      <c r="M2205" s="176"/>
      <c r="N2205" s="176"/>
      <c r="O2205" s="176"/>
      <c r="P2205" s="176"/>
    </row>
    <row r="2206" hidden="1">
      <c r="A2206" s="176"/>
      <c r="B2206" s="176"/>
      <c r="C2206" s="176"/>
      <c r="D2206" s="176"/>
      <c r="E2206" s="176"/>
      <c r="F2206" s="176"/>
      <c r="G2206" s="176"/>
      <c r="H2206" s="176"/>
      <c r="I2206" s="176"/>
      <c r="J2206" s="176"/>
      <c r="K2206" s="176"/>
      <c r="L2206" s="176"/>
      <c r="M2206" s="176"/>
      <c r="N2206" s="176"/>
      <c r="O2206" s="176"/>
      <c r="P2206" s="176"/>
    </row>
    <row r="2207" hidden="1">
      <c r="A2207" s="176"/>
      <c r="B2207" s="176"/>
      <c r="C2207" s="176"/>
      <c r="D2207" s="176"/>
      <c r="E2207" s="176"/>
      <c r="F2207" s="176"/>
      <c r="G2207" s="176"/>
      <c r="H2207" s="176"/>
      <c r="I2207" s="176"/>
      <c r="J2207" s="176"/>
      <c r="K2207" s="176"/>
      <c r="L2207" s="176"/>
      <c r="M2207" s="176"/>
      <c r="N2207" s="176"/>
      <c r="O2207" s="176"/>
      <c r="P2207" s="176"/>
    </row>
    <row r="2208" hidden="1">
      <c r="A2208" s="176"/>
      <c r="B2208" s="176"/>
      <c r="C2208" s="176"/>
      <c r="D2208" s="176"/>
      <c r="E2208" s="176"/>
      <c r="F2208" s="176"/>
      <c r="G2208" s="176"/>
      <c r="H2208" s="176"/>
      <c r="I2208" s="176"/>
      <c r="J2208" s="176"/>
      <c r="K2208" s="176"/>
      <c r="L2208" s="176"/>
      <c r="M2208" s="176"/>
      <c r="N2208" s="176"/>
      <c r="O2208" s="176"/>
      <c r="P2208" s="176"/>
    </row>
    <row r="2209" hidden="1">
      <c r="A2209" s="176"/>
      <c r="B2209" s="176"/>
      <c r="C2209" s="176"/>
      <c r="D2209" s="176"/>
      <c r="E2209" s="176"/>
      <c r="F2209" s="176"/>
      <c r="G2209" s="176"/>
      <c r="H2209" s="176"/>
      <c r="I2209" s="176"/>
      <c r="J2209" s="176"/>
      <c r="K2209" s="176"/>
      <c r="L2209" s="176"/>
      <c r="M2209" s="176"/>
      <c r="N2209" s="176"/>
      <c r="O2209" s="176"/>
      <c r="P2209" s="176"/>
    </row>
    <row r="2210" hidden="1">
      <c r="A2210" s="176"/>
      <c r="B2210" s="176"/>
      <c r="C2210" s="176"/>
      <c r="D2210" s="176"/>
      <c r="E2210" s="176"/>
      <c r="F2210" s="176"/>
      <c r="G2210" s="176"/>
      <c r="H2210" s="176"/>
      <c r="I2210" s="176"/>
      <c r="J2210" s="176"/>
      <c r="K2210" s="176"/>
      <c r="L2210" s="176"/>
      <c r="M2210" s="176"/>
      <c r="N2210" s="176"/>
      <c r="O2210" s="176"/>
      <c r="P2210" s="176"/>
    </row>
    <row r="2211" hidden="1">
      <c r="A2211" s="176"/>
      <c r="B2211" s="176"/>
      <c r="C2211" s="176"/>
      <c r="D2211" s="176"/>
      <c r="E2211" s="176"/>
      <c r="F2211" s="176"/>
      <c r="G2211" s="176"/>
      <c r="H2211" s="176"/>
      <c r="I2211" s="176"/>
      <c r="J2211" s="176"/>
      <c r="K2211" s="176"/>
      <c r="L2211" s="176"/>
      <c r="M2211" s="176"/>
      <c r="N2211" s="176"/>
      <c r="O2211" s="176"/>
      <c r="P2211" s="176"/>
    </row>
    <row r="2212" hidden="1">
      <c r="A2212" s="176"/>
      <c r="B2212" s="176"/>
      <c r="C2212" s="176"/>
      <c r="D2212" s="176"/>
      <c r="E2212" s="176"/>
      <c r="F2212" s="176"/>
      <c r="G2212" s="176"/>
      <c r="H2212" s="176"/>
      <c r="I2212" s="176"/>
      <c r="J2212" s="176"/>
      <c r="K2212" s="176"/>
      <c r="L2212" s="176"/>
      <c r="M2212" s="176"/>
      <c r="N2212" s="176"/>
      <c r="O2212" s="176"/>
      <c r="P2212" s="176"/>
    </row>
    <row r="2213" hidden="1">
      <c r="A2213" s="176"/>
      <c r="B2213" s="176"/>
      <c r="C2213" s="176"/>
      <c r="D2213" s="176"/>
      <c r="E2213" s="176"/>
      <c r="F2213" s="176"/>
      <c r="G2213" s="176"/>
      <c r="H2213" s="176"/>
      <c r="I2213" s="176"/>
      <c r="J2213" s="176"/>
      <c r="K2213" s="176"/>
      <c r="L2213" s="176"/>
      <c r="M2213" s="176"/>
      <c r="N2213" s="176"/>
      <c r="O2213" s="176"/>
      <c r="P2213" s="176"/>
    </row>
    <row r="2214" hidden="1">
      <c r="A2214" s="176"/>
      <c r="B2214" s="176"/>
      <c r="C2214" s="176"/>
      <c r="D2214" s="176"/>
      <c r="E2214" s="176"/>
      <c r="F2214" s="176"/>
      <c r="G2214" s="176"/>
      <c r="H2214" s="176"/>
      <c r="I2214" s="176"/>
      <c r="J2214" s="176"/>
      <c r="K2214" s="176"/>
      <c r="L2214" s="176"/>
      <c r="M2214" s="176"/>
      <c r="N2214" s="176"/>
      <c r="O2214" s="176"/>
      <c r="P2214" s="176"/>
    </row>
    <row r="2215" hidden="1">
      <c r="A2215" s="176"/>
      <c r="B2215" s="176"/>
      <c r="C2215" s="176"/>
      <c r="D2215" s="176"/>
      <c r="E2215" s="176"/>
      <c r="F2215" s="176"/>
      <c r="G2215" s="176"/>
      <c r="H2215" s="176"/>
      <c r="I2215" s="176"/>
      <c r="J2215" s="176"/>
      <c r="K2215" s="176"/>
      <c r="L2215" s="176"/>
      <c r="M2215" s="176"/>
      <c r="N2215" s="176"/>
      <c r="O2215" s="176"/>
      <c r="P2215" s="176"/>
    </row>
    <row r="2216" hidden="1">
      <c r="A2216" s="176"/>
      <c r="B2216" s="176"/>
      <c r="C2216" s="176"/>
      <c r="D2216" s="176"/>
      <c r="E2216" s="176"/>
      <c r="F2216" s="176"/>
      <c r="G2216" s="176"/>
      <c r="H2216" s="176"/>
      <c r="I2216" s="176"/>
      <c r="J2216" s="176"/>
      <c r="K2216" s="176"/>
      <c r="L2216" s="176"/>
      <c r="M2216" s="176"/>
      <c r="N2216" s="176"/>
      <c r="O2216" s="176"/>
      <c r="P2216" s="176"/>
    </row>
    <row r="2217" hidden="1">
      <c r="A2217" s="176"/>
      <c r="B2217" s="176"/>
      <c r="C2217" s="176"/>
      <c r="D2217" s="176"/>
      <c r="E2217" s="176"/>
      <c r="F2217" s="176"/>
      <c r="G2217" s="176"/>
      <c r="H2217" s="176"/>
      <c r="I2217" s="176"/>
      <c r="J2217" s="176"/>
      <c r="K2217" s="176"/>
      <c r="L2217" s="176"/>
      <c r="M2217" s="176"/>
      <c r="N2217" s="176"/>
      <c r="O2217" s="176"/>
      <c r="P2217" s="176"/>
    </row>
    <row r="2218" hidden="1">
      <c r="A2218" s="176"/>
      <c r="B2218" s="176"/>
      <c r="C2218" s="176"/>
      <c r="D2218" s="176"/>
      <c r="E2218" s="176"/>
      <c r="F2218" s="176"/>
      <c r="G2218" s="176"/>
      <c r="H2218" s="176"/>
      <c r="I2218" s="176"/>
      <c r="J2218" s="176"/>
      <c r="K2218" s="176"/>
      <c r="L2218" s="176"/>
      <c r="M2218" s="176"/>
      <c r="N2218" s="176"/>
      <c r="O2218" s="176"/>
      <c r="P2218" s="176"/>
    </row>
    <row r="2219" hidden="1">
      <c r="A2219" s="176"/>
      <c r="B2219" s="176"/>
      <c r="C2219" s="176"/>
      <c r="D2219" s="176"/>
      <c r="E2219" s="176"/>
      <c r="F2219" s="176"/>
      <c r="G2219" s="176"/>
      <c r="H2219" s="176"/>
      <c r="I2219" s="176"/>
      <c r="J2219" s="176"/>
      <c r="K2219" s="176"/>
      <c r="L2219" s="176"/>
      <c r="M2219" s="176"/>
      <c r="N2219" s="176"/>
      <c r="O2219" s="176"/>
      <c r="P2219" s="176"/>
    </row>
    <row r="2220" hidden="1">
      <c r="A2220" s="176"/>
      <c r="B2220" s="176"/>
      <c r="C2220" s="176"/>
      <c r="D2220" s="176"/>
      <c r="E2220" s="176"/>
      <c r="F2220" s="176"/>
      <c r="G2220" s="176"/>
      <c r="H2220" s="176"/>
      <c r="I2220" s="176"/>
      <c r="J2220" s="176"/>
      <c r="K2220" s="176"/>
      <c r="L2220" s="176"/>
      <c r="M2220" s="176"/>
      <c r="N2220" s="176"/>
      <c r="O2220" s="176"/>
      <c r="P2220" s="176"/>
    </row>
    <row r="2221" hidden="1">
      <c r="A2221" s="176"/>
      <c r="B2221" s="176"/>
      <c r="C2221" s="176"/>
      <c r="D2221" s="176"/>
      <c r="E2221" s="176"/>
      <c r="F2221" s="176"/>
      <c r="G2221" s="176"/>
      <c r="H2221" s="176"/>
      <c r="I2221" s="176"/>
      <c r="J2221" s="176"/>
      <c r="K2221" s="176"/>
      <c r="L2221" s="176"/>
      <c r="M2221" s="176"/>
      <c r="N2221" s="176"/>
      <c r="O2221" s="176"/>
      <c r="P2221" s="176"/>
    </row>
    <row r="2222" hidden="1">
      <c r="A2222" s="176"/>
      <c r="B2222" s="176"/>
      <c r="C2222" s="176"/>
      <c r="D2222" s="176"/>
      <c r="E2222" s="176"/>
      <c r="F2222" s="176"/>
      <c r="G2222" s="176"/>
      <c r="H2222" s="176"/>
      <c r="I2222" s="176"/>
      <c r="J2222" s="176"/>
      <c r="K2222" s="176"/>
      <c r="L2222" s="176"/>
      <c r="M2222" s="176"/>
      <c r="N2222" s="176"/>
      <c r="O2222" s="176"/>
      <c r="P2222" s="176"/>
    </row>
    <row r="2223" hidden="1">
      <c r="A2223" s="176"/>
      <c r="B2223" s="176"/>
      <c r="C2223" s="176"/>
      <c r="D2223" s="176"/>
      <c r="E2223" s="176"/>
      <c r="F2223" s="176"/>
      <c r="G2223" s="176"/>
      <c r="H2223" s="176"/>
      <c r="I2223" s="176"/>
      <c r="J2223" s="176"/>
      <c r="K2223" s="176"/>
      <c r="L2223" s="176"/>
      <c r="M2223" s="176"/>
      <c r="N2223" s="176"/>
      <c r="O2223" s="176"/>
      <c r="P2223" s="176"/>
    </row>
    <row r="2224" hidden="1">
      <c r="A2224" s="176"/>
      <c r="B2224" s="176"/>
      <c r="C2224" s="176"/>
      <c r="D2224" s="176"/>
      <c r="E2224" s="176"/>
      <c r="F2224" s="176"/>
      <c r="G2224" s="176"/>
      <c r="H2224" s="176"/>
      <c r="I2224" s="176"/>
      <c r="J2224" s="176"/>
      <c r="K2224" s="176"/>
      <c r="L2224" s="176"/>
      <c r="M2224" s="176"/>
      <c r="N2224" s="176"/>
      <c r="O2224" s="176"/>
      <c r="P2224" s="176"/>
    </row>
    <row r="2225" hidden="1">
      <c r="A2225" s="176"/>
      <c r="B2225" s="176"/>
      <c r="C2225" s="176"/>
      <c r="D2225" s="176"/>
      <c r="E2225" s="176"/>
      <c r="F2225" s="176"/>
      <c r="G2225" s="176"/>
      <c r="H2225" s="176"/>
      <c r="I2225" s="176"/>
      <c r="J2225" s="176"/>
      <c r="K2225" s="176"/>
      <c r="L2225" s="176"/>
      <c r="M2225" s="176"/>
      <c r="N2225" s="176"/>
      <c r="O2225" s="176"/>
      <c r="P2225" s="176"/>
    </row>
    <row r="2226" hidden="1">
      <c r="A2226" s="176"/>
      <c r="B2226" s="176"/>
      <c r="C2226" s="176"/>
      <c r="D2226" s="176"/>
      <c r="E2226" s="176"/>
      <c r="F2226" s="176"/>
      <c r="G2226" s="176"/>
      <c r="H2226" s="176"/>
      <c r="I2226" s="176"/>
      <c r="J2226" s="176"/>
      <c r="K2226" s="176"/>
      <c r="L2226" s="176"/>
      <c r="M2226" s="176"/>
      <c r="N2226" s="176"/>
      <c r="O2226" s="176"/>
      <c r="P2226" s="176"/>
    </row>
    <row r="2227" hidden="1">
      <c r="A2227" s="176"/>
      <c r="B2227" s="176"/>
      <c r="C2227" s="176"/>
      <c r="D2227" s="176"/>
      <c r="E2227" s="176"/>
      <c r="F2227" s="176"/>
      <c r="G2227" s="176"/>
      <c r="H2227" s="176"/>
      <c r="I2227" s="176"/>
      <c r="J2227" s="176"/>
      <c r="K2227" s="176"/>
      <c r="L2227" s="176"/>
      <c r="M2227" s="176"/>
      <c r="N2227" s="176"/>
      <c r="O2227" s="176"/>
      <c r="P2227" s="176"/>
    </row>
    <row r="2228" hidden="1">
      <c r="A2228" s="176"/>
      <c r="B2228" s="176"/>
      <c r="C2228" s="176"/>
      <c r="D2228" s="176"/>
      <c r="E2228" s="176"/>
      <c r="F2228" s="176"/>
      <c r="G2228" s="176"/>
      <c r="H2228" s="176"/>
      <c r="I2228" s="176"/>
      <c r="J2228" s="176"/>
      <c r="K2228" s="176"/>
      <c r="L2228" s="176"/>
      <c r="M2228" s="176"/>
      <c r="N2228" s="176"/>
      <c r="O2228" s="176"/>
      <c r="P2228" s="176"/>
    </row>
    <row r="2229" hidden="1">
      <c r="A2229" s="176"/>
      <c r="B2229" s="176"/>
      <c r="C2229" s="176"/>
      <c r="D2229" s="176"/>
      <c r="E2229" s="176"/>
      <c r="F2229" s="176"/>
      <c r="G2229" s="176"/>
      <c r="H2229" s="176"/>
      <c r="I2229" s="176"/>
      <c r="J2229" s="176"/>
      <c r="K2229" s="176"/>
      <c r="L2229" s="176"/>
      <c r="M2229" s="176"/>
      <c r="N2229" s="176"/>
      <c r="O2229" s="176"/>
      <c r="P2229" s="176"/>
    </row>
    <row r="2230" hidden="1">
      <c r="A2230" s="176"/>
      <c r="B2230" s="176"/>
      <c r="C2230" s="176"/>
      <c r="D2230" s="176"/>
      <c r="E2230" s="176"/>
      <c r="F2230" s="176"/>
      <c r="G2230" s="176"/>
      <c r="H2230" s="176"/>
      <c r="I2230" s="176"/>
      <c r="J2230" s="176"/>
      <c r="K2230" s="176"/>
      <c r="L2230" s="176"/>
      <c r="M2230" s="176"/>
      <c r="N2230" s="176"/>
      <c r="O2230" s="176"/>
      <c r="P2230" s="176"/>
    </row>
    <row r="2231" hidden="1">
      <c r="A2231" s="176"/>
      <c r="B2231" s="176"/>
      <c r="C2231" s="176"/>
      <c r="D2231" s="176"/>
      <c r="E2231" s="176"/>
      <c r="F2231" s="176"/>
      <c r="G2231" s="176"/>
      <c r="H2231" s="176"/>
      <c r="I2231" s="176"/>
      <c r="J2231" s="176"/>
      <c r="K2231" s="176"/>
      <c r="L2231" s="176"/>
      <c r="M2231" s="176"/>
      <c r="N2231" s="176"/>
      <c r="O2231" s="176"/>
      <c r="P2231" s="176"/>
    </row>
    <row r="2232" hidden="1">
      <c r="A2232" s="176"/>
      <c r="B2232" s="176"/>
      <c r="C2232" s="176"/>
      <c r="D2232" s="176"/>
      <c r="E2232" s="176"/>
      <c r="F2232" s="176"/>
      <c r="G2232" s="176"/>
      <c r="H2232" s="176"/>
      <c r="I2232" s="176"/>
      <c r="J2232" s="176"/>
      <c r="K2232" s="176"/>
      <c r="L2232" s="176"/>
      <c r="M2232" s="176"/>
      <c r="N2232" s="176"/>
      <c r="O2232" s="176"/>
      <c r="P2232" s="176"/>
    </row>
    <row r="2233" hidden="1">
      <c r="A2233" s="176"/>
      <c r="B2233" s="176"/>
      <c r="C2233" s="176"/>
      <c r="D2233" s="176"/>
      <c r="E2233" s="176"/>
      <c r="F2233" s="176"/>
      <c r="G2233" s="176"/>
      <c r="H2233" s="176"/>
      <c r="I2233" s="176"/>
      <c r="J2233" s="176"/>
      <c r="K2233" s="176"/>
      <c r="L2233" s="176"/>
      <c r="M2233" s="176"/>
      <c r="N2233" s="176"/>
      <c r="O2233" s="176"/>
      <c r="P2233" s="176"/>
    </row>
    <row r="2234" hidden="1">
      <c r="A2234" s="176"/>
      <c r="B2234" s="176"/>
      <c r="C2234" s="176"/>
      <c r="D2234" s="176"/>
      <c r="E2234" s="176"/>
      <c r="F2234" s="176"/>
      <c r="G2234" s="176"/>
      <c r="H2234" s="176"/>
      <c r="I2234" s="176"/>
      <c r="J2234" s="176"/>
      <c r="K2234" s="176"/>
      <c r="L2234" s="176"/>
      <c r="M2234" s="176"/>
      <c r="N2234" s="176"/>
      <c r="O2234" s="176"/>
      <c r="P2234" s="176"/>
    </row>
    <row r="2235" hidden="1">
      <c r="A2235" s="176"/>
      <c r="B2235" s="176"/>
      <c r="C2235" s="176"/>
      <c r="D2235" s="176"/>
      <c r="E2235" s="176"/>
      <c r="F2235" s="176"/>
      <c r="G2235" s="176"/>
      <c r="H2235" s="176"/>
      <c r="I2235" s="176"/>
      <c r="J2235" s="176"/>
      <c r="K2235" s="176"/>
      <c r="L2235" s="176"/>
      <c r="M2235" s="176"/>
      <c r="N2235" s="176"/>
      <c r="O2235" s="176"/>
      <c r="P2235" s="176"/>
    </row>
    <row r="2236" hidden="1">
      <c r="A2236" s="176"/>
      <c r="B2236" s="176"/>
      <c r="C2236" s="176"/>
      <c r="D2236" s="176"/>
      <c r="E2236" s="176"/>
      <c r="F2236" s="176"/>
      <c r="G2236" s="176"/>
      <c r="H2236" s="176"/>
      <c r="I2236" s="176"/>
      <c r="J2236" s="176"/>
      <c r="K2236" s="176"/>
      <c r="L2236" s="176"/>
      <c r="M2236" s="176"/>
      <c r="N2236" s="176"/>
      <c r="O2236" s="176"/>
      <c r="P2236" s="176"/>
    </row>
    <row r="2237" hidden="1">
      <c r="A2237" s="176"/>
      <c r="B2237" s="176"/>
      <c r="C2237" s="176"/>
      <c r="D2237" s="176"/>
      <c r="E2237" s="176"/>
      <c r="F2237" s="176"/>
      <c r="G2237" s="176"/>
      <c r="H2237" s="176"/>
      <c r="I2237" s="176"/>
      <c r="J2237" s="176"/>
      <c r="K2237" s="176"/>
      <c r="L2237" s="176"/>
      <c r="M2237" s="176"/>
      <c r="N2237" s="176"/>
      <c r="O2237" s="176"/>
      <c r="P2237" s="176"/>
    </row>
    <row r="2238" hidden="1">
      <c r="A2238" s="176"/>
      <c r="B2238" s="176"/>
      <c r="C2238" s="176"/>
      <c r="D2238" s="176"/>
      <c r="E2238" s="176"/>
      <c r="F2238" s="176"/>
      <c r="G2238" s="176"/>
      <c r="H2238" s="176"/>
      <c r="I2238" s="176"/>
      <c r="J2238" s="176"/>
      <c r="K2238" s="176"/>
      <c r="L2238" s="176"/>
      <c r="M2238" s="176"/>
      <c r="N2238" s="176"/>
      <c r="O2238" s="176"/>
      <c r="P2238" s="176"/>
    </row>
    <row r="2239" hidden="1">
      <c r="A2239" s="176"/>
      <c r="B2239" s="176"/>
      <c r="C2239" s="176"/>
      <c r="D2239" s="176"/>
      <c r="E2239" s="176"/>
      <c r="F2239" s="176"/>
      <c r="G2239" s="176"/>
      <c r="H2239" s="176"/>
      <c r="I2239" s="176"/>
      <c r="J2239" s="176"/>
      <c r="K2239" s="176"/>
      <c r="L2239" s="176"/>
      <c r="M2239" s="176"/>
      <c r="N2239" s="176"/>
      <c r="O2239" s="176"/>
      <c r="P2239" s="176"/>
    </row>
    <row r="2240" hidden="1">
      <c r="A2240" s="176"/>
      <c r="B2240" s="176"/>
      <c r="C2240" s="176"/>
      <c r="D2240" s="176"/>
      <c r="E2240" s="176"/>
      <c r="F2240" s="176"/>
      <c r="G2240" s="176"/>
      <c r="H2240" s="176"/>
      <c r="I2240" s="176"/>
      <c r="J2240" s="176"/>
      <c r="K2240" s="176"/>
      <c r="L2240" s="176"/>
      <c r="M2240" s="176"/>
      <c r="N2240" s="176"/>
      <c r="O2240" s="176"/>
      <c r="P2240" s="176"/>
    </row>
    <row r="2241" hidden="1">
      <c r="A2241" s="176"/>
      <c r="B2241" s="176"/>
      <c r="C2241" s="176"/>
      <c r="D2241" s="176"/>
      <c r="E2241" s="176"/>
      <c r="F2241" s="176"/>
      <c r="G2241" s="176"/>
      <c r="H2241" s="176"/>
      <c r="I2241" s="176"/>
      <c r="J2241" s="176"/>
      <c r="K2241" s="176"/>
      <c r="L2241" s="176"/>
      <c r="M2241" s="176"/>
      <c r="N2241" s="176"/>
      <c r="O2241" s="176"/>
      <c r="P2241" s="176"/>
    </row>
    <row r="2242" hidden="1">
      <c r="A2242" s="176"/>
      <c r="B2242" s="176"/>
      <c r="C2242" s="176"/>
      <c r="D2242" s="176"/>
      <c r="E2242" s="176"/>
      <c r="F2242" s="176"/>
      <c r="G2242" s="176"/>
      <c r="H2242" s="176"/>
      <c r="I2242" s="176"/>
      <c r="J2242" s="176"/>
      <c r="K2242" s="176"/>
      <c r="L2242" s="176"/>
      <c r="M2242" s="176"/>
      <c r="N2242" s="176"/>
      <c r="O2242" s="176"/>
      <c r="P2242" s="176"/>
    </row>
    <row r="2243" hidden="1">
      <c r="A2243" s="176"/>
      <c r="B2243" s="176"/>
      <c r="C2243" s="176"/>
      <c r="D2243" s="176"/>
      <c r="E2243" s="176"/>
      <c r="F2243" s="176"/>
      <c r="G2243" s="176"/>
      <c r="H2243" s="176"/>
      <c r="I2243" s="176"/>
      <c r="J2243" s="176"/>
      <c r="K2243" s="176"/>
      <c r="L2243" s="176"/>
      <c r="M2243" s="176"/>
      <c r="N2243" s="176"/>
      <c r="O2243" s="176"/>
      <c r="P2243" s="176"/>
    </row>
    <row r="2244" hidden="1">
      <c r="A2244" s="176"/>
      <c r="B2244" s="176"/>
      <c r="C2244" s="176"/>
      <c r="D2244" s="176"/>
      <c r="E2244" s="176"/>
      <c r="F2244" s="176"/>
      <c r="G2244" s="176"/>
      <c r="H2244" s="176"/>
      <c r="I2244" s="176"/>
      <c r="J2244" s="176"/>
      <c r="K2244" s="176"/>
      <c r="L2244" s="176"/>
      <c r="M2244" s="176"/>
      <c r="N2244" s="176"/>
      <c r="O2244" s="176"/>
      <c r="P2244" s="176"/>
    </row>
    <row r="2245" hidden="1">
      <c r="A2245" s="176"/>
      <c r="B2245" s="176"/>
      <c r="C2245" s="176"/>
      <c r="D2245" s="176"/>
      <c r="E2245" s="176"/>
      <c r="F2245" s="176"/>
      <c r="G2245" s="176"/>
      <c r="H2245" s="176"/>
      <c r="I2245" s="176"/>
      <c r="J2245" s="176"/>
      <c r="K2245" s="176"/>
      <c r="L2245" s="176"/>
      <c r="M2245" s="176"/>
      <c r="N2245" s="176"/>
      <c r="O2245" s="176"/>
      <c r="P2245" s="176"/>
    </row>
    <row r="2246" hidden="1">
      <c r="A2246" s="176"/>
      <c r="B2246" s="176"/>
      <c r="C2246" s="176"/>
      <c r="D2246" s="176"/>
      <c r="E2246" s="176"/>
      <c r="F2246" s="176"/>
      <c r="G2246" s="176"/>
      <c r="H2246" s="176"/>
      <c r="I2246" s="176"/>
      <c r="J2246" s="176"/>
      <c r="K2246" s="176"/>
      <c r="L2246" s="176"/>
      <c r="M2246" s="176"/>
      <c r="N2246" s="176"/>
      <c r="O2246" s="176"/>
      <c r="P2246" s="176"/>
    </row>
    <row r="2247" hidden="1">
      <c r="A2247" s="176"/>
      <c r="B2247" s="176"/>
      <c r="C2247" s="176"/>
      <c r="D2247" s="176"/>
      <c r="E2247" s="176"/>
      <c r="F2247" s="176"/>
      <c r="G2247" s="176"/>
      <c r="H2247" s="176"/>
      <c r="I2247" s="176"/>
      <c r="J2247" s="176"/>
      <c r="K2247" s="176"/>
      <c r="L2247" s="176"/>
      <c r="M2247" s="176"/>
      <c r="N2247" s="176"/>
      <c r="O2247" s="176"/>
      <c r="P2247" s="176"/>
    </row>
    <row r="2248" hidden="1">
      <c r="A2248" s="176"/>
      <c r="B2248" s="176"/>
      <c r="C2248" s="176"/>
      <c r="D2248" s="176"/>
      <c r="E2248" s="176"/>
      <c r="F2248" s="176"/>
      <c r="G2248" s="176"/>
      <c r="H2248" s="176"/>
      <c r="I2248" s="176"/>
      <c r="J2248" s="176"/>
      <c r="K2248" s="176"/>
      <c r="L2248" s="176"/>
      <c r="M2248" s="176"/>
      <c r="N2248" s="176"/>
      <c r="O2248" s="176"/>
      <c r="P2248" s="176"/>
    </row>
    <row r="2249" hidden="1">
      <c r="A2249" s="176"/>
      <c r="B2249" s="176"/>
      <c r="C2249" s="176"/>
      <c r="D2249" s="176"/>
      <c r="E2249" s="176"/>
      <c r="F2249" s="176"/>
      <c r="G2249" s="176"/>
      <c r="H2249" s="176"/>
      <c r="I2249" s="176"/>
      <c r="J2249" s="176"/>
      <c r="K2249" s="176"/>
      <c r="L2249" s="176"/>
      <c r="M2249" s="176"/>
      <c r="N2249" s="176"/>
      <c r="O2249" s="176"/>
      <c r="P2249" s="176"/>
    </row>
    <row r="2250" hidden="1">
      <c r="A2250" s="176"/>
      <c r="B2250" s="176"/>
      <c r="C2250" s="176"/>
      <c r="D2250" s="176"/>
      <c r="E2250" s="176"/>
      <c r="F2250" s="176"/>
      <c r="G2250" s="176"/>
      <c r="H2250" s="176"/>
      <c r="I2250" s="176"/>
      <c r="J2250" s="176"/>
      <c r="K2250" s="176"/>
      <c r="L2250" s="176"/>
      <c r="M2250" s="176"/>
      <c r="N2250" s="176"/>
      <c r="O2250" s="176"/>
      <c r="P2250" s="176"/>
    </row>
    <row r="2251" hidden="1">
      <c r="A2251" s="176"/>
      <c r="B2251" s="176"/>
      <c r="C2251" s="176"/>
      <c r="D2251" s="176"/>
      <c r="E2251" s="176"/>
      <c r="F2251" s="176"/>
      <c r="G2251" s="176"/>
      <c r="H2251" s="176"/>
      <c r="I2251" s="176"/>
      <c r="J2251" s="176"/>
      <c r="K2251" s="176"/>
      <c r="L2251" s="176"/>
      <c r="M2251" s="176"/>
      <c r="N2251" s="176"/>
      <c r="O2251" s="176"/>
      <c r="P2251" s="176"/>
    </row>
    <row r="2252" hidden="1">
      <c r="A2252" s="176"/>
      <c r="B2252" s="176"/>
      <c r="C2252" s="176"/>
      <c r="D2252" s="176"/>
      <c r="E2252" s="176"/>
      <c r="F2252" s="176"/>
      <c r="G2252" s="176"/>
      <c r="H2252" s="176"/>
      <c r="I2252" s="176"/>
      <c r="J2252" s="176"/>
      <c r="K2252" s="176"/>
      <c r="L2252" s="176"/>
      <c r="M2252" s="176"/>
      <c r="N2252" s="176"/>
      <c r="O2252" s="176"/>
      <c r="P2252" s="176"/>
    </row>
    <row r="2253" hidden="1">
      <c r="A2253" s="176"/>
      <c r="B2253" s="176"/>
      <c r="C2253" s="176"/>
      <c r="D2253" s="176"/>
      <c r="E2253" s="176"/>
      <c r="F2253" s="176"/>
      <c r="G2253" s="176"/>
      <c r="H2253" s="176"/>
      <c r="I2253" s="176"/>
      <c r="J2253" s="176"/>
      <c r="K2253" s="176"/>
      <c r="L2253" s="176"/>
      <c r="M2253" s="176"/>
      <c r="N2253" s="176"/>
      <c r="O2253" s="176"/>
      <c r="P2253" s="176"/>
    </row>
    <row r="2254" hidden="1">
      <c r="A2254" s="176"/>
      <c r="B2254" s="176"/>
      <c r="C2254" s="176"/>
      <c r="D2254" s="176"/>
      <c r="E2254" s="176"/>
      <c r="F2254" s="176"/>
      <c r="G2254" s="176"/>
      <c r="H2254" s="176"/>
      <c r="I2254" s="176"/>
      <c r="J2254" s="176"/>
      <c r="K2254" s="176"/>
      <c r="L2254" s="176"/>
      <c r="M2254" s="176"/>
      <c r="N2254" s="176"/>
      <c r="O2254" s="176"/>
      <c r="P2254" s="176"/>
    </row>
    <row r="2255" hidden="1">
      <c r="A2255" s="176"/>
      <c r="B2255" s="176"/>
      <c r="C2255" s="176"/>
      <c r="D2255" s="176"/>
      <c r="E2255" s="176"/>
      <c r="F2255" s="176"/>
      <c r="G2255" s="176"/>
      <c r="H2255" s="176"/>
      <c r="I2255" s="176"/>
      <c r="J2255" s="176"/>
      <c r="K2255" s="176"/>
      <c r="L2255" s="176"/>
      <c r="M2255" s="176"/>
      <c r="N2255" s="176"/>
      <c r="O2255" s="176"/>
      <c r="P2255" s="176"/>
    </row>
    <row r="2256" hidden="1">
      <c r="A2256" s="176"/>
      <c r="B2256" s="176"/>
      <c r="C2256" s="176"/>
      <c r="D2256" s="176"/>
      <c r="E2256" s="176"/>
      <c r="F2256" s="176"/>
      <c r="G2256" s="176"/>
      <c r="H2256" s="176"/>
      <c r="I2256" s="176"/>
      <c r="J2256" s="176"/>
      <c r="K2256" s="176"/>
      <c r="L2256" s="176"/>
      <c r="M2256" s="176"/>
      <c r="N2256" s="176"/>
      <c r="O2256" s="176"/>
      <c r="P2256" s="176"/>
    </row>
    <row r="2257" hidden="1">
      <c r="A2257" s="176"/>
      <c r="B2257" s="176"/>
      <c r="C2257" s="176"/>
      <c r="D2257" s="176"/>
      <c r="E2257" s="176"/>
      <c r="F2257" s="176"/>
      <c r="G2257" s="176"/>
      <c r="H2257" s="176"/>
      <c r="I2257" s="176"/>
      <c r="J2257" s="176"/>
      <c r="K2257" s="176"/>
      <c r="L2257" s="176"/>
      <c r="M2257" s="176"/>
      <c r="N2257" s="176"/>
      <c r="O2257" s="176"/>
      <c r="P2257" s="176"/>
    </row>
    <row r="2258" hidden="1">
      <c r="A2258" s="176"/>
      <c r="B2258" s="176"/>
      <c r="C2258" s="176"/>
      <c r="D2258" s="176"/>
      <c r="E2258" s="176"/>
      <c r="F2258" s="176"/>
      <c r="G2258" s="176"/>
      <c r="H2258" s="176"/>
      <c r="I2258" s="176"/>
      <c r="J2258" s="176"/>
      <c r="K2258" s="176"/>
      <c r="L2258" s="176"/>
      <c r="M2258" s="176"/>
      <c r="N2258" s="176"/>
      <c r="O2258" s="176"/>
      <c r="P2258" s="176"/>
    </row>
    <row r="2259" hidden="1">
      <c r="A2259" s="176"/>
      <c r="B2259" s="176"/>
      <c r="C2259" s="176"/>
      <c r="D2259" s="176"/>
      <c r="E2259" s="176"/>
      <c r="F2259" s="176"/>
      <c r="G2259" s="176"/>
      <c r="H2259" s="176"/>
      <c r="I2259" s="176"/>
      <c r="J2259" s="176"/>
      <c r="K2259" s="176"/>
      <c r="L2259" s="176"/>
      <c r="M2259" s="176"/>
      <c r="N2259" s="176"/>
      <c r="O2259" s="176"/>
      <c r="P2259" s="176"/>
    </row>
    <row r="2260" hidden="1">
      <c r="A2260" s="176"/>
      <c r="B2260" s="176"/>
      <c r="C2260" s="176"/>
      <c r="D2260" s="176"/>
      <c r="E2260" s="176"/>
      <c r="F2260" s="176"/>
      <c r="G2260" s="176"/>
      <c r="H2260" s="176"/>
      <c r="I2260" s="176"/>
      <c r="J2260" s="176"/>
      <c r="K2260" s="176"/>
      <c r="L2260" s="176"/>
      <c r="M2260" s="176"/>
      <c r="N2260" s="176"/>
      <c r="O2260" s="176"/>
      <c r="P2260" s="176"/>
    </row>
    <row r="2261" hidden="1">
      <c r="A2261" s="176"/>
      <c r="B2261" s="176"/>
      <c r="C2261" s="176"/>
      <c r="D2261" s="176"/>
      <c r="E2261" s="176"/>
      <c r="F2261" s="176"/>
      <c r="G2261" s="176"/>
      <c r="H2261" s="176"/>
      <c r="I2261" s="176"/>
      <c r="J2261" s="176"/>
      <c r="K2261" s="176"/>
      <c r="L2261" s="176"/>
      <c r="M2261" s="176"/>
      <c r="N2261" s="176"/>
      <c r="O2261" s="176"/>
      <c r="P2261" s="176"/>
    </row>
    <row r="2262" hidden="1">
      <c r="A2262" s="176"/>
      <c r="B2262" s="176"/>
      <c r="C2262" s="176"/>
      <c r="D2262" s="176"/>
      <c r="E2262" s="176"/>
      <c r="F2262" s="176"/>
      <c r="G2262" s="176"/>
      <c r="H2262" s="176"/>
      <c r="I2262" s="176"/>
      <c r="J2262" s="176"/>
      <c r="K2262" s="176"/>
      <c r="L2262" s="176"/>
      <c r="M2262" s="176"/>
      <c r="N2262" s="176"/>
      <c r="O2262" s="176"/>
      <c r="P2262" s="176"/>
    </row>
    <row r="2263" hidden="1">
      <c r="A2263" s="176"/>
      <c r="B2263" s="176"/>
      <c r="C2263" s="176"/>
      <c r="D2263" s="176"/>
      <c r="E2263" s="176"/>
      <c r="F2263" s="176"/>
      <c r="G2263" s="176"/>
      <c r="H2263" s="176"/>
      <c r="I2263" s="176"/>
      <c r="J2263" s="176"/>
      <c r="K2263" s="176"/>
      <c r="L2263" s="176"/>
      <c r="M2263" s="176"/>
      <c r="N2263" s="176"/>
      <c r="O2263" s="176"/>
      <c r="P2263" s="176"/>
    </row>
    <row r="2264" hidden="1">
      <c r="A2264" s="176"/>
      <c r="B2264" s="176"/>
      <c r="C2264" s="176"/>
      <c r="D2264" s="176"/>
      <c r="E2264" s="176"/>
      <c r="F2264" s="176"/>
      <c r="G2264" s="176"/>
      <c r="H2264" s="176"/>
      <c r="I2264" s="176"/>
      <c r="J2264" s="176"/>
      <c r="K2264" s="176"/>
      <c r="L2264" s="176"/>
      <c r="M2264" s="176"/>
      <c r="N2264" s="176"/>
      <c r="O2264" s="176"/>
      <c r="P2264" s="176"/>
    </row>
    <row r="2265" hidden="1">
      <c r="A2265" s="176"/>
      <c r="B2265" s="176"/>
      <c r="C2265" s="176"/>
      <c r="D2265" s="176"/>
      <c r="E2265" s="176"/>
      <c r="F2265" s="176"/>
      <c r="G2265" s="176"/>
      <c r="H2265" s="176"/>
      <c r="I2265" s="176"/>
      <c r="J2265" s="176"/>
      <c r="K2265" s="176"/>
      <c r="L2265" s="176"/>
      <c r="M2265" s="176"/>
      <c r="N2265" s="176"/>
      <c r="O2265" s="176"/>
      <c r="P2265" s="176"/>
    </row>
    <row r="2266" hidden="1">
      <c r="A2266" s="176"/>
      <c r="B2266" s="176"/>
      <c r="C2266" s="176"/>
      <c r="D2266" s="176"/>
      <c r="E2266" s="176"/>
      <c r="F2266" s="176"/>
      <c r="G2266" s="176"/>
      <c r="H2266" s="176"/>
      <c r="I2266" s="176"/>
      <c r="J2266" s="176"/>
      <c r="K2266" s="176"/>
      <c r="L2266" s="176"/>
      <c r="M2266" s="176"/>
      <c r="N2266" s="176"/>
      <c r="O2266" s="176"/>
      <c r="P2266" s="176"/>
    </row>
    <row r="2267" hidden="1">
      <c r="A2267" s="176"/>
      <c r="B2267" s="176"/>
      <c r="C2267" s="176"/>
      <c r="D2267" s="176"/>
      <c r="E2267" s="176"/>
      <c r="F2267" s="176"/>
      <c r="G2267" s="176"/>
      <c r="H2267" s="176"/>
      <c r="I2267" s="176"/>
      <c r="J2267" s="176"/>
      <c r="K2267" s="176"/>
      <c r="L2267" s="176"/>
      <c r="M2267" s="176"/>
      <c r="N2267" s="176"/>
      <c r="O2267" s="176"/>
      <c r="P2267" s="176"/>
    </row>
    <row r="2268" hidden="1">
      <c r="A2268" s="176"/>
      <c r="B2268" s="176"/>
      <c r="C2268" s="176"/>
      <c r="D2268" s="176"/>
      <c r="E2268" s="176"/>
      <c r="F2268" s="176"/>
      <c r="G2268" s="176"/>
      <c r="H2268" s="176"/>
      <c r="I2268" s="176"/>
      <c r="J2268" s="176"/>
      <c r="K2268" s="176"/>
      <c r="L2268" s="176"/>
      <c r="M2268" s="176"/>
      <c r="N2268" s="176"/>
      <c r="O2268" s="176"/>
      <c r="P2268" s="176"/>
    </row>
    <row r="2269" hidden="1">
      <c r="A2269" s="176"/>
      <c r="B2269" s="176"/>
      <c r="C2269" s="176"/>
      <c r="D2269" s="176"/>
      <c r="E2269" s="176"/>
      <c r="F2269" s="176"/>
      <c r="G2269" s="176"/>
      <c r="H2269" s="176"/>
      <c r="I2269" s="176"/>
      <c r="J2269" s="176"/>
      <c r="K2269" s="176"/>
      <c r="L2269" s="176"/>
      <c r="M2269" s="176"/>
      <c r="N2269" s="176"/>
      <c r="O2269" s="176"/>
      <c r="P2269" s="176"/>
    </row>
    <row r="2270" hidden="1">
      <c r="A2270" s="176"/>
      <c r="B2270" s="176"/>
      <c r="C2270" s="176"/>
      <c r="D2270" s="176"/>
      <c r="E2270" s="176"/>
      <c r="F2270" s="176"/>
      <c r="G2270" s="176"/>
      <c r="H2270" s="176"/>
      <c r="I2270" s="176"/>
      <c r="J2270" s="176"/>
      <c r="K2270" s="176"/>
      <c r="L2270" s="176"/>
      <c r="M2270" s="176"/>
      <c r="N2270" s="176"/>
      <c r="O2270" s="176"/>
      <c r="P2270" s="176"/>
    </row>
    <row r="2271" hidden="1">
      <c r="A2271" s="176"/>
      <c r="B2271" s="176"/>
      <c r="C2271" s="176"/>
      <c r="D2271" s="176"/>
      <c r="E2271" s="176"/>
      <c r="F2271" s="176"/>
      <c r="G2271" s="176"/>
      <c r="H2271" s="176"/>
      <c r="I2271" s="176"/>
      <c r="J2271" s="176"/>
      <c r="K2271" s="176"/>
      <c r="L2271" s="176"/>
      <c r="M2271" s="176"/>
      <c r="N2271" s="176"/>
      <c r="O2271" s="176"/>
      <c r="P2271" s="176"/>
    </row>
    <row r="2272" hidden="1">
      <c r="A2272" s="176"/>
      <c r="B2272" s="176"/>
      <c r="C2272" s="176"/>
      <c r="D2272" s="176"/>
      <c r="E2272" s="176"/>
      <c r="F2272" s="176"/>
      <c r="G2272" s="176"/>
      <c r="H2272" s="176"/>
      <c r="I2272" s="176"/>
      <c r="J2272" s="176"/>
      <c r="K2272" s="176"/>
      <c r="L2272" s="176"/>
      <c r="M2272" s="176"/>
      <c r="N2272" s="176"/>
      <c r="O2272" s="176"/>
      <c r="P2272" s="176"/>
    </row>
    <row r="2273" hidden="1">
      <c r="A2273" s="176"/>
      <c r="B2273" s="176"/>
      <c r="C2273" s="176"/>
      <c r="D2273" s="176"/>
      <c r="E2273" s="176"/>
      <c r="F2273" s="176"/>
      <c r="G2273" s="176"/>
      <c r="H2273" s="176"/>
      <c r="I2273" s="176"/>
      <c r="J2273" s="176"/>
      <c r="K2273" s="176"/>
      <c r="L2273" s="176"/>
      <c r="M2273" s="176"/>
      <c r="N2273" s="176"/>
      <c r="O2273" s="176"/>
      <c r="P2273" s="176"/>
    </row>
    <row r="2274" hidden="1">
      <c r="A2274" s="176"/>
      <c r="B2274" s="176"/>
      <c r="C2274" s="176"/>
      <c r="D2274" s="176"/>
      <c r="E2274" s="176"/>
      <c r="F2274" s="176"/>
      <c r="G2274" s="176"/>
      <c r="H2274" s="176"/>
      <c r="I2274" s="176"/>
      <c r="J2274" s="176"/>
      <c r="K2274" s="176"/>
      <c r="L2274" s="176"/>
      <c r="M2274" s="176"/>
      <c r="N2274" s="176"/>
      <c r="O2274" s="176"/>
      <c r="P2274" s="176"/>
    </row>
    <row r="2275" hidden="1">
      <c r="A2275" s="176"/>
      <c r="B2275" s="176"/>
      <c r="C2275" s="176"/>
      <c r="D2275" s="176"/>
      <c r="E2275" s="176"/>
      <c r="F2275" s="176"/>
      <c r="G2275" s="176"/>
      <c r="H2275" s="176"/>
      <c r="I2275" s="176"/>
      <c r="J2275" s="176"/>
      <c r="K2275" s="176"/>
      <c r="L2275" s="176"/>
      <c r="M2275" s="176"/>
      <c r="N2275" s="176"/>
      <c r="O2275" s="176"/>
      <c r="P2275" s="176"/>
    </row>
    <row r="2276" hidden="1">
      <c r="A2276" s="176"/>
      <c r="B2276" s="176"/>
      <c r="C2276" s="176"/>
      <c r="D2276" s="176"/>
      <c r="E2276" s="176"/>
      <c r="F2276" s="176"/>
      <c r="G2276" s="176"/>
      <c r="H2276" s="176"/>
      <c r="I2276" s="176"/>
      <c r="J2276" s="176"/>
      <c r="K2276" s="176"/>
      <c r="L2276" s="176"/>
      <c r="M2276" s="176"/>
      <c r="N2276" s="176"/>
      <c r="O2276" s="176"/>
      <c r="P2276" s="176"/>
    </row>
    <row r="2277" hidden="1">
      <c r="A2277" s="176"/>
      <c r="B2277" s="176"/>
      <c r="C2277" s="176"/>
      <c r="D2277" s="176"/>
      <c r="E2277" s="176"/>
      <c r="F2277" s="176"/>
      <c r="G2277" s="176"/>
      <c r="H2277" s="176"/>
      <c r="I2277" s="176"/>
      <c r="J2277" s="176"/>
      <c r="K2277" s="176"/>
      <c r="L2277" s="176"/>
      <c r="M2277" s="176"/>
      <c r="N2277" s="176"/>
      <c r="O2277" s="176"/>
      <c r="P2277" s="176"/>
    </row>
    <row r="2278" hidden="1">
      <c r="A2278" s="176"/>
      <c r="B2278" s="176"/>
      <c r="C2278" s="176"/>
      <c r="D2278" s="176"/>
      <c r="E2278" s="176"/>
      <c r="F2278" s="176"/>
      <c r="G2278" s="176"/>
      <c r="H2278" s="176"/>
      <c r="I2278" s="176"/>
      <c r="J2278" s="176"/>
      <c r="K2278" s="176"/>
      <c r="L2278" s="176"/>
      <c r="M2278" s="176"/>
      <c r="N2278" s="176"/>
      <c r="O2278" s="176"/>
      <c r="P2278" s="176"/>
    </row>
    <row r="2279" hidden="1">
      <c r="A2279" s="176"/>
      <c r="B2279" s="176"/>
      <c r="C2279" s="176"/>
      <c r="D2279" s="176"/>
      <c r="E2279" s="176"/>
      <c r="F2279" s="176"/>
      <c r="G2279" s="176"/>
      <c r="H2279" s="176"/>
      <c r="I2279" s="176"/>
      <c r="J2279" s="176"/>
      <c r="K2279" s="176"/>
      <c r="L2279" s="176"/>
      <c r="M2279" s="176"/>
      <c r="N2279" s="176"/>
      <c r="O2279" s="176"/>
      <c r="P2279" s="176"/>
    </row>
    <row r="2280" hidden="1">
      <c r="A2280" s="176"/>
      <c r="B2280" s="176"/>
      <c r="C2280" s="176"/>
      <c r="D2280" s="176"/>
      <c r="E2280" s="176"/>
      <c r="F2280" s="176"/>
      <c r="G2280" s="176"/>
      <c r="H2280" s="176"/>
      <c r="I2280" s="176"/>
      <c r="J2280" s="176"/>
      <c r="K2280" s="176"/>
      <c r="L2280" s="176"/>
      <c r="M2280" s="176"/>
      <c r="N2280" s="176"/>
      <c r="O2280" s="176"/>
      <c r="P2280" s="176"/>
    </row>
    <row r="2281" hidden="1">
      <c r="A2281" s="176"/>
      <c r="B2281" s="176"/>
      <c r="C2281" s="176"/>
      <c r="D2281" s="176"/>
      <c r="E2281" s="176"/>
      <c r="F2281" s="176"/>
      <c r="G2281" s="176"/>
      <c r="H2281" s="176"/>
      <c r="I2281" s="176"/>
      <c r="J2281" s="176"/>
      <c r="K2281" s="176"/>
      <c r="L2281" s="176"/>
      <c r="M2281" s="176"/>
      <c r="N2281" s="176"/>
      <c r="O2281" s="176"/>
      <c r="P2281" s="176"/>
    </row>
    <row r="2282" hidden="1">
      <c r="A2282" s="176"/>
      <c r="B2282" s="176"/>
      <c r="C2282" s="176"/>
      <c r="D2282" s="176"/>
      <c r="E2282" s="176"/>
      <c r="F2282" s="176"/>
      <c r="G2282" s="176"/>
      <c r="H2282" s="176"/>
      <c r="I2282" s="176"/>
      <c r="J2282" s="176"/>
      <c r="K2282" s="176"/>
      <c r="L2282" s="176"/>
      <c r="M2282" s="176"/>
      <c r="N2282" s="176"/>
      <c r="O2282" s="176"/>
      <c r="P2282" s="176"/>
    </row>
    <row r="2283" hidden="1">
      <c r="A2283" s="176"/>
      <c r="B2283" s="176"/>
      <c r="C2283" s="176"/>
      <c r="D2283" s="176"/>
      <c r="E2283" s="176"/>
      <c r="F2283" s="176"/>
      <c r="G2283" s="176"/>
      <c r="H2283" s="176"/>
      <c r="I2283" s="176"/>
      <c r="J2283" s="176"/>
      <c r="K2283" s="176"/>
      <c r="L2283" s="176"/>
      <c r="M2283" s="176"/>
      <c r="N2283" s="176"/>
      <c r="O2283" s="176"/>
      <c r="P2283" s="176"/>
    </row>
    <row r="2284" hidden="1">
      <c r="A2284" s="176"/>
      <c r="B2284" s="176"/>
      <c r="C2284" s="176"/>
      <c r="D2284" s="176"/>
      <c r="E2284" s="176"/>
      <c r="F2284" s="176"/>
      <c r="G2284" s="176"/>
      <c r="H2284" s="176"/>
      <c r="I2284" s="176"/>
      <c r="J2284" s="176"/>
      <c r="K2284" s="176"/>
      <c r="L2284" s="176"/>
      <c r="M2284" s="176"/>
      <c r="N2284" s="176"/>
      <c r="O2284" s="176"/>
      <c r="P2284" s="176"/>
    </row>
    <row r="2285" hidden="1">
      <c r="A2285" s="176"/>
      <c r="B2285" s="176"/>
      <c r="C2285" s="176"/>
      <c r="D2285" s="176"/>
      <c r="E2285" s="176"/>
      <c r="F2285" s="176"/>
      <c r="G2285" s="176"/>
      <c r="H2285" s="176"/>
      <c r="I2285" s="176"/>
      <c r="J2285" s="176"/>
      <c r="K2285" s="176"/>
      <c r="L2285" s="176"/>
      <c r="M2285" s="176"/>
      <c r="N2285" s="176"/>
      <c r="O2285" s="176"/>
      <c r="P2285" s="176"/>
    </row>
    <row r="2286" hidden="1">
      <c r="A2286" s="176"/>
      <c r="B2286" s="176"/>
      <c r="C2286" s="176"/>
      <c r="D2286" s="176"/>
      <c r="E2286" s="176"/>
      <c r="F2286" s="176"/>
      <c r="G2286" s="176"/>
      <c r="H2286" s="176"/>
      <c r="I2286" s="176"/>
      <c r="J2286" s="176"/>
      <c r="K2286" s="176"/>
      <c r="L2286" s="176"/>
      <c r="M2286" s="176"/>
      <c r="N2286" s="176"/>
      <c r="O2286" s="176"/>
      <c r="P2286" s="176"/>
    </row>
    <row r="2287" hidden="1">
      <c r="A2287" s="176"/>
      <c r="B2287" s="176"/>
      <c r="C2287" s="176"/>
      <c r="D2287" s="176"/>
      <c r="E2287" s="176"/>
      <c r="F2287" s="176"/>
      <c r="G2287" s="176"/>
      <c r="H2287" s="176"/>
      <c r="I2287" s="176"/>
      <c r="J2287" s="176"/>
      <c r="K2287" s="176"/>
      <c r="L2287" s="176"/>
      <c r="M2287" s="176"/>
      <c r="N2287" s="176"/>
      <c r="O2287" s="176"/>
      <c r="P2287" s="176"/>
    </row>
    <row r="2288" hidden="1">
      <c r="A2288" s="176"/>
      <c r="B2288" s="176"/>
      <c r="C2288" s="176"/>
      <c r="D2288" s="176"/>
      <c r="E2288" s="176"/>
      <c r="F2288" s="176"/>
      <c r="G2288" s="176"/>
      <c r="H2288" s="176"/>
      <c r="I2288" s="176"/>
      <c r="J2288" s="176"/>
      <c r="K2288" s="176"/>
      <c r="L2288" s="176"/>
      <c r="M2288" s="176"/>
      <c r="N2288" s="176"/>
      <c r="O2288" s="176"/>
      <c r="P2288" s="176"/>
    </row>
    <row r="2289" hidden="1">
      <c r="A2289" s="176"/>
      <c r="B2289" s="176"/>
      <c r="C2289" s="176"/>
      <c r="D2289" s="176"/>
      <c r="E2289" s="176"/>
      <c r="F2289" s="176"/>
      <c r="G2289" s="176"/>
      <c r="H2289" s="176"/>
      <c r="I2289" s="176"/>
      <c r="J2289" s="176"/>
      <c r="K2289" s="176"/>
      <c r="L2289" s="176"/>
      <c r="M2289" s="176"/>
      <c r="N2289" s="176"/>
      <c r="O2289" s="176"/>
      <c r="P2289" s="176"/>
    </row>
    <row r="2290" hidden="1">
      <c r="A2290" s="176"/>
      <c r="B2290" s="176"/>
      <c r="C2290" s="176"/>
      <c r="D2290" s="176"/>
      <c r="E2290" s="176"/>
      <c r="F2290" s="176"/>
      <c r="G2290" s="176"/>
      <c r="H2290" s="176"/>
      <c r="I2290" s="176"/>
      <c r="J2290" s="176"/>
      <c r="K2290" s="176"/>
      <c r="L2290" s="176"/>
      <c r="M2290" s="176"/>
      <c r="N2290" s="176"/>
      <c r="O2290" s="176"/>
      <c r="P2290" s="176"/>
    </row>
    <row r="2291" hidden="1">
      <c r="A2291" s="176"/>
      <c r="B2291" s="176"/>
      <c r="C2291" s="176"/>
      <c r="D2291" s="176"/>
      <c r="E2291" s="176"/>
      <c r="F2291" s="176"/>
      <c r="G2291" s="176"/>
      <c r="H2291" s="176"/>
      <c r="I2291" s="176"/>
      <c r="J2291" s="176"/>
      <c r="K2291" s="176"/>
      <c r="L2291" s="176"/>
      <c r="M2291" s="176"/>
      <c r="N2291" s="176"/>
      <c r="O2291" s="176"/>
      <c r="P2291" s="176"/>
    </row>
    <row r="2292" hidden="1">
      <c r="A2292" s="176"/>
      <c r="B2292" s="176"/>
      <c r="C2292" s="176"/>
      <c r="D2292" s="176"/>
      <c r="E2292" s="176"/>
      <c r="F2292" s="176"/>
      <c r="G2292" s="176"/>
      <c r="H2292" s="176"/>
      <c r="I2292" s="176"/>
      <c r="J2292" s="176"/>
      <c r="K2292" s="176"/>
      <c r="L2292" s="176"/>
      <c r="M2292" s="176"/>
      <c r="N2292" s="176"/>
      <c r="O2292" s="176"/>
      <c r="P2292" s="176"/>
    </row>
    <row r="2293" hidden="1">
      <c r="A2293" s="176"/>
      <c r="B2293" s="176"/>
      <c r="C2293" s="176"/>
      <c r="D2293" s="176"/>
      <c r="E2293" s="176"/>
      <c r="F2293" s="176"/>
      <c r="G2293" s="176"/>
      <c r="H2293" s="176"/>
      <c r="I2293" s="176"/>
      <c r="J2293" s="176"/>
      <c r="K2293" s="176"/>
      <c r="L2293" s="176"/>
      <c r="M2293" s="176"/>
      <c r="N2293" s="176"/>
      <c r="O2293" s="176"/>
      <c r="P2293" s="176"/>
    </row>
    <row r="2294" hidden="1">
      <c r="A2294" s="176"/>
      <c r="B2294" s="176"/>
      <c r="C2294" s="176"/>
      <c r="D2294" s="176"/>
      <c r="E2294" s="176"/>
      <c r="F2294" s="176"/>
      <c r="G2294" s="176"/>
      <c r="H2294" s="176"/>
      <c r="I2294" s="176"/>
      <c r="J2294" s="176"/>
      <c r="K2294" s="176"/>
      <c r="L2294" s="176"/>
      <c r="M2294" s="176"/>
      <c r="N2294" s="176"/>
      <c r="O2294" s="176"/>
      <c r="P2294" s="176"/>
    </row>
    <row r="2295" hidden="1">
      <c r="A2295" s="176"/>
      <c r="B2295" s="176"/>
      <c r="C2295" s="176"/>
      <c r="D2295" s="176"/>
      <c r="E2295" s="176"/>
      <c r="F2295" s="176"/>
      <c r="G2295" s="176"/>
      <c r="H2295" s="176"/>
      <c r="I2295" s="176"/>
      <c r="J2295" s="176"/>
      <c r="K2295" s="176"/>
      <c r="L2295" s="176"/>
      <c r="M2295" s="176"/>
      <c r="N2295" s="176"/>
      <c r="O2295" s="176"/>
      <c r="P2295" s="176"/>
    </row>
    <row r="2296" hidden="1">
      <c r="A2296" s="176"/>
      <c r="B2296" s="176"/>
      <c r="C2296" s="176"/>
      <c r="D2296" s="176"/>
      <c r="E2296" s="176"/>
      <c r="F2296" s="176"/>
      <c r="G2296" s="176"/>
      <c r="H2296" s="176"/>
      <c r="I2296" s="176"/>
      <c r="J2296" s="176"/>
      <c r="K2296" s="176"/>
      <c r="L2296" s="176"/>
      <c r="M2296" s="176"/>
      <c r="N2296" s="176"/>
      <c r="O2296" s="176"/>
      <c r="P2296" s="176"/>
    </row>
    <row r="2297" hidden="1">
      <c r="A2297" s="176"/>
      <c r="B2297" s="176"/>
      <c r="C2297" s="176"/>
      <c r="D2297" s="176"/>
      <c r="E2297" s="176"/>
      <c r="F2297" s="176"/>
      <c r="G2297" s="176"/>
      <c r="H2297" s="176"/>
      <c r="I2297" s="176"/>
      <c r="J2297" s="176"/>
      <c r="K2297" s="176"/>
      <c r="L2297" s="176"/>
      <c r="M2297" s="176"/>
      <c r="N2297" s="176"/>
      <c r="O2297" s="176"/>
      <c r="P2297" s="176"/>
    </row>
    <row r="2298" hidden="1">
      <c r="A2298" s="176"/>
      <c r="B2298" s="176"/>
      <c r="C2298" s="176"/>
      <c r="D2298" s="176"/>
      <c r="E2298" s="176"/>
      <c r="F2298" s="176"/>
      <c r="G2298" s="176"/>
      <c r="H2298" s="176"/>
      <c r="I2298" s="176"/>
      <c r="J2298" s="176"/>
      <c r="K2298" s="176"/>
      <c r="L2298" s="176"/>
      <c r="M2298" s="176"/>
      <c r="N2298" s="176"/>
      <c r="O2298" s="176"/>
      <c r="P2298" s="176"/>
    </row>
    <row r="2299" hidden="1">
      <c r="A2299" s="176"/>
      <c r="B2299" s="176"/>
      <c r="C2299" s="176"/>
      <c r="D2299" s="176"/>
      <c r="E2299" s="176"/>
      <c r="F2299" s="176"/>
      <c r="G2299" s="176"/>
      <c r="H2299" s="176"/>
      <c r="I2299" s="176"/>
      <c r="J2299" s="176"/>
      <c r="K2299" s="176"/>
      <c r="L2299" s="176"/>
      <c r="M2299" s="176"/>
      <c r="N2299" s="176"/>
      <c r="O2299" s="176"/>
      <c r="P2299" s="176"/>
    </row>
    <row r="2300" hidden="1">
      <c r="A2300" s="176"/>
      <c r="B2300" s="176"/>
      <c r="C2300" s="176"/>
      <c r="D2300" s="176"/>
      <c r="E2300" s="176"/>
      <c r="F2300" s="176"/>
      <c r="G2300" s="176"/>
      <c r="H2300" s="176"/>
      <c r="I2300" s="176"/>
      <c r="J2300" s="176"/>
      <c r="K2300" s="176"/>
      <c r="L2300" s="176"/>
      <c r="M2300" s="176"/>
      <c r="N2300" s="176"/>
      <c r="O2300" s="176"/>
      <c r="P2300" s="176"/>
    </row>
    <row r="2301" hidden="1">
      <c r="A2301" s="176"/>
      <c r="B2301" s="176"/>
      <c r="C2301" s="176"/>
      <c r="D2301" s="176"/>
      <c r="E2301" s="176"/>
      <c r="F2301" s="176"/>
      <c r="G2301" s="176"/>
      <c r="H2301" s="176"/>
      <c r="I2301" s="176"/>
      <c r="J2301" s="176"/>
      <c r="K2301" s="176"/>
      <c r="L2301" s="176"/>
      <c r="M2301" s="176"/>
      <c r="N2301" s="176"/>
      <c r="O2301" s="176"/>
      <c r="P2301" s="176"/>
    </row>
    <row r="2302" hidden="1">
      <c r="A2302" s="176"/>
      <c r="B2302" s="176"/>
      <c r="C2302" s="176"/>
      <c r="D2302" s="176"/>
      <c r="E2302" s="176"/>
      <c r="F2302" s="176"/>
      <c r="G2302" s="176"/>
      <c r="H2302" s="176"/>
      <c r="I2302" s="176"/>
      <c r="J2302" s="176"/>
      <c r="K2302" s="176"/>
      <c r="L2302" s="176"/>
      <c r="M2302" s="176"/>
      <c r="N2302" s="176"/>
      <c r="O2302" s="176"/>
      <c r="P2302" s="176"/>
    </row>
    <row r="2303" hidden="1">
      <c r="A2303" s="176"/>
      <c r="B2303" s="176"/>
      <c r="C2303" s="176"/>
      <c r="D2303" s="176"/>
      <c r="E2303" s="176"/>
      <c r="F2303" s="176"/>
      <c r="G2303" s="176"/>
      <c r="H2303" s="176"/>
      <c r="I2303" s="176"/>
      <c r="J2303" s="176"/>
      <c r="K2303" s="176"/>
      <c r="L2303" s="176"/>
      <c r="M2303" s="176"/>
      <c r="N2303" s="176"/>
      <c r="O2303" s="176"/>
      <c r="P2303" s="176"/>
    </row>
    <row r="2304" hidden="1">
      <c r="A2304" s="176"/>
      <c r="B2304" s="176"/>
      <c r="C2304" s="176"/>
      <c r="D2304" s="176"/>
      <c r="E2304" s="176"/>
      <c r="F2304" s="176"/>
      <c r="G2304" s="176"/>
      <c r="H2304" s="176"/>
      <c r="I2304" s="176"/>
      <c r="J2304" s="176"/>
      <c r="K2304" s="176"/>
      <c r="L2304" s="176"/>
      <c r="M2304" s="176"/>
      <c r="N2304" s="176"/>
      <c r="O2304" s="176"/>
      <c r="P2304" s="176"/>
    </row>
    <row r="2305" hidden="1">
      <c r="A2305" s="176"/>
      <c r="B2305" s="176"/>
      <c r="C2305" s="176"/>
      <c r="D2305" s="176"/>
      <c r="E2305" s="176"/>
      <c r="F2305" s="176"/>
      <c r="G2305" s="176"/>
      <c r="H2305" s="176"/>
      <c r="I2305" s="176"/>
      <c r="J2305" s="176"/>
      <c r="K2305" s="176"/>
      <c r="L2305" s="176"/>
      <c r="M2305" s="176"/>
      <c r="N2305" s="176"/>
      <c r="O2305" s="176"/>
      <c r="P2305" s="176"/>
    </row>
    <row r="2306" hidden="1">
      <c r="A2306" s="176"/>
      <c r="B2306" s="176"/>
      <c r="C2306" s="176"/>
      <c r="D2306" s="176"/>
      <c r="E2306" s="176"/>
      <c r="F2306" s="176"/>
      <c r="G2306" s="176"/>
      <c r="H2306" s="176"/>
      <c r="I2306" s="176"/>
      <c r="J2306" s="176"/>
      <c r="K2306" s="176"/>
      <c r="L2306" s="176"/>
      <c r="M2306" s="176"/>
      <c r="N2306" s="176"/>
      <c r="O2306" s="176"/>
      <c r="P2306" s="176"/>
    </row>
    <row r="2307" hidden="1">
      <c r="A2307" s="176"/>
      <c r="B2307" s="176"/>
      <c r="C2307" s="176"/>
      <c r="D2307" s="176"/>
      <c r="E2307" s="176"/>
      <c r="F2307" s="176"/>
      <c r="G2307" s="176"/>
      <c r="H2307" s="176"/>
      <c r="I2307" s="176"/>
      <c r="J2307" s="176"/>
      <c r="K2307" s="176"/>
      <c r="L2307" s="176"/>
      <c r="M2307" s="176"/>
      <c r="N2307" s="176"/>
      <c r="O2307" s="176"/>
      <c r="P2307" s="176"/>
    </row>
    <row r="2308" hidden="1">
      <c r="A2308" s="176"/>
      <c r="B2308" s="176"/>
      <c r="C2308" s="176"/>
      <c r="D2308" s="176"/>
      <c r="E2308" s="176"/>
      <c r="F2308" s="176"/>
      <c r="G2308" s="176"/>
      <c r="H2308" s="176"/>
      <c r="I2308" s="176"/>
      <c r="J2308" s="176"/>
      <c r="K2308" s="176"/>
      <c r="L2308" s="176"/>
      <c r="M2308" s="176"/>
      <c r="N2308" s="176"/>
      <c r="O2308" s="176"/>
      <c r="P2308" s="176"/>
    </row>
    <row r="2309" hidden="1">
      <c r="A2309" s="176"/>
      <c r="B2309" s="176"/>
      <c r="C2309" s="176"/>
      <c r="D2309" s="176"/>
      <c r="E2309" s="176"/>
      <c r="F2309" s="176"/>
      <c r="G2309" s="176"/>
      <c r="H2309" s="176"/>
      <c r="I2309" s="176"/>
      <c r="J2309" s="176"/>
      <c r="K2309" s="176"/>
      <c r="L2309" s="176"/>
      <c r="M2309" s="176"/>
      <c r="N2309" s="176"/>
      <c r="O2309" s="176"/>
      <c r="P2309" s="176"/>
    </row>
    <row r="2310" hidden="1">
      <c r="A2310" s="176"/>
      <c r="B2310" s="176"/>
      <c r="C2310" s="176"/>
      <c r="D2310" s="176"/>
      <c r="E2310" s="176"/>
      <c r="F2310" s="176"/>
      <c r="G2310" s="176"/>
      <c r="H2310" s="176"/>
      <c r="I2310" s="176"/>
      <c r="J2310" s="176"/>
      <c r="K2310" s="176"/>
      <c r="L2310" s="176"/>
      <c r="M2310" s="176"/>
      <c r="N2310" s="176"/>
      <c r="O2310" s="176"/>
      <c r="P2310" s="176"/>
    </row>
    <row r="2311" hidden="1">
      <c r="A2311" s="176"/>
      <c r="B2311" s="176"/>
      <c r="C2311" s="176"/>
      <c r="D2311" s="176"/>
      <c r="E2311" s="176"/>
      <c r="F2311" s="176"/>
      <c r="G2311" s="176"/>
      <c r="H2311" s="176"/>
      <c r="I2311" s="176"/>
      <c r="J2311" s="176"/>
      <c r="K2311" s="176"/>
      <c r="L2311" s="176"/>
      <c r="M2311" s="176"/>
      <c r="N2311" s="176"/>
      <c r="O2311" s="176"/>
      <c r="P2311" s="176"/>
    </row>
    <row r="2312" hidden="1">
      <c r="A2312" s="176"/>
      <c r="B2312" s="176"/>
      <c r="C2312" s="176"/>
      <c r="D2312" s="176"/>
      <c r="E2312" s="176"/>
      <c r="F2312" s="176"/>
      <c r="G2312" s="176"/>
      <c r="H2312" s="176"/>
      <c r="I2312" s="176"/>
      <c r="J2312" s="176"/>
      <c r="K2312" s="176"/>
      <c r="L2312" s="176"/>
      <c r="M2312" s="176"/>
      <c r="N2312" s="176"/>
      <c r="O2312" s="176"/>
      <c r="P2312" s="176"/>
    </row>
    <row r="2313" hidden="1">
      <c r="A2313" s="176"/>
      <c r="B2313" s="176"/>
      <c r="C2313" s="176"/>
      <c r="D2313" s="176"/>
      <c r="E2313" s="176"/>
      <c r="F2313" s="176"/>
      <c r="G2313" s="176"/>
      <c r="H2313" s="176"/>
      <c r="I2313" s="176"/>
      <c r="J2313" s="176"/>
      <c r="K2313" s="176"/>
      <c r="L2313" s="176"/>
      <c r="M2313" s="176"/>
      <c r="N2313" s="176"/>
      <c r="O2313" s="176"/>
      <c r="P2313" s="176"/>
    </row>
    <row r="2314" hidden="1">
      <c r="A2314" s="176"/>
      <c r="B2314" s="176"/>
      <c r="C2314" s="176"/>
      <c r="D2314" s="176"/>
      <c r="E2314" s="176"/>
      <c r="F2314" s="176"/>
      <c r="G2314" s="176"/>
      <c r="H2314" s="176"/>
      <c r="I2314" s="176"/>
      <c r="J2314" s="176"/>
      <c r="K2314" s="176"/>
      <c r="L2314" s="176"/>
      <c r="M2314" s="176"/>
      <c r="N2314" s="176"/>
      <c r="O2314" s="176"/>
      <c r="P2314" s="176"/>
    </row>
    <row r="2315" hidden="1">
      <c r="A2315" s="176"/>
      <c r="B2315" s="176"/>
      <c r="C2315" s="176"/>
      <c r="D2315" s="176"/>
      <c r="E2315" s="176"/>
      <c r="F2315" s="176"/>
      <c r="G2315" s="176"/>
      <c r="H2315" s="176"/>
      <c r="I2315" s="176"/>
      <c r="J2315" s="176"/>
      <c r="K2315" s="176"/>
      <c r="L2315" s="176"/>
      <c r="M2315" s="176"/>
      <c r="N2315" s="176"/>
      <c r="O2315" s="176"/>
      <c r="P2315" s="176"/>
    </row>
    <row r="2316" hidden="1">
      <c r="A2316" s="176"/>
      <c r="B2316" s="176"/>
      <c r="C2316" s="176"/>
      <c r="D2316" s="176"/>
      <c r="E2316" s="176"/>
      <c r="F2316" s="176"/>
      <c r="G2316" s="176"/>
      <c r="H2316" s="176"/>
      <c r="I2316" s="176"/>
      <c r="J2316" s="176"/>
      <c r="K2316" s="176"/>
      <c r="L2316" s="176"/>
      <c r="M2316" s="176"/>
      <c r="N2316" s="176"/>
      <c r="O2316" s="176"/>
      <c r="P2316" s="176"/>
    </row>
    <row r="2317" hidden="1">
      <c r="A2317" s="176"/>
      <c r="B2317" s="176"/>
      <c r="C2317" s="176"/>
      <c r="D2317" s="176"/>
      <c r="E2317" s="176"/>
      <c r="F2317" s="176"/>
      <c r="G2317" s="176"/>
      <c r="H2317" s="176"/>
      <c r="I2317" s="176"/>
      <c r="J2317" s="176"/>
      <c r="K2317" s="176"/>
      <c r="L2317" s="176"/>
      <c r="M2317" s="176"/>
      <c r="N2317" s="176"/>
      <c r="O2317" s="176"/>
      <c r="P2317" s="176"/>
    </row>
    <row r="2318" hidden="1">
      <c r="A2318" s="176"/>
      <c r="B2318" s="176"/>
      <c r="C2318" s="176"/>
      <c r="D2318" s="176"/>
      <c r="E2318" s="176"/>
      <c r="F2318" s="176"/>
      <c r="G2318" s="176"/>
      <c r="H2318" s="176"/>
      <c r="I2318" s="176"/>
      <c r="J2318" s="176"/>
      <c r="K2318" s="176"/>
      <c r="L2318" s="176"/>
      <c r="M2318" s="176"/>
      <c r="N2318" s="176"/>
      <c r="O2318" s="176"/>
      <c r="P2318" s="176"/>
    </row>
    <row r="2319" hidden="1">
      <c r="A2319" s="176"/>
      <c r="B2319" s="176"/>
      <c r="C2319" s="176"/>
      <c r="D2319" s="176"/>
      <c r="E2319" s="176"/>
      <c r="F2319" s="176"/>
      <c r="G2319" s="176"/>
      <c r="H2319" s="176"/>
      <c r="I2319" s="176"/>
      <c r="J2319" s="176"/>
      <c r="K2319" s="176"/>
      <c r="L2319" s="176"/>
      <c r="M2319" s="176"/>
      <c r="N2319" s="176"/>
      <c r="O2319" s="176"/>
      <c r="P2319" s="176"/>
    </row>
    <row r="2320" hidden="1">
      <c r="A2320" s="176"/>
      <c r="B2320" s="176"/>
      <c r="C2320" s="176"/>
      <c r="D2320" s="176"/>
      <c r="E2320" s="176"/>
      <c r="F2320" s="176"/>
      <c r="G2320" s="176"/>
      <c r="H2320" s="176"/>
      <c r="I2320" s="176"/>
      <c r="J2320" s="176"/>
      <c r="K2320" s="176"/>
      <c r="L2320" s="176"/>
      <c r="M2320" s="176"/>
      <c r="N2320" s="176"/>
      <c r="O2320" s="176"/>
      <c r="P2320" s="176"/>
    </row>
    <row r="2321" hidden="1">
      <c r="A2321" s="176"/>
      <c r="B2321" s="176"/>
      <c r="C2321" s="176"/>
      <c r="D2321" s="176"/>
      <c r="E2321" s="176"/>
      <c r="F2321" s="176"/>
      <c r="G2321" s="176"/>
      <c r="H2321" s="176"/>
      <c r="I2321" s="176"/>
      <c r="J2321" s="176"/>
      <c r="K2321" s="176"/>
      <c r="L2321" s="176"/>
      <c r="M2321" s="176"/>
      <c r="N2321" s="176"/>
      <c r="O2321" s="176"/>
      <c r="P2321" s="176"/>
    </row>
    <row r="2322" hidden="1">
      <c r="A2322" s="176"/>
      <c r="B2322" s="176"/>
      <c r="C2322" s="176"/>
      <c r="D2322" s="176"/>
      <c r="E2322" s="176"/>
      <c r="F2322" s="176"/>
      <c r="G2322" s="176"/>
      <c r="H2322" s="176"/>
      <c r="I2322" s="176"/>
      <c r="J2322" s="176"/>
      <c r="K2322" s="176"/>
      <c r="L2322" s="176"/>
      <c r="M2322" s="176"/>
      <c r="N2322" s="176"/>
      <c r="O2322" s="176"/>
      <c r="P2322" s="176"/>
    </row>
    <row r="2323" hidden="1">
      <c r="A2323" s="176"/>
      <c r="B2323" s="176"/>
      <c r="C2323" s="176"/>
      <c r="D2323" s="176"/>
      <c r="E2323" s="176"/>
      <c r="F2323" s="176"/>
      <c r="G2323" s="176"/>
      <c r="H2323" s="176"/>
      <c r="I2323" s="176"/>
      <c r="J2323" s="176"/>
      <c r="K2323" s="176"/>
      <c r="L2323" s="176"/>
      <c r="M2323" s="176"/>
      <c r="N2323" s="176"/>
      <c r="O2323" s="176"/>
      <c r="P2323" s="176"/>
    </row>
    <row r="2324" hidden="1">
      <c r="A2324" s="176"/>
      <c r="B2324" s="176"/>
      <c r="C2324" s="176"/>
      <c r="D2324" s="176"/>
      <c r="E2324" s="176"/>
      <c r="F2324" s="176"/>
      <c r="G2324" s="176"/>
      <c r="H2324" s="176"/>
      <c r="I2324" s="176"/>
      <c r="J2324" s="176"/>
      <c r="K2324" s="176"/>
      <c r="L2324" s="176"/>
      <c r="M2324" s="176"/>
      <c r="N2324" s="176"/>
      <c r="O2324" s="176"/>
      <c r="P2324" s="176"/>
    </row>
    <row r="2325" hidden="1">
      <c r="A2325" s="176"/>
      <c r="B2325" s="176"/>
      <c r="C2325" s="176"/>
      <c r="D2325" s="176"/>
      <c r="E2325" s="176"/>
      <c r="F2325" s="176"/>
      <c r="G2325" s="176"/>
      <c r="H2325" s="176"/>
      <c r="I2325" s="176"/>
      <c r="J2325" s="176"/>
      <c r="K2325" s="176"/>
      <c r="L2325" s="176"/>
      <c r="M2325" s="176"/>
      <c r="N2325" s="176"/>
      <c r="O2325" s="176"/>
      <c r="P2325" s="176"/>
    </row>
    <row r="2326" hidden="1">
      <c r="A2326" s="176"/>
      <c r="B2326" s="176"/>
      <c r="C2326" s="176"/>
      <c r="D2326" s="176"/>
      <c r="E2326" s="176"/>
      <c r="F2326" s="176"/>
      <c r="G2326" s="176"/>
      <c r="H2326" s="176"/>
      <c r="I2326" s="176"/>
      <c r="J2326" s="176"/>
      <c r="K2326" s="176"/>
      <c r="L2326" s="176"/>
      <c r="M2326" s="176"/>
      <c r="N2326" s="176"/>
      <c r="O2326" s="176"/>
      <c r="P2326" s="176"/>
    </row>
    <row r="2327" hidden="1">
      <c r="A2327" s="176"/>
      <c r="B2327" s="176"/>
      <c r="C2327" s="176"/>
      <c r="D2327" s="176"/>
      <c r="E2327" s="176"/>
      <c r="F2327" s="176"/>
      <c r="G2327" s="176"/>
      <c r="H2327" s="176"/>
      <c r="I2327" s="176"/>
      <c r="J2327" s="176"/>
      <c r="K2327" s="176"/>
      <c r="L2327" s="176"/>
      <c r="M2327" s="176"/>
      <c r="N2327" s="176"/>
      <c r="O2327" s="176"/>
      <c r="P2327" s="176"/>
    </row>
    <row r="2328" hidden="1">
      <c r="A2328" s="176"/>
      <c r="B2328" s="176"/>
      <c r="C2328" s="176"/>
      <c r="D2328" s="176"/>
      <c r="E2328" s="176"/>
      <c r="F2328" s="176"/>
      <c r="G2328" s="176"/>
      <c r="H2328" s="176"/>
      <c r="I2328" s="176"/>
      <c r="J2328" s="176"/>
      <c r="K2328" s="176"/>
      <c r="L2328" s="176"/>
      <c r="M2328" s="176"/>
      <c r="N2328" s="176"/>
      <c r="O2328" s="176"/>
      <c r="P2328" s="176"/>
    </row>
    <row r="2329" hidden="1">
      <c r="A2329" s="176"/>
      <c r="B2329" s="176"/>
      <c r="C2329" s="176"/>
      <c r="D2329" s="176"/>
      <c r="E2329" s="176"/>
      <c r="F2329" s="176"/>
      <c r="G2329" s="176"/>
      <c r="H2329" s="176"/>
      <c r="I2329" s="176"/>
      <c r="J2329" s="176"/>
      <c r="K2329" s="176"/>
      <c r="L2329" s="176"/>
      <c r="M2329" s="176"/>
      <c r="N2329" s="176"/>
      <c r="O2329" s="176"/>
      <c r="P2329" s="176"/>
    </row>
    <row r="2330" hidden="1">
      <c r="A2330" s="176"/>
      <c r="B2330" s="176"/>
      <c r="C2330" s="176"/>
      <c r="D2330" s="176"/>
      <c r="E2330" s="176"/>
      <c r="F2330" s="176"/>
      <c r="G2330" s="176"/>
      <c r="H2330" s="176"/>
      <c r="I2330" s="176"/>
      <c r="J2330" s="176"/>
      <c r="K2330" s="176"/>
      <c r="L2330" s="176"/>
      <c r="M2330" s="176"/>
      <c r="N2330" s="176"/>
      <c r="O2330" s="176"/>
      <c r="P2330" s="176"/>
    </row>
    <row r="2331" hidden="1">
      <c r="A2331" s="176"/>
      <c r="B2331" s="176"/>
      <c r="C2331" s="176"/>
      <c r="D2331" s="176"/>
      <c r="E2331" s="176"/>
      <c r="F2331" s="176"/>
      <c r="G2331" s="176"/>
      <c r="H2331" s="176"/>
      <c r="I2331" s="176"/>
      <c r="J2331" s="176"/>
      <c r="K2331" s="176"/>
      <c r="L2331" s="176"/>
      <c r="M2331" s="176"/>
      <c r="N2331" s="176"/>
      <c r="O2331" s="176"/>
      <c r="P2331" s="176"/>
    </row>
    <row r="2332" hidden="1">
      <c r="A2332" s="176"/>
      <c r="B2332" s="176"/>
      <c r="C2332" s="176"/>
      <c r="D2332" s="176"/>
      <c r="E2332" s="176"/>
      <c r="F2332" s="176"/>
      <c r="G2332" s="176"/>
      <c r="H2332" s="176"/>
      <c r="I2332" s="176"/>
      <c r="J2332" s="176"/>
      <c r="K2332" s="176"/>
      <c r="L2332" s="176"/>
      <c r="M2332" s="176"/>
      <c r="N2332" s="176"/>
      <c r="O2332" s="176"/>
      <c r="P2332" s="176"/>
    </row>
    <row r="2333" hidden="1">
      <c r="A2333" s="176"/>
      <c r="B2333" s="176"/>
      <c r="C2333" s="176"/>
      <c r="D2333" s="176"/>
      <c r="E2333" s="176"/>
      <c r="F2333" s="176"/>
      <c r="G2333" s="176"/>
      <c r="H2333" s="176"/>
      <c r="I2333" s="176"/>
      <c r="J2333" s="176"/>
      <c r="K2333" s="176"/>
      <c r="L2333" s="176"/>
      <c r="M2333" s="176"/>
      <c r="N2333" s="176"/>
      <c r="O2333" s="176"/>
      <c r="P2333" s="176"/>
    </row>
    <row r="2334" hidden="1">
      <c r="A2334" s="176"/>
      <c r="B2334" s="176"/>
      <c r="C2334" s="176"/>
      <c r="D2334" s="176"/>
      <c r="E2334" s="176"/>
      <c r="F2334" s="176"/>
      <c r="G2334" s="176"/>
      <c r="H2334" s="176"/>
      <c r="I2334" s="176"/>
      <c r="J2334" s="176"/>
      <c r="K2334" s="176"/>
      <c r="L2334" s="176"/>
      <c r="M2334" s="176"/>
      <c r="N2334" s="176"/>
      <c r="O2334" s="176"/>
      <c r="P2334" s="176"/>
    </row>
    <row r="2335" hidden="1">
      <c r="A2335" s="176"/>
      <c r="B2335" s="176"/>
      <c r="C2335" s="176"/>
      <c r="D2335" s="176"/>
      <c r="E2335" s="176"/>
      <c r="F2335" s="176"/>
      <c r="G2335" s="176"/>
      <c r="H2335" s="176"/>
      <c r="I2335" s="176"/>
      <c r="J2335" s="176"/>
      <c r="K2335" s="176"/>
      <c r="L2335" s="176"/>
      <c r="M2335" s="176"/>
      <c r="N2335" s="176"/>
      <c r="O2335" s="176"/>
      <c r="P2335" s="176"/>
    </row>
    <row r="2336" hidden="1">
      <c r="A2336" s="176"/>
      <c r="B2336" s="176"/>
      <c r="C2336" s="176"/>
      <c r="D2336" s="176"/>
      <c r="E2336" s="176"/>
      <c r="F2336" s="176"/>
      <c r="G2336" s="176"/>
      <c r="H2336" s="176"/>
      <c r="I2336" s="176"/>
      <c r="J2336" s="176"/>
      <c r="K2336" s="176"/>
      <c r="L2336" s="176"/>
      <c r="M2336" s="176"/>
      <c r="N2336" s="176"/>
      <c r="O2336" s="176"/>
      <c r="P2336" s="176"/>
    </row>
    <row r="2337" hidden="1">
      <c r="A2337" s="176"/>
      <c r="B2337" s="176"/>
      <c r="C2337" s="176"/>
      <c r="D2337" s="176"/>
      <c r="E2337" s="176"/>
      <c r="F2337" s="176"/>
      <c r="G2337" s="176"/>
      <c r="H2337" s="176"/>
      <c r="I2337" s="176"/>
      <c r="J2337" s="176"/>
      <c r="K2337" s="176"/>
      <c r="L2337" s="176"/>
      <c r="M2337" s="176"/>
      <c r="N2337" s="176"/>
      <c r="O2337" s="176"/>
      <c r="P2337" s="176"/>
    </row>
    <row r="2338" hidden="1">
      <c r="A2338" s="176"/>
      <c r="B2338" s="176"/>
      <c r="C2338" s="176"/>
      <c r="D2338" s="176"/>
      <c r="E2338" s="176"/>
      <c r="F2338" s="176"/>
      <c r="G2338" s="176"/>
      <c r="H2338" s="176"/>
      <c r="I2338" s="176"/>
      <c r="J2338" s="176"/>
      <c r="K2338" s="176"/>
      <c r="L2338" s="176"/>
      <c r="M2338" s="176"/>
      <c r="N2338" s="176"/>
      <c r="O2338" s="176"/>
      <c r="P2338" s="176"/>
    </row>
    <row r="2339" hidden="1">
      <c r="A2339" s="176"/>
      <c r="B2339" s="176"/>
      <c r="C2339" s="176"/>
      <c r="D2339" s="176"/>
      <c r="E2339" s="176"/>
      <c r="F2339" s="176"/>
      <c r="G2339" s="176"/>
      <c r="H2339" s="176"/>
      <c r="I2339" s="176"/>
      <c r="J2339" s="176"/>
      <c r="K2339" s="176"/>
      <c r="L2339" s="176"/>
      <c r="M2339" s="176"/>
      <c r="N2339" s="176"/>
      <c r="O2339" s="176"/>
      <c r="P2339" s="176"/>
    </row>
    <row r="2340" hidden="1">
      <c r="A2340" s="176"/>
      <c r="B2340" s="176"/>
      <c r="C2340" s="176"/>
      <c r="D2340" s="176"/>
      <c r="E2340" s="176"/>
      <c r="F2340" s="176"/>
      <c r="G2340" s="176"/>
      <c r="H2340" s="176"/>
      <c r="I2340" s="176"/>
      <c r="J2340" s="176"/>
      <c r="K2340" s="176"/>
      <c r="L2340" s="176"/>
      <c r="M2340" s="176"/>
      <c r="N2340" s="176"/>
      <c r="O2340" s="176"/>
      <c r="P2340" s="176"/>
    </row>
    <row r="2341" hidden="1">
      <c r="A2341" s="176"/>
      <c r="B2341" s="176"/>
      <c r="C2341" s="176"/>
      <c r="D2341" s="176"/>
      <c r="E2341" s="176"/>
      <c r="F2341" s="176"/>
      <c r="G2341" s="176"/>
      <c r="H2341" s="176"/>
      <c r="I2341" s="176"/>
      <c r="J2341" s="176"/>
      <c r="K2341" s="176"/>
      <c r="L2341" s="176"/>
      <c r="M2341" s="176"/>
      <c r="N2341" s="176"/>
      <c r="O2341" s="176"/>
      <c r="P2341" s="176"/>
    </row>
    <row r="2342" hidden="1">
      <c r="A2342" s="176"/>
      <c r="B2342" s="176"/>
      <c r="C2342" s="176"/>
      <c r="D2342" s="176"/>
      <c r="E2342" s="176"/>
      <c r="F2342" s="176"/>
      <c r="G2342" s="176"/>
      <c r="H2342" s="176"/>
      <c r="I2342" s="176"/>
      <c r="J2342" s="176"/>
      <c r="K2342" s="176"/>
      <c r="L2342" s="176"/>
      <c r="M2342" s="176"/>
      <c r="N2342" s="176"/>
      <c r="O2342" s="176"/>
      <c r="P2342" s="176"/>
    </row>
    <row r="2343" hidden="1">
      <c r="A2343" s="176"/>
      <c r="B2343" s="176"/>
      <c r="C2343" s="176"/>
      <c r="D2343" s="176"/>
      <c r="E2343" s="176"/>
      <c r="F2343" s="176"/>
      <c r="G2343" s="176"/>
      <c r="H2343" s="176"/>
      <c r="I2343" s="176"/>
      <c r="J2343" s="176"/>
      <c r="K2343" s="176"/>
      <c r="L2343" s="176"/>
      <c r="M2343" s="176"/>
      <c r="N2343" s="176"/>
      <c r="O2343" s="176"/>
      <c r="P2343" s="176"/>
    </row>
    <row r="2344" hidden="1">
      <c r="A2344" s="176"/>
      <c r="B2344" s="176"/>
      <c r="C2344" s="176"/>
      <c r="D2344" s="176"/>
      <c r="E2344" s="176"/>
      <c r="F2344" s="176"/>
      <c r="G2344" s="176"/>
      <c r="H2344" s="176"/>
      <c r="I2344" s="176"/>
      <c r="J2344" s="176"/>
      <c r="K2344" s="176"/>
      <c r="L2344" s="176"/>
      <c r="M2344" s="176"/>
      <c r="N2344" s="176"/>
      <c r="O2344" s="176"/>
      <c r="P2344" s="176"/>
    </row>
    <row r="2345" hidden="1">
      <c r="A2345" s="176"/>
      <c r="B2345" s="176"/>
      <c r="C2345" s="176"/>
      <c r="D2345" s="176"/>
      <c r="E2345" s="176"/>
      <c r="F2345" s="176"/>
      <c r="G2345" s="176"/>
      <c r="H2345" s="176"/>
      <c r="I2345" s="176"/>
      <c r="J2345" s="176"/>
      <c r="K2345" s="176"/>
      <c r="L2345" s="176"/>
      <c r="M2345" s="176"/>
      <c r="N2345" s="176"/>
      <c r="O2345" s="176"/>
      <c r="P2345" s="176"/>
    </row>
    <row r="2346" hidden="1">
      <c r="A2346" s="176"/>
      <c r="B2346" s="176"/>
      <c r="C2346" s="176"/>
      <c r="D2346" s="176"/>
      <c r="E2346" s="176"/>
      <c r="F2346" s="176"/>
      <c r="G2346" s="176"/>
      <c r="H2346" s="176"/>
      <c r="I2346" s="176"/>
      <c r="J2346" s="176"/>
      <c r="K2346" s="176"/>
      <c r="L2346" s="176"/>
      <c r="M2346" s="176"/>
      <c r="N2346" s="176"/>
      <c r="O2346" s="176"/>
      <c r="P2346" s="176"/>
    </row>
    <row r="2347" hidden="1">
      <c r="A2347" s="176"/>
      <c r="B2347" s="176"/>
      <c r="C2347" s="176"/>
      <c r="D2347" s="176"/>
      <c r="E2347" s="176"/>
      <c r="F2347" s="176"/>
      <c r="G2347" s="176"/>
      <c r="H2347" s="176"/>
      <c r="I2347" s="176"/>
      <c r="J2347" s="176"/>
      <c r="K2347" s="176"/>
      <c r="L2347" s="176"/>
      <c r="M2347" s="176"/>
      <c r="N2347" s="176"/>
      <c r="O2347" s="176"/>
      <c r="P2347" s="176"/>
    </row>
    <row r="2348" hidden="1">
      <c r="A2348" s="176"/>
      <c r="B2348" s="176"/>
      <c r="C2348" s="176"/>
      <c r="D2348" s="176"/>
      <c r="E2348" s="176"/>
      <c r="F2348" s="176"/>
      <c r="G2348" s="176"/>
      <c r="H2348" s="176"/>
      <c r="I2348" s="176"/>
      <c r="J2348" s="176"/>
      <c r="K2348" s="176"/>
      <c r="L2348" s="176"/>
      <c r="M2348" s="176"/>
      <c r="N2348" s="176"/>
      <c r="O2348" s="176"/>
      <c r="P2348" s="176"/>
    </row>
    <row r="2349" hidden="1">
      <c r="A2349" s="176"/>
      <c r="B2349" s="176"/>
      <c r="C2349" s="176"/>
      <c r="D2349" s="176"/>
      <c r="E2349" s="176"/>
      <c r="F2349" s="176"/>
      <c r="G2349" s="176"/>
      <c r="H2349" s="176"/>
      <c r="I2349" s="176"/>
      <c r="J2349" s="176"/>
      <c r="K2349" s="176"/>
      <c r="L2349" s="176"/>
      <c r="M2349" s="176"/>
      <c r="N2349" s="176"/>
      <c r="O2349" s="176"/>
      <c r="P2349" s="176"/>
    </row>
    <row r="2350" hidden="1">
      <c r="A2350" s="176"/>
      <c r="B2350" s="176"/>
      <c r="C2350" s="176"/>
      <c r="D2350" s="176"/>
      <c r="E2350" s="176"/>
      <c r="F2350" s="176"/>
      <c r="G2350" s="176"/>
      <c r="H2350" s="176"/>
      <c r="I2350" s="176"/>
      <c r="J2350" s="176"/>
      <c r="K2350" s="176"/>
      <c r="L2350" s="176"/>
      <c r="M2350" s="176"/>
      <c r="N2350" s="176"/>
      <c r="O2350" s="176"/>
      <c r="P2350" s="176"/>
    </row>
    <row r="2351" hidden="1">
      <c r="A2351" s="176"/>
      <c r="B2351" s="176"/>
      <c r="C2351" s="176"/>
      <c r="D2351" s="176"/>
      <c r="E2351" s="176"/>
      <c r="F2351" s="176"/>
      <c r="G2351" s="176"/>
      <c r="H2351" s="176"/>
      <c r="I2351" s="176"/>
      <c r="J2351" s="176"/>
      <c r="K2351" s="176"/>
      <c r="L2351" s="176"/>
      <c r="M2351" s="176"/>
      <c r="N2351" s="176"/>
      <c r="O2351" s="176"/>
      <c r="P2351" s="176"/>
    </row>
    <row r="2352" hidden="1">
      <c r="A2352" s="176"/>
      <c r="B2352" s="176"/>
      <c r="C2352" s="176"/>
      <c r="D2352" s="176"/>
      <c r="E2352" s="176"/>
      <c r="F2352" s="176"/>
      <c r="G2352" s="176"/>
      <c r="H2352" s="176"/>
      <c r="I2352" s="176"/>
      <c r="J2352" s="176"/>
      <c r="K2352" s="176"/>
      <c r="L2352" s="176"/>
      <c r="M2352" s="176"/>
      <c r="N2352" s="176"/>
      <c r="O2352" s="176"/>
      <c r="P2352" s="176"/>
    </row>
    <row r="2353" hidden="1">
      <c r="A2353" s="176"/>
      <c r="B2353" s="176"/>
      <c r="C2353" s="176"/>
      <c r="D2353" s="176"/>
      <c r="E2353" s="176"/>
      <c r="F2353" s="176"/>
      <c r="G2353" s="176"/>
      <c r="H2353" s="176"/>
      <c r="I2353" s="176"/>
      <c r="J2353" s="176"/>
      <c r="K2353" s="176"/>
      <c r="L2353" s="176"/>
      <c r="M2353" s="176"/>
      <c r="N2353" s="176"/>
      <c r="O2353" s="176"/>
      <c r="P2353" s="176"/>
    </row>
    <row r="2354" hidden="1">
      <c r="A2354" s="176"/>
      <c r="B2354" s="176"/>
      <c r="C2354" s="176"/>
      <c r="D2354" s="176"/>
      <c r="E2354" s="176"/>
      <c r="F2354" s="176"/>
      <c r="G2354" s="176"/>
      <c r="H2354" s="176"/>
      <c r="I2354" s="176"/>
      <c r="J2354" s="176"/>
      <c r="K2354" s="176"/>
      <c r="L2354" s="176"/>
      <c r="M2354" s="176"/>
      <c r="N2354" s="176"/>
      <c r="O2354" s="176"/>
      <c r="P2354" s="176"/>
    </row>
    <row r="2355" hidden="1">
      <c r="A2355" s="176"/>
      <c r="B2355" s="176"/>
      <c r="C2355" s="176"/>
      <c r="D2355" s="176"/>
      <c r="E2355" s="176"/>
      <c r="F2355" s="176"/>
      <c r="G2355" s="176"/>
      <c r="H2355" s="176"/>
      <c r="I2355" s="176"/>
      <c r="J2355" s="176"/>
      <c r="K2355" s="176"/>
      <c r="L2355" s="176"/>
      <c r="M2355" s="176"/>
      <c r="N2355" s="176"/>
      <c r="O2355" s="176"/>
      <c r="P2355" s="176"/>
    </row>
    <row r="2356" hidden="1">
      <c r="A2356" s="176"/>
      <c r="B2356" s="176"/>
      <c r="C2356" s="176"/>
      <c r="D2356" s="176"/>
      <c r="E2356" s="176"/>
      <c r="F2356" s="176"/>
      <c r="G2356" s="176"/>
      <c r="H2356" s="176"/>
      <c r="I2356" s="176"/>
      <c r="J2356" s="176"/>
      <c r="K2356" s="176"/>
      <c r="L2356" s="176"/>
      <c r="M2356" s="176"/>
      <c r="N2356" s="176"/>
      <c r="O2356" s="176"/>
      <c r="P2356" s="176"/>
    </row>
    <row r="2357" hidden="1">
      <c r="A2357" s="176"/>
      <c r="B2357" s="176"/>
      <c r="C2357" s="176"/>
      <c r="D2357" s="176"/>
      <c r="E2357" s="176"/>
      <c r="F2357" s="176"/>
      <c r="G2357" s="176"/>
      <c r="H2357" s="176"/>
      <c r="I2357" s="176"/>
      <c r="J2357" s="176"/>
      <c r="K2357" s="176"/>
      <c r="L2357" s="176"/>
      <c r="M2357" s="176"/>
      <c r="N2357" s="176"/>
      <c r="O2357" s="176"/>
      <c r="P2357" s="176"/>
    </row>
    <row r="2358" hidden="1">
      <c r="A2358" s="176"/>
      <c r="B2358" s="176"/>
      <c r="C2358" s="176"/>
      <c r="D2358" s="176"/>
      <c r="E2358" s="176"/>
      <c r="F2358" s="176"/>
      <c r="G2358" s="176"/>
      <c r="H2358" s="176"/>
      <c r="I2358" s="176"/>
      <c r="J2358" s="176"/>
      <c r="K2358" s="176"/>
      <c r="L2358" s="176"/>
      <c r="M2358" s="176"/>
      <c r="N2358" s="176"/>
      <c r="O2358" s="176"/>
      <c r="P2358" s="176"/>
    </row>
    <row r="2359" hidden="1">
      <c r="A2359" s="176"/>
      <c r="B2359" s="176"/>
      <c r="C2359" s="176"/>
      <c r="D2359" s="176"/>
      <c r="E2359" s="176"/>
      <c r="F2359" s="176"/>
      <c r="G2359" s="176"/>
      <c r="H2359" s="176"/>
      <c r="I2359" s="176"/>
      <c r="J2359" s="176"/>
      <c r="K2359" s="176"/>
      <c r="L2359" s="176"/>
      <c r="M2359" s="176"/>
      <c r="N2359" s="176"/>
      <c r="O2359" s="176"/>
      <c r="P2359" s="176"/>
    </row>
    <row r="2360" hidden="1">
      <c r="A2360" s="176"/>
      <c r="B2360" s="176"/>
      <c r="C2360" s="176"/>
      <c r="D2360" s="176"/>
      <c r="E2360" s="176"/>
      <c r="F2360" s="176"/>
      <c r="G2360" s="176"/>
      <c r="H2360" s="176"/>
      <c r="I2360" s="176"/>
      <c r="J2360" s="176"/>
      <c r="K2360" s="176"/>
      <c r="L2360" s="176"/>
      <c r="M2360" s="176"/>
      <c r="N2360" s="176"/>
      <c r="O2360" s="176"/>
      <c r="P2360" s="176"/>
    </row>
    <row r="2361" hidden="1">
      <c r="A2361" s="176"/>
      <c r="B2361" s="176"/>
      <c r="C2361" s="176"/>
      <c r="D2361" s="176"/>
      <c r="E2361" s="176"/>
      <c r="F2361" s="176"/>
      <c r="G2361" s="176"/>
      <c r="H2361" s="176"/>
      <c r="I2361" s="176"/>
      <c r="J2361" s="176"/>
      <c r="K2361" s="176"/>
      <c r="L2361" s="176"/>
      <c r="M2361" s="176"/>
      <c r="N2361" s="176"/>
      <c r="O2361" s="176"/>
      <c r="P2361" s="176"/>
    </row>
    <row r="2362" hidden="1">
      <c r="A2362" s="176"/>
      <c r="B2362" s="176"/>
      <c r="C2362" s="176"/>
      <c r="D2362" s="176"/>
      <c r="E2362" s="176"/>
      <c r="F2362" s="176"/>
      <c r="G2362" s="176"/>
      <c r="H2362" s="176"/>
      <c r="I2362" s="176"/>
      <c r="J2362" s="176"/>
      <c r="K2362" s="176"/>
      <c r="L2362" s="176"/>
      <c r="M2362" s="176"/>
      <c r="N2362" s="176"/>
      <c r="O2362" s="176"/>
      <c r="P2362" s="176"/>
    </row>
    <row r="2363" hidden="1">
      <c r="A2363" s="176"/>
      <c r="B2363" s="176"/>
      <c r="C2363" s="176"/>
      <c r="D2363" s="176"/>
      <c r="E2363" s="176"/>
      <c r="F2363" s="176"/>
      <c r="G2363" s="176"/>
      <c r="H2363" s="176"/>
      <c r="I2363" s="176"/>
      <c r="J2363" s="176"/>
      <c r="K2363" s="176"/>
      <c r="L2363" s="176"/>
      <c r="M2363" s="176"/>
      <c r="N2363" s="176"/>
      <c r="O2363" s="176"/>
      <c r="P2363" s="176"/>
    </row>
    <row r="2364" hidden="1">
      <c r="A2364" s="176"/>
      <c r="B2364" s="176"/>
      <c r="C2364" s="176"/>
      <c r="D2364" s="176"/>
      <c r="E2364" s="176"/>
      <c r="F2364" s="176"/>
      <c r="G2364" s="176"/>
      <c r="H2364" s="176"/>
      <c r="I2364" s="176"/>
      <c r="J2364" s="176"/>
      <c r="K2364" s="176"/>
      <c r="L2364" s="176"/>
      <c r="M2364" s="176"/>
      <c r="N2364" s="176"/>
      <c r="O2364" s="176"/>
      <c r="P2364" s="176"/>
    </row>
    <row r="2365" hidden="1">
      <c r="A2365" s="176"/>
      <c r="B2365" s="176"/>
      <c r="C2365" s="176"/>
      <c r="D2365" s="176"/>
      <c r="E2365" s="176"/>
      <c r="F2365" s="176"/>
      <c r="G2365" s="176"/>
      <c r="H2365" s="176"/>
      <c r="I2365" s="176"/>
      <c r="J2365" s="176"/>
      <c r="K2365" s="176"/>
      <c r="L2365" s="176"/>
      <c r="M2365" s="176"/>
      <c r="N2365" s="176"/>
      <c r="O2365" s="176"/>
      <c r="P2365" s="176"/>
    </row>
    <row r="2366" hidden="1">
      <c r="A2366" s="176"/>
      <c r="B2366" s="176"/>
      <c r="C2366" s="176"/>
      <c r="D2366" s="176"/>
      <c r="E2366" s="176"/>
      <c r="F2366" s="176"/>
      <c r="G2366" s="176"/>
      <c r="H2366" s="176"/>
      <c r="I2366" s="176"/>
      <c r="J2366" s="176"/>
      <c r="K2366" s="176"/>
      <c r="L2366" s="176"/>
      <c r="M2366" s="176"/>
      <c r="N2366" s="176"/>
      <c r="O2366" s="176"/>
      <c r="P2366" s="176"/>
    </row>
    <row r="2367" hidden="1">
      <c r="A2367" s="176"/>
      <c r="B2367" s="176"/>
      <c r="C2367" s="176"/>
      <c r="D2367" s="176"/>
      <c r="E2367" s="176"/>
      <c r="F2367" s="176"/>
      <c r="G2367" s="176"/>
      <c r="H2367" s="176"/>
      <c r="I2367" s="176"/>
      <c r="J2367" s="176"/>
      <c r="K2367" s="176"/>
      <c r="L2367" s="176"/>
      <c r="M2367" s="176"/>
      <c r="N2367" s="176"/>
      <c r="O2367" s="176"/>
      <c r="P2367" s="176"/>
    </row>
    <row r="2368" hidden="1">
      <c r="A2368" s="176"/>
      <c r="B2368" s="176"/>
      <c r="C2368" s="176"/>
      <c r="D2368" s="176"/>
      <c r="E2368" s="176"/>
      <c r="F2368" s="176"/>
      <c r="G2368" s="176"/>
      <c r="H2368" s="176"/>
      <c r="I2368" s="176"/>
      <c r="J2368" s="176"/>
      <c r="K2368" s="176"/>
      <c r="L2368" s="176"/>
      <c r="M2368" s="176"/>
      <c r="N2368" s="176"/>
      <c r="O2368" s="176"/>
      <c r="P2368" s="176"/>
    </row>
    <row r="2369" hidden="1">
      <c r="A2369" s="176"/>
      <c r="B2369" s="176"/>
      <c r="C2369" s="176"/>
      <c r="D2369" s="176"/>
      <c r="E2369" s="176"/>
      <c r="F2369" s="176"/>
      <c r="G2369" s="176"/>
      <c r="H2369" s="176"/>
      <c r="I2369" s="176"/>
      <c r="J2369" s="176"/>
      <c r="K2369" s="176"/>
      <c r="L2369" s="176"/>
      <c r="M2369" s="176"/>
      <c r="N2369" s="176"/>
      <c r="O2369" s="176"/>
      <c r="P2369" s="176"/>
    </row>
    <row r="2370" hidden="1">
      <c r="A2370" s="176"/>
      <c r="B2370" s="176"/>
      <c r="C2370" s="176"/>
      <c r="D2370" s="176"/>
      <c r="E2370" s="176"/>
      <c r="F2370" s="176"/>
      <c r="G2370" s="176"/>
      <c r="H2370" s="176"/>
      <c r="I2370" s="176"/>
      <c r="J2370" s="176"/>
      <c r="K2370" s="176"/>
      <c r="L2370" s="176"/>
      <c r="M2370" s="176"/>
      <c r="N2370" s="176"/>
      <c r="O2370" s="176"/>
      <c r="P2370" s="176"/>
    </row>
    <row r="2371" hidden="1">
      <c r="A2371" s="176"/>
      <c r="B2371" s="176"/>
      <c r="C2371" s="176"/>
      <c r="D2371" s="176"/>
      <c r="E2371" s="176"/>
      <c r="F2371" s="176"/>
      <c r="G2371" s="176"/>
      <c r="H2371" s="176"/>
      <c r="I2371" s="176"/>
      <c r="J2371" s="176"/>
      <c r="K2371" s="176"/>
      <c r="L2371" s="176"/>
      <c r="M2371" s="176"/>
      <c r="N2371" s="176"/>
      <c r="O2371" s="176"/>
      <c r="P2371" s="176"/>
    </row>
    <row r="2372" hidden="1">
      <c r="A2372" s="176"/>
      <c r="B2372" s="176"/>
      <c r="C2372" s="176"/>
      <c r="D2372" s="176"/>
      <c r="E2372" s="176"/>
      <c r="F2372" s="176"/>
      <c r="G2372" s="176"/>
      <c r="H2372" s="176"/>
      <c r="I2372" s="176"/>
      <c r="J2372" s="176"/>
      <c r="K2372" s="176"/>
      <c r="L2372" s="176"/>
      <c r="M2372" s="176"/>
      <c r="N2372" s="176"/>
      <c r="O2372" s="176"/>
      <c r="P2372" s="176"/>
    </row>
    <row r="2373" hidden="1">
      <c r="A2373" s="176"/>
      <c r="B2373" s="176"/>
      <c r="C2373" s="176"/>
      <c r="D2373" s="176"/>
      <c r="E2373" s="176"/>
      <c r="F2373" s="176"/>
      <c r="G2373" s="176"/>
      <c r="H2373" s="176"/>
      <c r="I2373" s="176"/>
      <c r="J2373" s="176"/>
      <c r="K2373" s="176"/>
      <c r="L2373" s="176"/>
      <c r="M2373" s="176"/>
      <c r="N2373" s="176"/>
      <c r="O2373" s="176"/>
      <c r="P2373" s="176"/>
    </row>
    <row r="2374" hidden="1">
      <c r="A2374" s="176"/>
      <c r="B2374" s="176"/>
      <c r="C2374" s="176"/>
      <c r="D2374" s="176"/>
      <c r="E2374" s="176"/>
      <c r="F2374" s="176"/>
      <c r="G2374" s="176"/>
      <c r="H2374" s="176"/>
      <c r="I2374" s="176"/>
      <c r="J2374" s="176"/>
      <c r="K2374" s="176"/>
      <c r="L2374" s="176"/>
      <c r="M2374" s="176"/>
      <c r="N2374" s="176"/>
      <c r="O2374" s="176"/>
      <c r="P2374" s="176"/>
    </row>
    <row r="2375" hidden="1">
      <c r="A2375" s="176"/>
      <c r="B2375" s="176"/>
      <c r="C2375" s="176"/>
      <c r="D2375" s="176"/>
      <c r="E2375" s="176"/>
      <c r="F2375" s="176"/>
      <c r="G2375" s="176"/>
      <c r="H2375" s="176"/>
      <c r="I2375" s="176"/>
      <c r="J2375" s="176"/>
      <c r="K2375" s="176"/>
      <c r="L2375" s="176"/>
      <c r="M2375" s="176"/>
      <c r="N2375" s="176"/>
      <c r="O2375" s="176"/>
      <c r="P2375" s="176"/>
    </row>
    <row r="2376" hidden="1">
      <c r="A2376" s="176"/>
      <c r="B2376" s="176"/>
      <c r="C2376" s="176"/>
      <c r="D2376" s="176"/>
      <c r="E2376" s="176"/>
      <c r="F2376" s="176"/>
      <c r="G2376" s="176"/>
      <c r="H2376" s="176"/>
      <c r="I2376" s="176"/>
      <c r="J2376" s="176"/>
      <c r="K2376" s="176"/>
      <c r="L2376" s="176"/>
      <c r="M2376" s="176"/>
      <c r="N2376" s="176"/>
      <c r="O2376" s="176"/>
      <c r="P2376" s="176"/>
    </row>
    <row r="2377" hidden="1">
      <c r="A2377" s="176"/>
      <c r="B2377" s="176"/>
      <c r="C2377" s="176"/>
      <c r="D2377" s="176"/>
      <c r="E2377" s="176"/>
      <c r="F2377" s="176"/>
      <c r="G2377" s="176"/>
      <c r="H2377" s="176"/>
      <c r="I2377" s="176"/>
      <c r="J2377" s="176"/>
      <c r="K2377" s="176"/>
      <c r="L2377" s="176"/>
      <c r="M2377" s="176"/>
      <c r="N2377" s="176"/>
      <c r="O2377" s="176"/>
      <c r="P2377" s="176"/>
    </row>
    <row r="2378" hidden="1">
      <c r="A2378" s="176"/>
      <c r="B2378" s="176"/>
      <c r="C2378" s="176"/>
      <c r="D2378" s="176"/>
      <c r="E2378" s="176"/>
      <c r="F2378" s="176"/>
      <c r="G2378" s="176"/>
      <c r="H2378" s="176"/>
      <c r="I2378" s="176"/>
      <c r="J2378" s="176"/>
      <c r="K2378" s="176"/>
      <c r="L2378" s="176"/>
      <c r="M2378" s="176"/>
      <c r="N2378" s="176"/>
      <c r="O2378" s="176"/>
      <c r="P2378" s="176"/>
    </row>
    <row r="2379" hidden="1">
      <c r="A2379" s="176"/>
      <c r="B2379" s="176"/>
      <c r="C2379" s="176"/>
      <c r="D2379" s="176"/>
      <c r="E2379" s="176"/>
      <c r="F2379" s="176"/>
      <c r="G2379" s="176"/>
      <c r="H2379" s="176"/>
      <c r="I2379" s="176"/>
      <c r="J2379" s="176"/>
      <c r="K2379" s="176"/>
      <c r="L2379" s="176"/>
      <c r="M2379" s="176"/>
      <c r="N2379" s="176"/>
      <c r="O2379" s="176"/>
      <c r="P2379" s="176"/>
    </row>
    <row r="2380" hidden="1">
      <c r="A2380" s="176"/>
      <c r="B2380" s="176"/>
      <c r="C2380" s="176"/>
      <c r="D2380" s="176"/>
      <c r="E2380" s="176"/>
      <c r="F2380" s="176"/>
      <c r="G2380" s="176"/>
      <c r="H2380" s="176"/>
      <c r="I2380" s="176"/>
      <c r="J2380" s="176"/>
      <c r="K2380" s="176"/>
      <c r="L2380" s="176"/>
      <c r="M2380" s="176"/>
      <c r="N2380" s="176"/>
      <c r="O2380" s="176"/>
      <c r="P2380" s="176"/>
    </row>
    <row r="2381" hidden="1">
      <c r="A2381" s="176"/>
      <c r="B2381" s="176"/>
      <c r="C2381" s="176"/>
      <c r="D2381" s="176"/>
      <c r="E2381" s="176"/>
      <c r="F2381" s="176"/>
      <c r="G2381" s="176"/>
      <c r="H2381" s="176"/>
      <c r="I2381" s="176"/>
      <c r="J2381" s="176"/>
      <c r="K2381" s="176"/>
      <c r="L2381" s="176"/>
      <c r="M2381" s="176"/>
      <c r="N2381" s="176"/>
      <c r="O2381" s="176"/>
      <c r="P2381" s="176"/>
    </row>
    <row r="2382" hidden="1">
      <c r="A2382" s="176"/>
      <c r="B2382" s="176"/>
      <c r="C2382" s="176"/>
      <c r="D2382" s="176"/>
      <c r="E2382" s="176"/>
      <c r="F2382" s="176"/>
      <c r="G2382" s="176"/>
      <c r="H2382" s="176"/>
      <c r="I2382" s="176"/>
      <c r="J2382" s="176"/>
      <c r="K2382" s="176"/>
      <c r="L2382" s="176"/>
      <c r="M2382" s="176"/>
      <c r="N2382" s="176"/>
      <c r="O2382" s="176"/>
      <c r="P2382" s="176"/>
    </row>
    <row r="2383" hidden="1">
      <c r="A2383" s="176"/>
      <c r="B2383" s="176"/>
      <c r="C2383" s="176"/>
      <c r="D2383" s="176"/>
      <c r="E2383" s="176"/>
      <c r="F2383" s="176"/>
      <c r="G2383" s="176"/>
      <c r="H2383" s="176"/>
      <c r="I2383" s="176"/>
      <c r="J2383" s="176"/>
      <c r="K2383" s="176"/>
      <c r="L2383" s="176"/>
      <c r="M2383" s="176"/>
      <c r="N2383" s="176"/>
      <c r="O2383" s="176"/>
      <c r="P2383" s="176"/>
    </row>
    <row r="2384" hidden="1">
      <c r="A2384" s="176"/>
      <c r="B2384" s="176"/>
      <c r="C2384" s="176"/>
      <c r="D2384" s="176"/>
      <c r="E2384" s="176"/>
      <c r="F2384" s="176"/>
      <c r="G2384" s="176"/>
      <c r="H2384" s="176"/>
      <c r="I2384" s="176"/>
      <c r="J2384" s="176"/>
      <c r="K2384" s="176"/>
      <c r="L2384" s="176"/>
      <c r="M2384" s="176"/>
      <c r="N2384" s="176"/>
      <c r="O2384" s="176"/>
      <c r="P2384" s="176"/>
    </row>
    <row r="2385" hidden="1">
      <c r="A2385" s="176"/>
      <c r="B2385" s="176"/>
      <c r="C2385" s="176"/>
      <c r="D2385" s="176"/>
      <c r="E2385" s="176"/>
      <c r="F2385" s="176"/>
      <c r="G2385" s="176"/>
      <c r="H2385" s="176"/>
      <c r="I2385" s="176"/>
      <c r="J2385" s="176"/>
      <c r="K2385" s="176"/>
      <c r="L2385" s="176"/>
      <c r="M2385" s="176"/>
      <c r="N2385" s="176"/>
      <c r="O2385" s="176"/>
      <c r="P2385" s="176"/>
    </row>
    <row r="2386" hidden="1">
      <c r="A2386" s="176"/>
      <c r="B2386" s="176"/>
      <c r="C2386" s="176"/>
      <c r="D2386" s="176"/>
      <c r="E2386" s="176"/>
      <c r="F2386" s="176"/>
      <c r="G2386" s="176"/>
      <c r="H2386" s="176"/>
      <c r="I2386" s="176"/>
      <c r="J2386" s="176"/>
      <c r="K2386" s="176"/>
      <c r="L2386" s="176"/>
      <c r="M2386" s="176"/>
      <c r="N2386" s="176"/>
      <c r="O2386" s="176"/>
      <c r="P2386" s="176"/>
    </row>
    <row r="2387" hidden="1">
      <c r="A2387" s="176"/>
      <c r="B2387" s="176"/>
      <c r="C2387" s="176"/>
      <c r="D2387" s="176"/>
      <c r="E2387" s="176"/>
      <c r="F2387" s="176"/>
      <c r="G2387" s="176"/>
      <c r="H2387" s="176"/>
      <c r="I2387" s="176"/>
      <c r="J2387" s="176"/>
      <c r="K2387" s="176"/>
      <c r="L2387" s="176"/>
      <c r="M2387" s="176"/>
      <c r="N2387" s="176"/>
      <c r="O2387" s="176"/>
      <c r="P2387" s="176"/>
    </row>
    <row r="2388" hidden="1">
      <c r="A2388" s="176"/>
      <c r="B2388" s="176"/>
      <c r="C2388" s="176"/>
      <c r="D2388" s="176"/>
      <c r="E2388" s="176"/>
      <c r="F2388" s="176"/>
      <c r="G2388" s="176"/>
      <c r="H2388" s="176"/>
      <c r="I2388" s="176"/>
      <c r="J2388" s="176"/>
      <c r="K2388" s="176"/>
      <c r="L2388" s="176"/>
      <c r="M2388" s="176"/>
      <c r="N2388" s="176"/>
      <c r="O2388" s="176"/>
      <c r="P2388" s="176"/>
    </row>
    <row r="2389" hidden="1">
      <c r="A2389" s="176"/>
      <c r="B2389" s="176"/>
      <c r="C2389" s="176"/>
      <c r="D2389" s="176"/>
      <c r="E2389" s="176"/>
      <c r="F2389" s="176"/>
      <c r="G2389" s="176"/>
      <c r="H2389" s="176"/>
      <c r="I2389" s="176"/>
      <c r="J2389" s="176"/>
      <c r="K2389" s="176"/>
      <c r="L2389" s="176"/>
      <c r="M2389" s="176"/>
      <c r="N2389" s="176"/>
      <c r="O2389" s="176"/>
      <c r="P2389" s="176"/>
    </row>
    <row r="2390" hidden="1">
      <c r="A2390" s="176"/>
      <c r="B2390" s="176"/>
      <c r="C2390" s="176"/>
      <c r="D2390" s="176"/>
      <c r="E2390" s="176"/>
      <c r="F2390" s="176"/>
      <c r="G2390" s="176"/>
      <c r="H2390" s="176"/>
      <c r="I2390" s="176"/>
      <c r="J2390" s="176"/>
      <c r="K2390" s="176"/>
      <c r="L2390" s="176"/>
      <c r="M2390" s="176"/>
      <c r="N2390" s="176"/>
      <c r="O2390" s="176"/>
      <c r="P2390" s="176"/>
    </row>
    <row r="2391" hidden="1">
      <c r="A2391" s="176"/>
      <c r="B2391" s="176"/>
      <c r="C2391" s="176"/>
      <c r="D2391" s="176"/>
      <c r="E2391" s="176"/>
      <c r="F2391" s="176"/>
      <c r="G2391" s="176"/>
      <c r="H2391" s="176"/>
      <c r="I2391" s="176"/>
      <c r="J2391" s="176"/>
      <c r="K2391" s="176"/>
      <c r="L2391" s="176"/>
      <c r="M2391" s="176"/>
      <c r="N2391" s="176"/>
      <c r="O2391" s="176"/>
      <c r="P2391" s="176"/>
    </row>
    <row r="2392" hidden="1">
      <c r="A2392" s="176"/>
      <c r="B2392" s="176"/>
      <c r="C2392" s="176"/>
      <c r="D2392" s="176"/>
      <c r="E2392" s="176"/>
      <c r="F2392" s="176"/>
      <c r="G2392" s="176"/>
      <c r="H2392" s="176"/>
      <c r="I2392" s="176"/>
      <c r="J2392" s="176"/>
      <c r="K2392" s="176"/>
      <c r="L2392" s="176"/>
      <c r="M2392" s="176"/>
      <c r="N2392" s="176"/>
      <c r="O2392" s="176"/>
      <c r="P2392" s="176"/>
    </row>
    <row r="2393" hidden="1">
      <c r="A2393" s="176"/>
      <c r="B2393" s="176"/>
      <c r="C2393" s="176"/>
      <c r="D2393" s="176"/>
      <c r="E2393" s="176"/>
      <c r="F2393" s="176"/>
      <c r="G2393" s="176"/>
      <c r="H2393" s="176"/>
      <c r="I2393" s="176"/>
      <c r="J2393" s="176"/>
      <c r="K2393" s="176"/>
      <c r="L2393" s="176"/>
      <c r="M2393" s="176"/>
      <c r="N2393" s="176"/>
      <c r="O2393" s="176"/>
      <c r="P2393" s="176"/>
    </row>
    <row r="2394" hidden="1">
      <c r="A2394" s="176"/>
      <c r="B2394" s="176"/>
      <c r="C2394" s="176"/>
      <c r="D2394" s="176"/>
      <c r="E2394" s="176"/>
      <c r="F2394" s="176"/>
      <c r="G2394" s="176"/>
      <c r="H2394" s="176"/>
      <c r="I2394" s="176"/>
      <c r="J2394" s="176"/>
      <c r="K2394" s="176"/>
      <c r="L2394" s="176"/>
      <c r="M2394" s="176"/>
      <c r="N2394" s="176"/>
      <c r="O2394" s="176"/>
      <c r="P2394" s="176"/>
    </row>
    <row r="2395" hidden="1">
      <c r="A2395" s="176"/>
      <c r="B2395" s="176"/>
      <c r="C2395" s="176"/>
      <c r="D2395" s="176"/>
      <c r="E2395" s="176"/>
      <c r="F2395" s="176"/>
      <c r="G2395" s="176"/>
      <c r="H2395" s="176"/>
      <c r="I2395" s="176"/>
      <c r="J2395" s="176"/>
      <c r="K2395" s="176"/>
      <c r="L2395" s="176"/>
      <c r="M2395" s="176"/>
      <c r="N2395" s="176"/>
      <c r="O2395" s="176"/>
      <c r="P2395" s="176"/>
    </row>
    <row r="2396" hidden="1">
      <c r="A2396" s="176"/>
      <c r="B2396" s="176"/>
      <c r="C2396" s="176"/>
      <c r="D2396" s="176"/>
      <c r="E2396" s="176"/>
      <c r="F2396" s="176"/>
      <c r="G2396" s="176"/>
      <c r="H2396" s="176"/>
      <c r="I2396" s="176"/>
      <c r="J2396" s="176"/>
      <c r="K2396" s="176"/>
      <c r="L2396" s="176"/>
      <c r="M2396" s="176"/>
      <c r="N2396" s="176"/>
      <c r="O2396" s="176"/>
      <c r="P2396" s="176"/>
    </row>
    <row r="2397" hidden="1">
      <c r="A2397" s="176"/>
      <c r="B2397" s="176"/>
      <c r="C2397" s="176"/>
      <c r="D2397" s="176"/>
      <c r="E2397" s="176"/>
      <c r="F2397" s="176"/>
      <c r="G2397" s="176"/>
      <c r="H2397" s="176"/>
      <c r="I2397" s="176"/>
      <c r="J2397" s="176"/>
      <c r="K2397" s="176"/>
      <c r="L2397" s="176"/>
      <c r="M2397" s="176"/>
      <c r="N2397" s="176"/>
      <c r="O2397" s="176"/>
      <c r="P2397" s="176"/>
    </row>
    <row r="2398" hidden="1">
      <c r="A2398" s="176"/>
      <c r="B2398" s="176"/>
      <c r="C2398" s="176"/>
      <c r="D2398" s="176"/>
      <c r="E2398" s="176"/>
      <c r="F2398" s="176"/>
      <c r="G2398" s="176"/>
      <c r="H2398" s="176"/>
      <c r="I2398" s="176"/>
      <c r="J2398" s="176"/>
      <c r="K2398" s="176"/>
      <c r="L2398" s="176"/>
      <c r="M2398" s="176"/>
      <c r="N2398" s="176"/>
      <c r="O2398" s="176"/>
      <c r="P2398" s="176"/>
    </row>
    <row r="2399" hidden="1">
      <c r="A2399" s="176"/>
      <c r="B2399" s="176"/>
      <c r="C2399" s="176"/>
      <c r="D2399" s="176"/>
      <c r="E2399" s="176"/>
      <c r="F2399" s="176"/>
      <c r="G2399" s="176"/>
      <c r="H2399" s="176"/>
      <c r="I2399" s="176"/>
      <c r="J2399" s="176"/>
      <c r="K2399" s="176"/>
      <c r="L2399" s="176"/>
      <c r="M2399" s="176"/>
      <c r="N2399" s="176"/>
      <c r="O2399" s="176"/>
      <c r="P2399" s="176"/>
    </row>
    <row r="2400" hidden="1">
      <c r="A2400" s="176"/>
      <c r="B2400" s="176"/>
      <c r="C2400" s="176"/>
      <c r="D2400" s="176"/>
      <c r="E2400" s="176"/>
      <c r="F2400" s="176"/>
      <c r="G2400" s="176"/>
      <c r="H2400" s="176"/>
      <c r="I2400" s="176"/>
      <c r="J2400" s="176"/>
      <c r="K2400" s="176"/>
      <c r="L2400" s="176"/>
      <c r="M2400" s="176"/>
      <c r="N2400" s="176"/>
      <c r="O2400" s="176"/>
      <c r="P2400" s="176"/>
    </row>
    <row r="2401" hidden="1">
      <c r="A2401" s="176"/>
      <c r="B2401" s="176"/>
      <c r="C2401" s="176"/>
      <c r="D2401" s="176"/>
      <c r="E2401" s="176"/>
      <c r="F2401" s="176"/>
      <c r="G2401" s="176"/>
      <c r="H2401" s="176"/>
      <c r="I2401" s="176"/>
      <c r="J2401" s="176"/>
      <c r="K2401" s="176"/>
      <c r="L2401" s="176"/>
      <c r="M2401" s="176"/>
      <c r="N2401" s="176"/>
      <c r="O2401" s="176"/>
      <c r="P2401" s="176"/>
    </row>
    <row r="2402" hidden="1">
      <c r="A2402" s="176"/>
      <c r="B2402" s="176"/>
      <c r="C2402" s="176"/>
      <c r="D2402" s="176"/>
      <c r="E2402" s="176"/>
      <c r="F2402" s="176"/>
      <c r="G2402" s="176"/>
      <c r="H2402" s="176"/>
      <c r="I2402" s="176"/>
      <c r="J2402" s="176"/>
      <c r="K2402" s="176"/>
      <c r="L2402" s="176"/>
      <c r="M2402" s="176"/>
      <c r="N2402" s="176"/>
      <c r="O2402" s="176"/>
      <c r="P2402" s="176"/>
    </row>
    <row r="2403" hidden="1">
      <c r="A2403" s="176"/>
      <c r="B2403" s="176"/>
      <c r="C2403" s="176"/>
      <c r="D2403" s="176"/>
      <c r="E2403" s="176"/>
      <c r="F2403" s="176"/>
      <c r="G2403" s="176"/>
      <c r="H2403" s="176"/>
      <c r="I2403" s="176"/>
      <c r="J2403" s="176"/>
      <c r="K2403" s="176"/>
      <c r="L2403" s="176"/>
      <c r="M2403" s="176"/>
      <c r="N2403" s="176"/>
      <c r="O2403" s="176"/>
      <c r="P2403" s="176"/>
    </row>
    <row r="2404" hidden="1">
      <c r="A2404" s="176"/>
      <c r="B2404" s="176"/>
      <c r="C2404" s="176"/>
      <c r="D2404" s="176"/>
      <c r="E2404" s="176"/>
      <c r="F2404" s="176"/>
      <c r="G2404" s="176"/>
      <c r="H2404" s="176"/>
      <c r="I2404" s="176"/>
      <c r="J2404" s="176"/>
      <c r="K2404" s="176"/>
      <c r="L2404" s="176"/>
      <c r="M2404" s="176"/>
      <c r="N2404" s="176"/>
      <c r="O2404" s="176"/>
      <c r="P2404" s="176"/>
    </row>
    <row r="2405" hidden="1">
      <c r="A2405" s="176"/>
      <c r="B2405" s="176"/>
      <c r="C2405" s="176"/>
      <c r="D2405" s="176"/>
      <c r="E2405" s="176"/>
      <c r="F2405" s="176"/>
      <c r="G2405" s="176"/>
      <c r="H2405" s="176"/>
      <c r="I2405" s="176"/>
      <c r="J2405" s="176"/>
      <c r="K2405" s="176"/>
      <c r="L2405" s="176"/>
      <c r="M2405" s="176"/>
      <c r="N2405" s="176"/>
      <c r="O2405" s="176"/>
      <c r="P2405" s="176"/>
    </row>
    <row r="2406" hidden="1">
      <c r="A2406" s="176"/>
      <c r="B2406" s="176"/>
      <c r="C2406" s="176"/>
      <c r="D2406" s="176"/>
      <c r="E2406" s="176"/>
      <c r="F2406" s="176"/>
      <c r="G2406" s="176"/>
      <c r="H2406" s="176"/>
      <c r="I2406" s="176"/>
      <c r="J2406" s="176"/>
      <c r="K2406" s="176"/>
      <c r="L2406" s="176"/>
      <c r="M2406" s="176"/>
      <c r="N2406" s="176"/>
      <c r="O2406" s="176"/>
      <c r="P2406" s="176"/>
    </row>
    <row r="2407" hidden="1">
      <c r="A2407" s="176"/>
      <c r="B2407" s="176"/>
      <c r="C2407" s="176"/>
      <c r="D2407" s="176"/>
      <c r="E2407" s="176"/>
      <c r="F2407" s="176"/>
      <c r="G2407" s="176"/>
      <c r="H2407" s="176"/>
      <c r="I2407" s="176"/>
      <c r="J2407" s="176"/>
      <c r="K2407" s="176"/>
      <c r="L2407" s="176"/>
      <c r="M2407" s="176"/>
      <c r="N2407" s="176"/>
      <c r="O2407" s="176"/>
      <c r="P2407" s="176"/>
    </row>
    <row r="2408" hidden="1">
      <c r="A2408" s="176"/>
      <c r="B2408" s="176"/>
      <c r="C2408" s="176"/>
      <c r="D2408" s="176"/>
      <c r="E2408" s="176"/>
      <c r="F2408" s="176"/>
      <c r="G2408" s="176"/>
      <c r="H2408" s="176"/>
      <c r="I2408" s="176"/>
      <c r="J2408" s="176"/>
      <c r="K2408" s="176"/>
      <c r="L2408" s="176"/>
      <c r="M2408" s="176"/>
      <c r="N2408" s="176"/>
      <c r="O2408" s="176"/>
      <c r="P2408" s="176"/>
    </row>
    <row r="2409" hidden="1">
      <c r="A2409" s="176"/>
      <c r="B2409" s="176"/>
      <c r="C2409" s="176"/>
      <c r="D2409" s="176"/>
      <c r="E2409" s="176"/>
      <c r="F2409" s="176"/>
      <c r="G2409" s="176"/>
      <c r="H2409" s="176"/>
      <c r="I2409" s="176"/>
      <c r="J2409" s="176"/>
      <c r="K2409" s="176"/>
      <c r="L2409" s="176"/>
      <c r="M2409" s="176"/>
      <c r="N2409" s="176"/>
      <c r="O2409" s="176"/>
      <c r="P2409" s="176"/>
    </row>
    <row r="2410" hidden="1">
      <c r="A2410" s="176"/>
      <c r="B2410" s="176"/>
      <c r="C2410" s="176"/>
      <c r="D2410" s="176"/>
      <c r="E2410" s="176"/>
      <c r="F2410" s="176"/>
      <c r="G2410" s="176"/>
      <c r="H2410" s="176"/>
      <c r="I2410" s="176"/>
      <c r="J2410" s="176"/>
      <c r="K2410" s="176"/>
      <c r="L2410" s="176"/>
      <c r="M2410" s="176"/>
      <c r="N2410" s="176"/>
      <c r="O2410" s="176"/>
      <c r="P2410" s="176"/>
    </row>
    <row r="2411" hidden="1">
      <c r="A2411" s="176"/>
      <c r="B2411" s="176"/>
      <c r="C2411" s="176"/>
      <c r="D2411" s="176"/>
      <c r="E2411" s="176"/>
      <c r="F2411" s="176"/>
      <c r="G2411" s="176"/>
      <c r="H2411" s="176"/>
      <c r="I2411" s="176"/>
      <c r="J2411" s="176"/>
      <c r="K2411" s="176"/>
      <c r="L2411" s="176"/>
      <c r="M2411" s="176"/>
      <c r="N2411" s="176"/>
      <c r="O2411" s="176"/>
      <c r="P2411" s="176"/>
    </row>
    <row r="2412" hidden="1">
      <c r="A2412" s="176"/>
      <c r="B2412" s="176"/>
      <c r="C2412" s="176"/>
      <c r="D2412" s="176"/>
      <c r="E2412" s="176"/>
      <c r="F2412" s="176"/>
      <c r="G2412" s="176"/>
      <c r="H2412" s="176"/>
      <c r="I2412" s="176"/>
      <c r="J2412" s="176"/>
      <c r="K2412" s="176"/>
      <c r="L2412" s="176"/>
      <c r="M2412" s="176"/>
      <c r="N2412" s="176"/>
      <c r="O2412" s="176"/>
      <c r="P2412" s="176"/>
    </row>
    <row r="2413" hidden="1">
      <c r="A2413" s="176"/>
      <c r="B2413" s="176"/>
      <c r="C2413" s="176"/>
      <c r="D2413" s="176"/>
      <c r="E2413" s="176"/>
      <c r="F2413" s="176"/>
      <c r="G2413" s="176"/>
      <c r="H2413" s="176"/>
      <c r="I2413" s="176"/>
      <c r="J2413" s="176"/>
      <c r="K2413" s="176"/>
      <c r="L2413" s="176"/>
      <c r="M2413" s="176"/>
      <c r="N2413" s="176"/>
      <c r="O2413" s="176"/>
      <c r="P2413" s="176"/>
    </row>
    <row r="2414" hidden="1">
      <c r="A2414" s="176"/>
      <c r="B2414" s="176"/>
      <c r="C2414" s="176"/>
      <c r="D2414" s="176"/>
      <c r="E2414" s="176"/>
      <c r="F2414" s="176"/>
      <c r="G2414" s="176"/>
      <c r="H2414" s="176"/>
      <c r="I2414" s="176"/>
      <c r="J2414" s="176"/>
      <c r="K2414" s="176"/>
      <c r="L2414" s="176"/>
      <c r="M2414" s="176"/>
      <c r="N2414" s="176"/>
      <c r="O2414" s="176"/>
      <c r="P2414" s="176"/>
    </row>
    <row r="2415" hidden="1">
      <c r="A2415" s="176"/>
      <c r="B2415" s="176"/>
      <c r="C2415" s="176"/>
      <c r="D2415" s="176"/>
      <c r="E2415" s="176"/>
      <c r="F2415" s="176"/>
      <c r="G2415" s="176"/>
      <c r="H2415" s="176"/>
      <c r="I2415" s="176"/>
      <c r="J2415" s="176"/>
      <c r="K2415" s="176"/>
      <c r="L2415" s="176"/>
      <c r="M2415" s="176"/>
      <c r="N2415" s="176"/>
      <c r="O2415" s="176"/>
      <c r="P2415" s="176"/>
    </row>
    <row r="2416" hidden="1">
      <c r="A2416" s="176"/>
      <c r="B2416" s="176"/>
      <c r="C2416" s="176"/>
      <c r="D2416" s="176"/>
      <c r="E2416" s="176"/>
      <c r="F2416" s="176"/>
      <c r="G2416" s="176"/>
      <c r="H2416" s="176"/>
      <c r="I2416" s="176"/>
      <c r="J2416" s="176"/>
      <c r="K2416" s="176"/>
      <c r="L2416" s="176"/>
      <c r="M2416" s="176"/>
      <c r="N2416" s="176"/>
      <c r="O2416" s="176"/>
      <c r="P2416" s="176"/>
    </row>
    <row r="2417" hidden="1">
      <c r="A2417" s="176"/>
      <c r="B2417" s="176"/>
      <c r="C2417" s="176"/>
      <c r="D2417" s="176"/>
      <c r="E2417" s="176"/>
      <c r="F2417" s="176"/>
      <c r="G2417" s="176"/>
      <c r="H2417" s="176"/>
      <c r="I2417" s="176"/>
      <c r="J2417" s="176"/>
      <c r="K2417" s="176"/>
      <c r="L2417" s="176"/>
      <c r="M2417" s="176"/>
      <c r="N2417" s="176"/>
      <c r="O2417" s="176"/>
      <c r="P2417" s="176"/>
    </row>
    <row r="2418" hidden="1">
      <c r="A2418" s="176"/>
      <c r="B2418" s="176"/>
      <c r="C2418" s="176"/>
      <c r="D2418" s="176"/>
      <c r="E2418" s="176"/>
      <c r="F2418" s="176"/>
      <c r="G2418" s="176"/>
      <c r="H2418" s="176"/>
      <c r="I2418" s="176"/>
      <c r="J2418" s="176"/>
      <c r="K2418" s="176"/>
      <c r="L2418" s="176"/>
      <c r="M2418" s="176"/>
      <c r="N2418" s="176"/>
      <c r="O2418" s="176"/>
      <c r="P2418" s="176"/>
    </row>
    <row r="2419" hidden="1">
      <c r="A2419" s="176"/>
      <c r="B2419" s="176"/>
      <c r="C2419" s="176"/>
      <c r="D2419" s="176"/>
      <c r="E2419" s="176"/>
      <c r="F2419" s="176"/>
      <c r="G2419" s="176"/>
      <c r="H2419" s="176"/>
      <c r="I2419" s="176"/>
      <c r="J2419" s="176"/>
      <c r="K2419" s="176"/>
      <c r="L2419" s="176"/>
      <c r="M2419" s="176"/>
      <c r="N2419" s="176"/>
      <c r="O2419" s="176"/>
      <c r="P2419" s="176"/>
    </row>
    <row r="2420" hidden="1">
      <c r="A2420" s="176"/>
      <c r="B2420" s="176"/>
      <c r="C2420" s="176"/>
      <c r="D2420" s="176"/>
      <c r="E2420" s="176"/>
      <c r="F2420" s="176"/>
      <c r="G2420" s="176"/>
      <c r="H2420" s="176"/>
      <c r="I2420" s="176"/>
      <c r="J2420" s="176"/>
      <c r="K2420" s="176"/>
      <c r="L2420" s="176"/>
      <c r="M2420" s="176"/>
      <c r="N2420" s="176"/>
      <c r="O2420" s="176"/>
      <c r="P2420" s="176"/>
    </row>
    <row r="2421" hidden="1">
      <c r="A2421" s="176"/>
      <c r="B2421" s="176"/>
      <c r="C2421" s="176"/>
      <c r="D2421" s="176"/>
      <c r="E2421" s="176"/>
      <c r="F2421" s="176"/>
      <c r="G2421" s="176"/>
      <c r="H2421" s="176"/>
      <c r="I2421" s="176"/>
      <c r="J2421" s="176"/>
      <c r="K2421" s="176"/>
      <c r="L2421" s="176"/>
      <c r="M2421" s="176"/>
      <c r="N2421" s="176"/>
      <c r="O2421" s="176"/>
      <c r="P2421" s="176"/>
    </row>
    <row r="2422" hidden="1">
      <c r="A2422" s="176"/>
      <c r="B2422" s="176"/>
      <c r="C2422" s="176"/>
      <c r="D2422" s="176"/>
      <c r="E2422" s="176"/>
      <c r="F2422" s="176"/>
      <c r="G2422" s="176"/>
      <c r="H2422" s="176"/>
      <c r="I2422" s="176"/>
      <c r="J2422" s="176"/>
      <c r="K2422" s="176"/>
      <c r="L2422" s="176"/>
      <c r="M2422" s="176"/>
      <c r="N2422" s="176"/>
      <c r="O2422" s="176"/>
      <c r="P2422" s="176"/>
    </row>
    <row r="2423" hidden="1">
      <c r="A2423" s="176"/>
      <c r="B2423" s="176"/>
      <c r="C2423" s="176"/>
      <c r="D2423" s="176"/>
      <c r="E2423" s="176"/>
      <c r="F2423" s="176"/>
      <c r="G2423" s="176"/>
      <c r="H2423" s="176"/>
      <c r="I2423" s="176"/>
      <c r="J2423" s="176"/>
      <c r="K2423" s="176"/>
      <c r="L2423" s="176"/>
      <c r="M2423" s="176"/>
      <c r="N2423" s="176"/>
      <c r="O2423" s="176"/>
      <c r="P2423" s="176"/>
    </row>
    <row r="2424" hidden="1">
      <c r="A2424" s="176"/>
      <c r="B2424" s="176"/>
      <c r="C2424" s="176"/>
      <c r="D2424" s="176"/>
      <c r="E2424" s="176"/>
      <c r="F2424" s="176"/>
      <c r="G2424" s="176"/>
      <c r="H2424" s="176"/>
      <c r="I2424" s="176"/>
      <c r="J2424" s="176"/>
      <c r="K2424" s="176"/>
      <c r="L2424" s="176"/>
      <c r="M2424" s="176"/>
      <c r="N2424" s="176"/>
      <c r="O2424" s="176"/>
      <c r="P2424" s="176"/>
    </row>
    <row r="2425" hidden="1">
      <c r="A2425" s="176"/>
      <c r="B2425" s="176"/>
      <c r="C2425" s="176"/>
      <c r="D2425" s="176"/>
      <c r="E2425" s="176"/>
      <c r="F2425" s="176"/>
      <c r="G2425" s="176"/>
      <c r="H2425" s="176"/>
      <c r="I2425" s="176"/>
      <c r="J2425" s="176"/>
      <c r="K2425" s="176"/>
      <c r="L2425" s="176"/>
      <c r="M2425" s="176"/>
      <c r="N2425" s="176"/>
      <c r="O2425" s="176"/>
      <c r="P2425" s="176"/>
    </row>
    <row r="2426" hidden="1">
      <c r="A2426" s="176"/>
      <c r="B2426" s="176"/>
      <c r="C2426" s="176"/>
      <c r="D2426" s="176"/>
      <c r="E2426" s="176"/>
      <c r="F2426" s="176"/>
      <c r="G2426" s="176"/>
      <c r="H2426" s="176"/>
      <c r="I2426" s="176"/>
      <c r="J2426" s="176"/>
      <c r="K2426" s="176"/>
      <c r="L2426" s="176"/>
      <c r="M2426" s="176"/>
      <c r="N2426" s="176"/>
      <c r="O2426" s="176"/>
      <c r="P2426" s="176"/>
    </row>
    <row r="2427" hidden="1">
      <c r="A2427" s="176"/>
      <c r="B2427" s="176"/>
      <c r="C2427" s="176"/>
      <c r="D2427" s="176"/>
      <c r="E2427" s="176"/>
      <c r="F2427" s="176"/>
      <c r="G2427" s="176"/>
      <c r="H2427" s="176"/>
      <c r="I2427" s="176"/>
      <c r="J2427" s="176"/>
      <c r="K2427" s="176"/>
      <c r="L2427" s="176"/>
      <c r="M2427" s="176"/>
      <c r="N2427" s="176"/>
      <c r="O2427" s="176"/>
      <c r="P2427" s="176"/>
    </row>
    <row r="2428" hidden="1">
      <c r="A2428" s="176"/>
      <c r="B2428" s="176"/>
      <c r="C2428" s="176"/>
      <c r="D2428" s="176"/>
      <c r="E2428" s="176"/>
      <c r="F2428" s="176"/>
      <c r="G2428" s="176"/>
      <c r="H2428" s="176"/>
      <c r="I2428" s="176"/>
      <c r="J2428" s="176"/>
      <c r="K2428" s="176"/>
      <c r="L2428" s="176"/>
      <c r="M2428" s="176"/>
      <c r="N2428" s="176"/>
      <c r="O2428" s="176"/>
      <c r="P2428" s="176"/>
    </row>
    <row r="2429" hidden="1">
      <c r="A2429" s="176"/>
      <c r="B2429" s="176"/>
      <c r="C2429" s="176"/>
      <c r="D2429" s="176"/>
      <c r="E2429" s="176"/>
      <c r="F2429" s="176"/>
      <c r="G2429" s="176"/>
      <c r="H2429" s="176"/>
      <c r="I2429" s="176"/>
      <c r="J2429" s="176"/>
      <c r="K2429" s="176"/>
      <c r="L2429" s="176"/>
      <c r="M2429" s="176"/>
      <c r="N2429" s="176"/>
      <c r="O2429" s="176"/>
      <c r="P2429" s="176"/>
    </row>
    <row r="2430" hidden="1">
      <c r="A2430" s="176"/>
      <c r="B2430" s="176"/>
      <c r="C2430" s="176"/>
      <c r="D2430" s="176"/>
      <c r="E2430" s="176"/>
      <c r="F2430" s="176"/>
      <c r="G2430" s="176"/>
      <c r="H2430" s="176"/>
      <c r="I2430" s="176"/>
      <c r="J2430" s="176"/>
      <c r="K2430" s="176"/>
      <c r="L2430" s="176"/>
      <c r="M2430" s="176"/>
      <c r="N2430" s="176"/>
      <c r="O2430" s="176"/>
      <c r="P2430" s="176"/>
    </row>
    <row r="2431" hidden="1">
      <c r="A2431" s="176"/>
      <c r="B2431" s="176"/>
      <c r="C2431" s="176"/>
      <c r="D2431" s="176"/>
      <c r="E2431" s="176"/>
      <c r="F2431" s="176"/>
      <c r="G2431" s="176"/>
      <c r="H2431" s="176"/>
      <c r="I2431" s="176"/>
      <c r="J2431" s="176"/>
      <c r="K2431" s="176"/>
      <c r="L2431" s="176"/>
      <c r="M2431" s="176"/>
      <c r="N2431" s="176"/>
      <c r="O2431" s="176"/>
      <c r="P2431" s="176"/>
    </row>
    <row r="2432" hidden="1">
      <c r="A2432" s="176"/>
      <c r="B2432" s="176"/>
      <c r="C2432" s="176"/>
      <c r="D2432" s="176"/>
      <c r="E2432" s="176"/>
      <c r="F2432" s="176"/>
      <c r="G2432" s="176"/>
      <c r="H2432" s="176"/>
      <c r="I2432" s="176"/>
      <c r="J2432" s="176"/>
      <c r="K2432" s="176"/>
      <c r="L2432" s="176"/>
      <c r="M2432" s="176"/>
      <c r="N2432" s="176"/>
      <c r="O2432" s="176"/>
      <c r="P2432" s="176"/>
    </row>
    <row r="2433" hidden="1">
      <c r="A2433" s="176"/>
      <c r="B2433" s="176"/>
      <c r="C2433" s="176"/>
      <c r="D2433" s="176"/>
      <c r="E2433" s="176"/>
      <c r="F2433" s="176"/>
      <c r="G2433" s="176"/>
      <c r="H2433" s="176"/>
      <c r="I2433" s="176"/>
      <c r="J2433" s="176"/>
      <c r="K2433" s="176"/>
      <c r="L2433" s="176"/>
      <c r="M2433" s="176"/>
      <c r="N2433" s="176"/>
      <c r="O2433" s="176"/>
      <c r="P2433" s="176"/>
    </row>
    <row r="2434" hidden="1">
      <c r="A2434" s="176"/>
      <c r="B2434" s="176"/>
      <c r="C2434" s="176"/>
      <c r="D2434" s="176"/>
      <c r="E2434" s="176"/>
      <c r="F2434" s="176"/>
      <c r="G2434" s="176"/>
      <c r="H2434" s="176"/>
      <c r="I2434" s="176"/>
      <c r="J2434" s="176"/>
      <c r="K2434" s="176"/>
      <c r="L2434" s="176"/>
      <c r="M2434" s="176"/>
      <c r="N2434" s="176"/>
      <c r="O2434" s="176"/>
      <c r="P2434" s="176"/>
    </row>
    <row r="2435" hidden="1">
      <c r="A2435" s="176"/>
      <c r="B2435" s="176"/>
      <c r="C2435" s="176"/>
      <c r="D2435" s="176"/>
      <c r="E2435" s="176"/>
      <c r="F2435" s="176"/>
      <c r="G2435" s="176"/>
      <c r="H2435" s="176"/>
      <c r="I2435" s="176"/>
      <c r="J2435" s="176"/>
      <c r="K2435" s="176"/>
      <c r="L2435" s="176"/>
      <c r="M2435" s="176"/>
      <c r="N2435" s="176"/>
      <c r="O2435" s="176"/>
      <c r="P2435" s="176"/>
    </row>
    <row r="2436" hidden="1">
      <c r="A2436" s="176"/>
      <c r="B2436" s="176"/>
      <c r="C2436" s="176"/>
      <c r="D2436" s="176"/>
      <c r="E2436" s="176"/>
      <c r="F2436" s="176"/>
      <c r="G2436" s="176"/>
      <c r="H2436" s="176"/>
      <c r="I2436" s="176"/>
      <c r="J2436" s="176"/>
      <c r="K2436" s="176"/>
      <c r="L2436" s="176"/>
      <c r="M2436" s="176"/>
      <c r="N2436" s="176"/>
      <c r="O2436" s="176"/>
      <c r="P2436" s="176"/>
    </row>
    <row r="2437" hidden="1">
      <c r="A2437" s="176"/>
      <c r="B2437" s="176"/>
      <c r="C2437" s="176"/>
      <c r="D2437" s="176"/>
      <c r="E2437" s="176"/>
      <c r="F2437" s="176"/>
      <c r="G2437" s="176"/>
      <c r="H2437" s="176"/>
      <c r="I2437" s="176"/>
      <c r="J2437" s="176"/>
      <c r="K2437" s="176"/>
      <c r="L2437" s="176"/>
      <c r="M2437" s="176"/>
      <c r="N2437" s="176"/>
      <c r="O2437" s="176"/>
      <c r="P2437" s="176"/>
    </row>
    <row r="2438" hidden="1">
      <c r="A2438" s="176"/>
      <c r="B2438" s="176"/>
      <c r="C2438" s="176"/>
      <c r="D2438" s="176"/>
      <c r="E2438" s="176"/>
      <c r="F2438" s="176"/>
      <c r="G2438" s="176"/>
      <c r="H2438" s="176"/>
      <c r="I2438" s="176"/>
      <c r="J2438" s="176"/>
      <c r="K2438" s="176"/>
      <c r="L2438" s="176"/>
      <c r="M2438" s="176"/>
      <c r="N2438" s="176"/>
      <c r="O2438" s="176"/>
      <c r="P2438" s="176"/>
    </row>
    <row r="2439" hidden="1">
      <c r="A2439" s="176"/>
      <c r="B2439" s="176"/>
      <c r="C2439" s="176"/>
      <c r="D2439" s="176"/>
      <c r="E2439" s="176"/>
      <c r="F2439" s="176"/>
      <c r="G2439" s="176"/>
      <c r="H2439" s="176"/>
      <c r="I2439" s="176"/>
      <c r="J2439" s="176"/>
      <c r="K2439" s="176"/>
      <c r="L2439" s="176"/>
      <c r="M2439" s="176"/>
      <c r="N2439" s="176"/>
      <c r="O2439" s="176"/>
      <c r="P2439" s="176"/>
    </row>
    <row r="2440" hidden="1">
      <c r="A2440" s="176"/>
      <c r="B2440" s="176"/>
      <c r="C2440" s="176"/>
      <c r="D2440" s="176"/>
      <c r="E2440" s="176"/>
      <c r="F2440" s="176"/>
      <c r="G2440" s="176"/>
      <c r="H2440" s="176"/>
      <c r="I2440" s="176"/>
      <c r="J2440" s="176"/>
      <c r="K2440" s="176"/>
      <c r="L2440" s="176"/>
      <c r="M2440" s="176"/>
      <c r="N2440" s="176"/>
      <c r="O2440" s="176"/>
      <c r="P2440" s="176"/>
    </row>
    <row r="2441" hidden="1">
      <c r="A2441" s="176"/>
      <c r="B2441" s="176"/>
      <c r="C2441" s="176"/>
      <c r="D2441" s="176"/>
      <c r="E2441" s="176"/>
      <c r="F2441" s="176"/>
      <c r="G2441" s="176"/>
      <c r="H2441" s="176"/>
      <c r="I2441" s="176"/>
      <c r="J2441" s="176"/>
      <c r="K2441" s="176"/>
      <c r="L2441" s="176"/>
      <c r="M2441" s="176"/>
      <c r="N2441" s="176"/>
      <c r="O2441" s="176"/>
      <c r="P2441" s="176"/>
    </row>
    <row r="2442" hidden="1">
      <c r="A2442" s="176"/>
      <c r="B2442" s="176"/>
      <c r="C2442" s="176"/>
      <c r="D2442" s="176"/>
      <c r="E2442" s="176"/>
      <c r="F2442" s="176"/>
      <c r="G2442" s="176"/>
      <c r="H2442" s="176"/>
      <c r="I2442" s="176"/>
      <c r="J2442" s="176"/>
      <c r="K2442" s="176"/>
      <c r="L2442" s="176"/>
      <c r="M2442" s="176"/>
      <c r="N2442" s="176"/>
      <c r="O2442" s="176"/>
      <c r="P2442" s="176"/>
    </row>
    <row r="2443" hidden="1">
      <c r="A2443" s="176"/>
      <c r="B2443" s="176"/>
      <c r="C2443" s="176"/>
      <c r="D2443" s="176"/>
      <c r="E2443" s="176"/>
      <c r="F2443" s="176"/>
      <c r="G2443" s="176"/>
      <c r="H2443" s="176"/>
      <c r="I2443" s="176"/>
      <c r="J2443" s="176"/>
      <c r="K2443" s="176"/>
      <c r="L2443" s="176"/>
      <c r="M2443" s="176"/>
      <c r="N2443" s="176"/>
      <c r="O2443" s="176"/>
      <c r="P2443" s="176"/>
    </row>
    <row r="2444" hidden="1">
      <c r="A2444" s="176"/>
      <c r="B2444" s="176"/>
      <c r="C2444" s="176"/>
      <c r="D2444" s="176"/>
      <c r="E2444" s="176"/>
      <c r="F2444" s="176"/>
      <c r="G2444" s="176"/>
      <c r="H2444" s="176"/>
      <c r="I2444" s="176"/>
      <c r="J2444" s="176"/>
      <c r="K2444" s="176"/>
      <c r="L2444" s="176"/>
      <c r="M2444" s="176"/>
      <c r="N2444" s="176"/>
      <c r="O2444" s="176"/>
      <c r="P2444" s="176"/>
    </row>
    <row r="2445" hidden="1">
      <c r="A2445" s="176"/>
      <c r="B2445" s="176"/>
      <c r="C2445" s="176"/>
      <c r="D2445" s="176"/>
      <c r="E2445" s="176"/>
      <c r="F2445" s="176"/>
      <c r="G2445" s="176"/>
      <c r="H2445" s="176"/>
      <c r="I2445" s="176"/>
      <c r="J2445" s="176"/>
      <c r="K2445" s="176"/>
      <c r="L2445" s="176"/>
      <c r="M2445" s="176"/>
      <c r="N2445" s="176"/>
      <c r="O2445" s="176"/>
      <c r="P2445" s="176"/>
    </row>
    <row r="2446" hidden="1">
      <c r="A2446" s="176"/>
      <c r="B2446" s="176"/>
      <c r="C2446" s="176"/>
      <c r="D2446" s="176"/>
      <c r="E2446" s="176"/>
      <c r="F2446" s="176"/>
      <c r="G2446" s="176"/>
      <c r="H2446" s="176"/>
      <c r="I2446" s="176"/>
      <c r="J2446" s="176"/>
      <c r="K2446" s="176"/>
      <c r="L2446" s="176"/>
      <c r="M2446" s="176"/>
      <c r="N2446" s="176"/>
      <c r="O2446" s="176"/>
      <c r="P2446" s="176"/>
    </row>
    <row r="2447" hidden="1">
      <c r="A2447" s="176"/>
      <c r="B2447" s="176"/>
      <c r="C2447" s="176"/>
      <c r="D2447" s="176"/>
      <c r="E2447" s="176"/>
      <c r="F2447" s="176"/>
      <c r="G2447" s="176"/>
      <c r="H2447" s="176"/>
      <c r="I2447" s="176"/>
      <c r="J2447" s="176"/>
      <c r="K2447" s="176"/>
      <c r="L2447" s="176"/>
      <c r="M2447" s="176"/>
      <c r="N2447" s="176"/>
      <c r="O2447" s="176"/>
      <c r="P2447" s="176"/>
    </row>
    <row r="2448" hidden="1">
      <c r="A2448" s="176"/>
      <c r="B2448" s="176"/>
      <c r="C2448" s="176"/>
      <c r="D2448" s="176"/>
      <c r="E2448" s="176"/>
      <c r="F2448" s="176"/>
      <c r="G2448" s="176"/>
      <c r="H2448" s="176"/>
      <c r="I2448" s="176"/>
      <c r="J2448" s="176"/>
      <c r="K2448" s="176"/>
      <c r="L2448" s="176"/>
      <c r="M2448" s="176"/>
      <c r="N2448" s="176"/>
      <c r="O2448" s="176"/>
      <c r="P2448" s="176"/>
    </row>
    <row r="2449" hidden="1">
      <c r="A2449" s="176"/>
      <c r="B2449" s="176"/>
      <c r="C2449" s="176"/>
      <c r="D2449" s="176"/>
      <c r="E2449" s="176"/>
      <c r="F2449" s="176"/>
      <c r="G2449" s="176"/>
      <c r="H2449" s="176"/>
      <c r="I2449" s="176"/>
      <c r="J2449" s="176"/>
      <c r="K2449" s="176"/>
      <c r="L2449" s="176"/>
      <c r="M2449" s="176"/>
      <c r="N2449" s="176"/>
      <c r="O2449" s="176"/>
      <c r="P2449" s="176"/>
    </row>
    <row r="2450" hidden="1">
      <c r="A2450" s="176"/>
      <c r="B2450" s="176"/>
      <c r="C2450" s="176"/>
      <c r="D2450" s="176"/>
      <c r="E2450" s="176"/>
      <c r="F2450" s="176"/>
      <c r="G2450" s="176"/>
      <c r="H2450" s="176"/>
      <c r="I2450" s="176"/>
      <c r="J2450" s="176"/>
      <c r="K2450" s="176"/>
      <c r="L2450" s="176"/>
      <c r="M2450" s="176"/>
      <c r="N2450" s="176"/>
      <c r="O2450" s="176"/>
      <c r="P2450" s="176"/>
    </row>
    <row r="2451" hidden="1">
      <c r="A2451" s="176"/>
      <c r="B2451" s="176"/>
      <c r="C2451" s="176"/>
      <c r="D2451" s="176"/>
      <c r="E2451" s="176"/>
      <c r="F2451" s="176"/>
      <c r="G2451" s="176"/>
      <c r="H2451" s="176"/>
      <c r="I2451" s="176"/>
      <c r="J2451" s="176"/>
      <c r="K2451" s="176"/>
      <c r="L2451" s="176"/>
      <c r="M2451" s="176"/>
      <c r="N2451" s="176"/>
      <c r="O2451" s="176"/>
      <c r="P2451" s="176"/>
    </row>
    <row r="2452" hidden="1">
      <c r="A2452" s="176"/>
      <c r="B2452" s="176"/>
      <c r="C2452" s="176"/>
      <c r="D2452" s="176"/>
      <c r="E2452" s="176"/>
      <c r="F2452" s="176"/>
      <c r="G2452" s="176"/>
      <c r="H2452" s="176"/>
      <c r="I2452" s="176"/>
      <c r="J2452" s="176"/>
      <c r="K2452" s="176"/>
      <c r="L2452" s="176"/>
      <c r="M2452" s="176"/>
      <c r="N2452" s="176"/>
      <c r="O2452" s="176"/>
      <c r="P2452" s="176"/>
    </row>
    <row r="2453" hidden="1">
      <c r="A2453" s="176"/>
      <c r="B2453" s="176"/>
      <c r="C2453" s="176"/>
      <c r="D2453" s="176"/>
      <c r="E2453" s="176"/>
      <c r="F2453" s="176"/>
      <c r="G2453" s="176"/>
      <c r="H2453" s="176"/>
      <c r="I2453" s="176"/>
      <c r="J2453" s="176"/>
      <c r="K2453" s="176"/>
      <c r="L2453" s="176"/>
      <c r="M2453" s="176"/>
      <c r="N2453" s="176"/>
      <c r="O2453" s="176"/>
      <c r="P2453" s="176"/>
    </row>
    <row r="2454" hidden="1">
      <c r="A2454" s="176"/>
      <c r="B2454" s="176"/>
      <c r="C2454" s="176"/>
      <c r="D2454" s="176"/>
      <c r="E2454" s="176"/>
      <c r="F2454" s="176"/>
      <c r="G2454" s="176"/>
      <c r="H2454" s="176"/>
      <c r="I2454" s="176"/>
      <c r="J2454" s="176"/>
      <c r="K2454" s="176"/>
      <c r="L2454" s="176"/>
      <c r="M2454" s="176"/>
      <c r="N2454" s="176"/>
      <c r="O2454" s="176"/>
      <c r="P2454" s="176"/>
    </row>
    <row r="2455" hidden="1">
      <c r="A2455" s="176"/>
      <c r="B2455" s="176"/>
      <c r="C2455" s="176"/>
      <c r="D2455" s="176"/>
      <c r="E2455" s="176"/>
      <c r="F2455" s="176"/>
      <c r="G2455" s="176"/>
      <c r="H2455" s="176"/>
      <c r="I2455" s="176"/>
      <c r="J2455" s="176"/>
      <c r="K2455" s="176"/>
      <c r="L2455" s="176"/>
      <c r="M2455" s="176"/>
      <c r="N2455" s="176"/>
      <c r="O2455" s="176"/>
      <c r="P2455" s="176"/>
    </row>
    <row r="2456" hidden="1">
      <c r="A2456" s="176"/>
      <c r="B2456" s="176"/>
      <c r="C2456" s="176"/>
      <c r="D2456" s="176"/>
      <c r="E2456" s="176"/>
      <c r="F2456" s="176"/>
      <c r="G2456" s="176"/>
      <c r="H2456" s="176"/>
      <c r="I2456" s="176"/>
      <c r="J2456" s="176"/>
      <c r="K2456" s="176"/>
      <c r="L2456" s="176"/>
      <c r="M2456" s="176"/>
      <c r="N2456" s="176"/>
      <c r="O2456" s="176"/>
      <c r="P2456" s="176"/>
    </row>
    <row r="2457" hidden="1">
      <c r="A2457" s="176"/>
      <c r="B2457" s="176"/>
      <c r="C2457" s="176"/>
      <c r="D2457" s="176"/>
      <c r="E2457" s="176"/>
      <c r="F2457" s="176"/>
      <c r="G2457" s="176"/>
      <c r="H2457" s="176"/>
      <c r="I2457" s="176"/>
      <c r="J2457" s="176"/>
      <c r="K2457" s="176"/>
      <c r="L2457" s="176"/>
      <c r="M2457" s="176"/>
      <c r="N2457" s="176"/>
      <c r="O2457" s="176"/>
      <c r="P2457" s="176"/>
    </row>
    <row r="2458" hidden="1">
      <c r="A2458" s="176"/>
      <c r="B2458" s="176"/>
      <c r="C2458" s="176"/>
      <c r="D2458" s="176"/>
      <c r="E2458" s="176"/>
      <c r="F2458" s="176"/>
      <c r="G2458" s="176"/>
      <c r="H2458" s="176"/>
      <c r="I2458" s="176"/>
      <c r="J2458" s="176"/>
      <c r="K2458" s="176"/>
      <c r="L2458" s="176"/>
      <c r="M2458" s="176"/>
      <c r="N2458" s="176"/>
      <c r="O2458" s="176"/>
      <c r="P2458" s="176"/>
    </row>
    <row r="2459" hidden="1">
      <c r="A2459" s="176"/>
      <c r="B2459" s="176"/>
      <c r="C2459" s="176"/>
      <c r="D2459" s="176"/>
      <c r="E2459" s="176"/>
      <c r="F2459" s="176"/>
      <c r="G2459" s="176"/>
      <c r="H2459" s="176"/>
      <c r="I2459" s="176"/>
      <c r="J2459" s="176"/>
      <c r="K2459" s="176"/>
      <c r="L2459" s="176"/>
      <c r="M2459" s="176"/>
      <c r="N2459" s="176"/>
      <c r="O2459" s="176"/>
      <c r="P2459" s="176"/>
    </row>
    <row r="2460" hidden="1">
      <c r="A2460" s="176"/>
      <c r="B2460" s="176"/>
      <c r="C2460" s="176"/>
      <c r="D2460" s="176"/>
      <c r="E2460" s="176"/>
      <c r="F2460" s="176"/>
      <c r="G2460" s="176"/>
      <c r="H2460" s="176"/>
      <c r="I2460" s="176"/>
      <c r="J2460" s="176"/>
      <c r="K2460" s="176"/>
      <c r="L2460" s="176"/>
      <c r="M2460" s="176"/>
      <c r="N2460" s="176"/>
      <c r="O2460" s="176"/>
      <c r="P2460" s="176"/>
    </row>
    <row r="2461" hidden="1">
      <c r="A2461" s="176"/>
      <c r="B2461" s="176"/>
      <c r="C2461" s="176"/>
      <c r="D2461" s="176"/>
      <c r="E2461" s="176"/>
      <c r="F2461" s="176"/>
      <c r="G2461" s="176"/>
      <c r="H2461" s="176"/>
      <c r="I2461" s="176"/>
      <c r="J2461" s="176"/>
      <c r="K2461" s="176"/>
      <c r="L2461" s="176"/>
      <c r="M2461" s="176"/>
      <c r="N2461" s="176"/>
      <c r="O2461" s="176"/>
      <c r="P2461" s="176"/>
    </row>
    <row r="2462" hidden="1">
      <c r="A2462" s="176"/>
      <c r="B2462" s="176"/>
      <c r="C2462" s="176"/>
      <c r="D2462" s="176"/>
      <c r="E2462" s="176"/>
      <c r="F2462" s="176"/>
      <c r="G2462" s="176"/>
      <c r="H2462" s="176"/>
      <c r="I2462" s="176"/>
      <c r="J2462" s="176"/>
      <c r="K2462" s="176"/>
      <c r="L2462" s="176"/>
      <c r="M2462" s="176"/>
      <c r="N2462" s="176"/>
      <c r="O2462" s="176"/>
      <c r="P2462" s="176"/>
    </row>
    <row r="2463" hidden="1">
      <c r="A2463" s="176"/>
      <c r="B2463" s="176"/>
      <c r="C2463" s="176"/>
      <c r="D2463" s="176"/>
      <c r="E2463" s="176"/>
      <c r="F2463" s="176"/>
      <c r="G2463" s="176"/>
      <c r="H2463" s="176"/>
      <c r="I2463" s="176"/>
      <c r="J2463" s="176"/>
      <c r="K2463" s="176"/>
      <c r="L2463" s="176"/>
      <c r="M2463" s="176"/>
      <c r="N2463" s="176"/>
      <c r="O2463" s="176"/>
      <c r="P2463" s="176"/>
    </row>
    <row r="2464" hidden="1">
      <c r="A2464" s="176"/>
      <c r="B2464" s="176"/>
      <c r="C2464" s="176"/>
      <c r="D2464" s="176"/>
      <c r="E2464" s="176"/>
      <c r="F2464" s="176"/>
      <c r="G2464" s="176"/>
      <c r="H2464" s="176"/>
      <c r="I2464" s="176"/>
      <c r="J2464" s="176"/>
      <c r="K2464" s="176"/>
      <c r="L2464" s="176"/>
      <c r="M2464" s="176"/>
      <c r="N2464" s="176"/>
      <c r="O2464" s="176"/>
      <c r="P2464" s="176"/>
    </row>
    <row r="2465" hidden="1">
      <c r="A2465" s="176"/>
      <c r="B2465" s="176"/>
      <c r="C2465" s="176"/>
      <c r="D2465" s="176"/>
      <c r="E2465" s="176"/>
      <c r="F2465" s="176"/>
      <c r="G2465" s="176"/>
      <c r="H2465" s="176"/>
      <c r="I2465" s="176"/>
      <c r="J2465" s="176"/>
      <c r="K2465" s="176"/>
      <c r="L2465" s="176"/>
      <c r="M2465" s="176"/>
      <c r="N2465" s="176"/>
      <c r="O2465" s="176"/>
      <c r="P2465" s="176"/>
    </row>
    <row r="2466" hidden="1">
      <c r="A2466" s="176"/>
      <c r="B2466" s="176"/>
      <c r="C2466" s="176"/>
      <c r="D2466" s="176"/>
      <c r="E2466" s="176"/>
      <c r="F2466" s="176"/>
      <c r="G2466" s="176"/>
      <c r="H2466" s="176"/>
      <c r="I2466" s="176"/>
      <c r="J2466" s="176"/>
      <c r="K2466" s="176"/>
      <c r="L2466" s="176"/>
      <c r="M2466" s="176"/>
      <c r="N2466" s="176"/>
      <c r="O2466" s="176"/>
      <c r="P2466" s="176"/>
    </row>
    <row r="2467" hidden="1">
      <c r="A2467" s="176"/>
      <c r="B2467" s="176"/>
      <c r="C2467" s="176"/>
      <c r="D2467" s="176"/>
      <c r="E2467" s="176"/>
      <c r="F2467" s="176"/>
      <c r="G2467" s="176"/>
      <c r="H2467" s="176"/>
      <c r="I2467" s="176"/>
      <c r="J2467" s="176"/>
      <c r="K2467" s="176"/>
      <c r="L2467" s="176"/>
      <c r="M2467" s="176"/>
      <c r="N2467" s="176"/>
      <c r="O2467" s="176"/>
      <c r="P2467" s="176"/>
    </row>
    <row r="2468" hidden="1">
      <c r="A2468" s="176"/>
      <c r="B2468" s="176"/>
      <c r="C2468" s="176"/>
      <c r="D2468" s="176"/>
      <c r="E2468" s="176"/>
      <c r="F2468" s="176"/>
      <c r="G2468" s="176"/>
      <c r="H2468" s="176"/>
      <c r="I2468" s="176"/>
      <c r="J2468" s="176"/>
      <c r="K2468" s="176"/>
      <c r="L2468" s="176"/>
      <c r="M2468" s="176"/>
      <c r="N2468" s="176"/>
      <c r="O2468" s="176"/>
      <c r="P2468" s="176"/>
    </row>
    <row r="2469" hidden="1">
      <c r="A2469" s="176"/>
      <c r="B2469" s="176"/>
      <c r="C2469" s="176"/>
      <c r="D2469" s="176"/>
      <c r="E2469" s="176"/>
      <c r="F2469" s="176"/>
      <c r="G2469" s="176"/>
      <c r="H2469" s="176"/>
      <c r="I2469" s="176"/>
      <c r="J2469" s="176"/>
      <c r="K2469" s="176"/>
      <c r="L2469" s="176"/>
      <c r="M2469" s="176"/>
      <c r="N2469" s="176"/>
      <c r="O2469" s="176"/>
      <c r="P2469" s="176"/>
    </row>
    <row r="2470" hidden="1">
      <c r="A2470" s="176"/>
      <c r="B2470" s="176"/>
      <c r="C2470" s="176"/>
      <c r="D2470" s="176"/>
      <c r="E2470" s="176"/>
      <c r="F2470" s="176"/>
      <c r="G2470" s="176"/>
      <c r="H2470" s="176"/>
      <c r="I2470" s="176"/>
      <c r="J2470" s="176"/>
      <c r="K2470" s="176"/>
      <c r="L2470" s="176"/>
      <c r="M2470" s="176"/>
      <c r="N2470" s="176"/>
      <c r="O2470" s="176"/>
      <c r="P2470" s="176"/>
    </row>
    <row r="2471" hidden="1">
      <c r="A2471" s="176"/>
      <c r="B2471" s="176"/>
      <c r="C2471" s="176"/>
      <c r="D2471" s="176"/>
      <c r="E2471" s="176"/>
      <c r="F2471" s="176"/>
      <c r="G2471" s="176"/>
      <c r="H2471" s="176"/>
      <c r="I2471" s="176"/>
      <c r="J2471" s="176"/>
      <c r="K2471" s="176"/>
      <c r="L2471" s="176"/>
      <c r="M2471" s="176"/>
      <c r="N2471" s="176"/>
      <c r="O2471" s="176"/>
      <c r="P2471" s="176"/>
    </row>
    <row r="2472" hidden="1">
      <c r="A2472" s="176"/>
      <c r="B2472" s="176"/>
      <c r="C2472" s="176"/>
      <c r="D2472" s="176"/>
      <c r="E2472" s="176"/>
      <c r="F2472" s="176"/>
      <c r="G2472" s="176"/>
      <c r="H2472" s="176"/>
      <c r="I2472" s="176"/>
      <c r="J2472" s="176"/>
      <c r="K2472" s="176"/>
      <c r="L2472" s="176"/>
      <c r="M2472" s="176"/>
      <c r="N2472" s="176"/>
      <c r="O2472" s="176"/>
      <c r="P2472" s="176"/>
    </row>
    <row r="2473" hidden="1">
      <c r="A2473" s="176"/>
      <c r="B2473" s="176"/>
      <c r="C2473" s="176"/>
      <c r="D2473" s="176"/>
      <c r="E2473" s="176"/>
      <c r="F2473" s="176"/>
      <c r="G2473" s="176"/>
      <c r="H2473" s="176"/>
      <c r="I2473" s="176"/>
      <c r="J2473" s="176"/>
      <c r="K2473" s="176"/>
      <c r="L2473" s="176"/>
      <c r="M2473" s="176"/>
      <c r="N2473" s="176"/>
      <c r="O2473" s="176"/>
      <c r="P2473" s="176"/>
    </row>
    <row r="2474" hidden="1">
      <c r="A2474" s="176"/>
      <c r="B2474" s="176"/>
      <c r="C2474" s="176"/>
      <c r="D2474" s="176"/>
      <c r="E2474" s="176"/>
      <c r="F2474" s="176"/>
      <c r="G2474" s="176"/>
      <c r="H2474" s="176"/>
      <c r="I2474" s="176"/>
      <c r="J2474" s="176"/>
      <c r="K2474" s="176"/>
      <c r="L2474" s="176"/>
      <c r="M2474" s="176"/>
      <c r="N2474" s="176"/>
      <c r="O2474" s="176"/>
      <c r="P2474" s="176"/>
    </row>
    <row r="2475" hidden="1">
      <c r="A2475" s="176"/>
      <c r="B2475" s="176"/>
      <c r="C2475" s="176"/>
      <c r="D2475" s="176"/>
      <c r="E2475" s="176"/>
      <c r="F2475" s="176"/>
      <c r="G2475" s="176"/>
      <c r="H2475" s="176"/>
      <c r="I2475" s="176"/>
      <c r="J2475" s="176"/>
      <c r="K2475" s="176"/>
      <c r="L2475" s="176"/>
      <c r="M2475" s="176"/>
      <c r="N2475" s="176"/>
      <c r="O2475" s="176"/>
      <c r="P2475" s="176"/>
    </row>
    <row r="2476" hidden="1">
      <c r="A2476" s="176"/>
      <c r="B2476" s="176"/>
      <c r="C2476" s="176"/>
      <c r="D2476" s="176"/>
      <c r="E2476" s="176"/>
      <c r="F2476" s="176"/>
      <c r="G2476" s="176"/>
      <c r="H2476" s="176"/>
      <c r="I2476" s="176"/>
      <c r="J2476" s="176"/>
      <c r="K2476" s="176"/>
      <c r="L2476" s="176"/>
      <c r="M2476" s="176"/>
      <c r="N2476" s="176"/>
      <c r="O2476" s="176"/>
      <c r="P2476" s="176"/>
    </row>
    <row r="2477" hidden="1">
      <c r="A2477" s="176"/>
      <c r="B2477" s="176"/>
      <c r="C2477" s="176"/>
      <c r="D2477" s="176"/>
      <c r="E2477" s="176"/>
      <c r="F2477" s="176"/>
      <c r="G2477" s="176"/>
      <c r="H2477" s="176"/>
      <c r="I2477" s="176"/>
      <c r="J2477" s="176"/>
      <c r="K2477" s="176"/>
      <c r="L2477" s="176"/>
      <c r="M2477" s="176"/>
      <c r="N2477" s="176"/>
      <c r="O2477" s="176"/>
      <c r="P2477" s="176"/>
    </row>
    <row r="2478" hidden="1">
      <c r="A2478" s="176"/>
      <c r="B2478" s="176"/>
      <c r="C2478" s="176"/>
      <c r="D2478" s="176"/>
      <c r="E2478" s="176"/>
      <c r="F2478" s="176"/>
      <c r="G2478" s="176"/>
      <c r="H2478" s="176"/>
      <c r="I2478" s="176"/>
      <c r="J2478" s="176"/>
      <c r="K2478" s="176"/>
      <c r="L2478" s="176"/>
      <c r="M2478" s="176"/>
      <c r="N2478" s="176"/>
      <c r="O2478" s="176"/>
      <c r="P2478" s="176"/>
    </row>
    <row r="2479" hidden="1">
      <c r="A2479" s="176"/>
      <c r="B2479" s="176"/>
      <c r="C2479" s="176"/>
      <c r="D2479" s="176"/>
      <c r="E2479" s="176"/>
      <c r="F2479" s="176"/>
      <c r="G2479" s="176"/>
      <c r="H2479" s="176"/>
      <c r="I2479" s="176"/>
      <c r="J2479" s="176"/>
      <c r="K2479" s="176"/>
      <c r="L2479" s="176"/>
      <c r="M2479" s="176"/>
      <c r="N2479" s="176"/>
      <c r="O2479" s="176"/>
      <c r="P2479" s="176"/>
    </row>
    <row r="2480" hidden="1">
      <c r="A2480" s="176"/>
      <c r="B2480" s="176"/>
      <c r="C2480" s="176"/>
      <c r="D2480" s="176"/>
      <c r="E2480" s="176"/>
      <c r="F2480" s="176"/>
      <c r="G2480" s="176"/>
      <c r="H2480" s="176"/>
      <c r="I2480" s="176"/>
      <c r="J2480" s="176"/>
      <c r="K2480" s="176"/>
      <c r="L2480" s="176"/>
      <c r="M2480" s="176"/>
      <c r="N2480" s="176"/>
      <c r="O2480" s="176"/>
      <c r="P2480" s="176"/>
    </row>
    <row r="2481" hidden="1">
      <c r="A2481" s="176"/>
      <c r="B2481" s="176"/>
      <c r="C2481" s="176"/>
      <c r="D2481" s="176"/>
      <c r="E2481" s="176"/>
      <c r="F2481" s="176"/>
      <c r="G2481" s="176"/>
      <c r="H2481" s="176"/>
      <c r="I2481" s="176"/>
      <c r="J2481" s="176"/>
      <c r="K2481" s="176"/>
      <c r="L2481" s="176"/>
      <c r="M2481" s="176"/>
      <c r="N2481" s="176"/>
      <c r="O2481" s="176"/>
      <c r="P2481" s="176"/>
    </row>
    <row r="2482" hidden="1">
      <c r="A2482" s="176"/>
      <c r="B2482" s="176"/>
      <c r="C2482" s="176"/>
      <c r="D2482" s="176"/>
      <c r="E2482" s="176"/>
      <c r="F2482" s="176"/>
      <c r="G2482" s="176"/>
      <c r="H2482" s="176"/>
      <c r="I2482" s="176"/>
      <c r="J2482" s="176"/>
      <c r="K2482" s="176"/>
      <c r="L2482" s="176"/>
      <c r="M2482" s="176"/>
      <c r="N2482" s="176"/>
      <c r="O2482" s="176"/>
      <c r="P2482" s="176"/>
    </row>
    <row r="2483" hidden="1">
      <c r="A2483" s="176"/>
      <c r="B2483" s="176"/>
      <c r="C2483" s="176"/>
      <c r="D2483" s="176"/>
      <c r="E2483" s="176"/>
      <c r="F2483" s="176"/>
      <c r="G2483" s="176"/>
      <c r="H2483" s="176"/>
      <c r="I2483" s="176"/>
      <c r="J2483" s="176"/>
      <c r="K2483" s="176"/>
      <c r="L2483" s="176"/>
      <c r="M2483" s="176"/>
      <c r="N2483" s="176"/>
      <c r="O2483" s="176"/>
      <c r="P2483" s="176"/>
    </row>
    <row r="2484" hidden="1">
      <c r="A2484" s="176"/>
      <c r="B2484" s="176"/>
      <c r="C2484" s="176"/>
      <c r="D2484" s="176"/>
      <c r="E2484" s="176"/>
      <c r="F2484" s="176"/>
      <c r="G2484" s="176"/>
      <c r="H2484" s="176"/>
      <c r="I2484" s="176"/>
      <c r="J2484" s="176"/>
      <c r="K2484" s="176"/>
      <c r="L2484" s="176"/>
      <c r="M2484" s="176"/>
      <c r="N2484" s="176"/>
      <c r="O2484" s="176"/>
      <c r="P2484" s="176"/>
    </row>
    <row r="2485" hidden="1">
      <c r="A2485" s="176"/>
      <c r="B2485" s="176"/>
      <c r="C2485" s="176"/>
      <c r="D2485" s="176"/>
      <c r="E2485" s="176"/>
      <c r="F2485" s="176"/>
      <c r="G2485" s="176"/>
      <c r="H2485" s="176"/>
      <c r="I2485" s="176"/>
      <c r="J2485" s="176"/>
      <c r="K2485" s="176"/>
      <c r="L2485" s="176"/>
      <c r="M2485" s="176"/>
      <c r="N2485" s="176"/>
      <c r="O2485" s="176"/>
      <c r="P2485" s="176"/>
    </row>
    <row r="2486" hidden="1">
      <c r="A2486" s="176"/>
      <c r="B2486" s="176"/>
      <c r="C2486" s="176"/>
      <c r="D2486" s="176"/>
      <c r="E2486" s="176"/>
      <c r="F2486" s="176"/>
      <c r="G2486" s="176"/>
      <c r="H2486" s="176"/>
      <c r="I2486" s="176"/>
      <c r="J2486" s="176"/>
      <c r="K2486" s="176"/>
      <c r="L2486" s="176"/>
      <c r="M2486" s="176"/>
      <c r="N2486" s="176"/>
      <c r="O2486" s="176"/>
      <c r="P2486" s="176"/>
    </row>
    <row r="2487" hidden="1">
      <c r="A2487" s="176"/>
      <c r="B2487" s="176"/>
      <c r="C2487" s="176"/>
      <c r="D2487" s="176"/>
      <c r="E2487" s="176"/>
      <c r="F2487" s="176"/>
      <c r="G2487" s="176"/>
      <c r="H2487" s="176"/>
      <c r="I2487" s="176"/>
      <c r="J2487" s="176"/>
      <c r="K2487" s="176"/>
      <c r="L2487" s="176"/>
      <c r="M2487" s="176"/>
      <c r="N2487" s="176"/>
      <c r="O2487" s="176"/>
      <c r="P2487" s="176"/>
    </row>
    <row r="2488" hidden="1">
      <c r="A2488" s="176"/>
      <c r="B2488" s="176"/>
      <c r="C2488" s="176"/>
      <c r="D2488" s="176"/>
      <c r="E2488" s="176"/>
      <c r="F2488" s="176"/>
      <c r="G2488" s="176"/>
      <c r="H2488" s="176"/>
      <c r="I2488" s="176"/>
      <c r="J2488" s="176"/>
      <c r="K2488" s="176"/>
      <c r="L2488" s="176"/>
      <c r="M2488" s="176"/>
      <c r="N2488" s="176"/>
      <c r="O2488" s="176"/>
      <c r="P2488" s="176"/>
    </row>
    <row r="2489" hidden="1">
      <c r="A2489" s="176"/>
      <c r="B2489" s="176"/>
      <c r="C2489" s="176"/>
      <c r="D2489" s="176"/>
      <c r="E2489" s="176"/>
      <c r="F2489" s="176"/>
      <c r="G2489" s="176"/>
      <c r="H2489" s="176"/>
      <c r="I2489" s="176"/>
      <c r="J2489" s="176"/>
      <c r="K2489" s="176"/>
      <c r="L2489" s="176"/>
      <c r="M2489" s="176"/>
      <c r="N2489" s="176"/>
      <c r="O2489" s="176"/>
      <c r="P2489" s="176"/>
    </row>
    <row r="2490" hidden="1">
      <c r="A2490" s="176"/>
      <c r="B2490" s="176"/>
      <c r="C2490" s="176"/>
      <c r="D2490" s="176"/>
      <c r="E2490" s="176"/>
      <c r="F2490" s="176"/>
      <c r="G2490" s="176"/>
      <c r="H2490" s="176"/>
      <c r="I2490" s="176"/>
      <c r="J2490" s="176"/>
      <c r="K2490" s="176"/>
      <c r="L2490" s="176"/>
      <c r="M2490" s="176"/>
      <c r="N2490" s="176"/>
      <c r="O2490" s="176"/>
      <c r="P2490" s="176"/>
    </row>
    <row r="2491" hidden="1">
      <c r="A2491" s="176"/>
      <c r="B2491" s="176"/>
      <c r="C2491" s="176"/>
      <c r="D2491" s="176"/>
      <c r="E2491" s="176"/>
      <c r="F2491" s="176"/>
      <c r="G2491" s="176"/>
      <c r="H2491" s="176"/>
      <c r="I2491" s="176"/>
      <c r="J2491" s="176"/>
      <c r="K2491" s="176"/>
      <c r="L2491" s="176"/>
      <c r="M2491" s="176"/>
      <c r="N2491" s="176"/>
      <c r="O2491" s="176"/>
      <c r="P2491" s="176"/>
    </row>
    <row r="2492" hidden="1">
      <c r="A2492" s="176"/>
      <c r="B2492" s="176"/>
      <c r="C2492" s="176"/>
      <c r="D2492" s="176"/>
      <c r="E2492" s="176"/>
      <c r="F2492" s="176"/>
      <c r="G2492" s="176"/>
      <c r="H2492" s="176"/>
      <c r="I2492" s="176"/>
      <c r="J2492" s="176"/>
      <c r="K2492" s="176"/>
      <c r="L2492" s="176"/>
      <c r="M2492" s="176"/>
      <c r="N2492" s="176"/>
      <c r="O2492" s="176"/>
      <c r="P2492" s="176"/>
    </row>
    <row r="2493" hidden="1">
      <c r="A2493" s="176"/>
      <c r="B2493" s="176"/>
      <c r="C2493" s="176"/>
      <c r="D2493" s="176"/>
      <c r="E2493" s="176"/>
      <c r="F2493" s="176"/>
      <c r="G2493" s="176"/>
      <c r="H2493" s="176"/>
      <c r="I2493" s="176"/>
      <c r="J2493" s="176"/>
      <c r="K2493" s="176"/>
      <c r="L2493" s="176"/>
      <c r="M2493" s="176"/>
      <c r="N2493" s="176"/>
      <c r="O2493" s="176"/>
      <c r="P2493" s="176"/>
    </row>
    <row r="2494" hidden="1">
      <c r="A2494" s="176"/>
      <c r="B2494" s="176"/>
      <c r="C2494" s="176"/>
      <c r="D2494" s="176"/>
      <c r="E2494" s="176"/>
      <c r="F2494" s="176"/>
      <c r="G2494" s="176"/>
      <c r="H2494" s="176"/>
      <c r="I2494" s="176"/>
      <c r="J2494" s="176"/>
      <c r="K2494" s="176"/>
      <c r="L2494" s="176"/>
      <c r="M2494" s="176"/>
      <c r="N2494" s="176"/>
      <c r="O2494" s="176"/>
      <c r="P2494" s="176"/>
    </row>
    <row r="2495" hidden="1">
      <c r="A2495" s="176"/>
      <c r="B2495" s="176"/>
      <c r="C2495" s="176"/>
      <c r="D2495" s="176"/>
      <c r="E2495" s="176"/>
      <c r="F2495" s="176"/>
      <c r="G2495" s="176"/>
      <c r="H2495" s="176"/>
      <c r="I2495" s="176"/>
      <c r="J2495" s="176"/>
      <c r="K2495" s="176"/>
      <c r="L2495" s="176"/>
      <c r="M2495" s="176"/>
      <c r="N2495" s="176"/>
      <c r="O2495" s="176"/>
      <c r="P2495" s="176"/>
    </row>
    <row r="2496" hidden="1">
      <c r="A2496" s="176"/>
      <c r="B2496" s="176"/>
      <c r="C2496" s="176"/>
      <c r="D2496" s="176"/>
      <c r="E2496" s="176"/>
      <c r="F2496" s="176"/>
      <c r="G2496" s="176"/>
      <c r="H2496" s="176"/>
      <c r="I2496" s="176"/>
      <c r="J2496" s="176"/>
      <c r="K2496" s="176"/>
      <c r="L2496" s="176"/>
      <c r="M2496" s="176"/>
      <c r="N2496" s="176"/>
      <c r="O2496" s="176"/>
      <c r="P2496" s="176"/>
    </row>
    <row r="2497" hidden="1">
      <c r="A2497" s="176"/>
      <c r="B2497" s="176"/>
      <c r="C2497" s="176"/>
      <c r="D2497" s="176"/>
      <c r="E2497" s="176"/>
      <c r="F2497" s="176"/>
      <c r="G2497" s="176"/>
      <c r="H2497" s="176"/>
      <c r="I2497" s="176"/>
      <c r="J2497" s="176"/>
      <c r="K2497" s="176"/>
      <c r="L2497" s="176"/>
      <c r="M2497" s="176"/>
      <c r="N2497" s="176"/>
      <c r="O2497" s="176"/>
      <c r="P2497" s="176"/>
    </row>
    <row r="2498" hidden="1">
      <c r="A2498" s="176"/>
      <c r="B2498" s="176"/>
      <c r="C2498" s="176"/>
      <c r="D2498" s="176"/>
      <c r="E2498" s="176"/>
      <c r="F2498" s="176"/>
      <c r="G2498" s="176"/>
      <c r="H2498" s="176"/>
      <c r="I2498" s="176"/>
      <c r="J2498" s="176"/>
      <c r="K2498" s="176"/>
      <c r="L2498" s="176"/>
      <c r="M2498" s="176"/>
      <c r="N2498" s="176"/>
      <c r="O2498" s="176"/>
      <c r="P2498" s="176"/>
    </row>
    <row r="2499" hidden="1">
      <c r="A2499" s="176"/>
      <c r="B2499" s="176"/>
      <c r="C2499" s="176"/>
      <c r="D2499" s="176"/>
      <c r="E2499" s="176"/>
      <c r="F2499" s="176"/>
      <c r="G2499" s="176"/>
      <c r="H2499" s="176"/>
      <c r="I2499" s="176"/>
      <c r="J2499" s="176"/>
      <c r="K2499" s="176"/>
      <c r="L2499" s="176"/>
      <c r="M2499" s="176"/>
      <c r="N2499" s="176"/>
      <c r="O2499" s="176"/>
      <c r="P2499" s="176"/>
    </row>
    <row r="2500" hidden="1">
      <c r="A2500" s="176"/>
      <c r="B2500" s="176"/>
      <c r="C2500" s="176"/>
      <c r="D2500" s="176"/>
      <c r="E2500" s="176"/>
      <c r="F2500" s="176"/>
      <c r="G2500" s="176"/>
      <c r="H2500" s="176"/>
      <c r="I2500" s="176"/>
      <c r="J2500" s="176"/>
      <c r="K2500" s="176"/>
      <c r="L2500" s="176"/>
      <c r="M2500" s="176"/>
      <c r="N2500" s="176"/>
      <c r="O2500" s="176"/>
      <c r="P2500" s="176"/>
    </row>
    <row r="2501" hidden="1">
      <c r="A2501" s="176"/>
      <c r="B2501" s="176"/>
      <c r="C2501" s="176"/>
      <c r="D2501" s="176"/>
      <c r="E2501" s="176"/>
      <c r="F2501" s="176"/>
      <c r="G2501" s="176"/>
      <c r="H2501" s="176"/>
      <c r="I2501" s="176"/>
      <c r="J2501" s="176"/>
      <c r="K2501" s="176"/>
      <c r="L2501" s="176"/>
      <c r="M2501" s="176"/>
      <c r="N2501" s="176"/>
      <c r="O2501" s="176"/>
      <c r="P2501" s="176"/>
    </row>
    <row r="2502" hidden="1">
      <c r="A2502" s="176"/>
      <c r="B2502" s="176"/>
      <c r="C2502" s="176"/>
      <c r="D2502" s="176"/>
      <c r="E2502" s="176"/>
      <c r="F2502" s="176"/>
      <c r="G2502" s="176"/>
      <c r="H2502" s="176"/>
      <c r="I2502" s="176"/>
      <c r="J2502" s="176"/>
      <c r="K2502" s="176"/>
      <c r="L2502" s="176"/>
      <c r="M2502" s="176"/>
      <c r="N2502" s="176"/>
      <c r="O2502" s="176"/>
      <c r="P2502" s="176"/>
    </row>
    <row r="2503" hidden="1">
      <c r="A2503" s="176"/>
      <c r="B2503" s="176"/>
      <c r="C2503" s="176"/>
      <c r="D2503" s="176"/>
      <c r="E2503" s="176"/>
      <c r="F2503" s="176"/>
      <c r="G2503" s="176"/>
      <c r="H2503" s="176"/>
      <c r="I2503" s="176"/>
      <c r="J2503" s="176"/>
      <c r="K2503" s="176"/>
      <c r="L2503" s="176"/>
      <c r="M2503" s="176"/>
      <c r="N2503" s="176"/>
      <c r="O2503" s="176"/>
      <c r="P2503" s="176"/>
    </row>
    <row r="2504" hidden="1">
      <c r="A2504" s="176"/>
      <c r="B2504" s="176"/>
      <c r="C2504" s="176"/>
      <c r="D2504" s="176"/>
      <c r="E2504" s="176"/>
      <c r="F2504" s="176"/>
      <c r="G2504" s="176"/>
      <c r="H2504" s="176"/>
      <c r="I2504" s="176"/>
      <c r="J2504" s="176"/>
      <c r="K2504" s="176"/>
      <c r="L2504" s="176"/>
      <c r="M2504" s="176"/>
      <c r="N2504" s="176"/>
      <c r="O2504" s="176"/>
      <c r="P2504" s="176"/>
    </row>
    <row r="2505" hidden="1">
      <c r="A2505" s="176"/>
      <c r="B2505" s="176"/>
      <c r="C2505" s="176"/>
      <c r="D2505" s="176"/>
      <c r="E2505" s="176"/>
      <c r="F2505" s="176"/>
      <c r="G2505" s="176"/>
      <c r="H2505" s="176"/>
      <c r="I2505" s="176"/>
      <c r="J2505" s="176"/>
      <c r="K2505" s="176"/>
      <c r="L2505" s="176"/>
      <c r="M2505" s="176"/>
      <c r="N2505" s="176"/>
      <c r="O2505" s="176"/>
      <c r="P2505" s="176"/>
    </row>
    <row r="2506" hidden="1">
      <c r="A2506" s="176"/>
      <c r="B2506" s="176"/>
      <c r="C2506" s="176"/>
      <c r="D2506" s="176"/>
      <c r="E2506" s="176"/>
      <c r="F2506" s="176"/>
      <c r="G2506" s="176"/>
      <c r="H2506" s="176"/>
      <c r="I2506" s="176"/>
      <c r="J2506" s="176"/>
      <c r="K2506" s="176"/>
      <c r="L2506" s="176"/>
      <c r="M2506" s="176"/>
      <c r="N2506" s="176"/>
      <c r="O2506" s="176"/>
      <c r="P2506" s="176"/>
    </row>
    <row r="2507" hidden="1">
      <c r="A2507" s="176"/>
      <c r="B2507" s="176"/>
      <c r="C2507" s="176"/>
      <c r="D2507" s="176"/>
      <c r="E2507" s="176"/>
      <c r="F2507" s="176"/>
      <c r="G2507" s="176"/>
      <c r="H2507" s="176"/>
      <c r="I2507" s="176"/>
      <c r="J2507" s="176"/>
      <c r="K2507" s="176"/>
      <c r="L2507" s="176"/>
      <c r="M2507" s="176"/>
      <c r="N2507" s="176"/>
      <c r="O2507" s="176"/>
      <c r="P2507" s="176"/>
    </row>
    <row r="2508" hidden="1">
      <c r="A2508" s="176"/>
      <c r="B2508" s="176"/>
      <c r="C2508" s="176"/>
      <c r="D2508" s="176"/>
      <c r="E2508" s="176"/>
      <c r="F2508" s="176"/>
      <c r="G2508" s="176"/>
      <c r="H2508" s="176"/>
      <c r="I2508" s="176"/>
      <c r="J2508" s="176"/>
      <c r="K2508" s="176"/>
      <c r="L2508" s="176"/>
      <c r="M2508" s="176"/>
      <c r="N2508" s="176"/>
      <c r="O2508" s="176"/>
      <c r="P2508" s="176"/>
    </row>
    <row r="2509" hidden="1">
      <c r="A2509" s="176"/>
      <c r="B2509" s="176"/>
      <c r="C2509" s="176"/>
      <c r="D2509" s="176"/>
      <c r="E2509" s="176"/>
      <c r="F2509" s="176"/>
      <c r="G2509" s="176"/>
      <c r="H2509" s="176"/>
      <c r="I2509" s="176"/>
      <c r="J2509" s="176"/>
      <c r="K2509" s="176"/>
      <c r="L2509" s="176"/>
      <c r="M2509" s="176"/>
      <c r="N2509" s="176"/>
      <c r="O2509" s="176"/>
      <c r="P2509" s="176"/>
    </row>
    <row r="2510" hidden="1">
      <c r="A2510" s="176"/>
      <c r="B2510" s="176"/>
      <c r="C2510" s="176"/>
      <c r="D2510" s="176"/>
      <c r="E2510" s="176"/>
      <c r="F2510" s="176"/>
      <c r="G2510" s="176"/>
      <c r="H2510" s="176"/>
      <c r="I2510" s="176"/>
      <c r="J2510" s="176"/>
      <c r="K2510" s="176"/>
      <c r="L2510" s="176"/>
      <c r="M2510" s="176"/>
      <c r="N2510" s="176"/>
      <c r="O2510" s="176"/>
      <c r="P2510" s="176"/>
    </row>
    <row r="2511" hidden="1">
      <c r="A2511" s="176"/>
      <c r="B2511" s="176"/>
      <c r="C2511" s="176"/>
      <c r="D2511" s="176"/>
      <c r="E2511" s="176"/>
      <c r="F2511" s="176"/>
      <c r="G2511" s="176"/>
      <c r="H2511" s="176"/>
      <c r="I2511" s="176"/>
      <c r="J2511" s="176"/>
      <c r="K2511" s="176"/>
      <c r="L2511" s="176"/>
      <c r="M2511" s="176"/>
      <c r="N2511" s="176"/>
      <c r="O2511" s="176"/>
      <c r="P2511" s="176"/>
    </row>
    <row r="2512" hidden="1">
      <c r="A2512" s="176"/>
      <c r="B2512" s="176"/>
      <c r="C2512" s="176"/>
      <c r="D2512" s="176"/>
      <c r="E2512" s="176"/>
      <c r="F2512" s="176"/>
      <c r="G2512" s="176"/>
      <c r="H2512" s="176"/>
      <c r="I2512" s="176"/>
      <c r="J2512" s="176"/>
      <c r="K2512" s="176"/>
      <c r="L2512" s="176"/>
      <c r="M2512" s="176"/>
      <c r="N2512" s="176"/>
      <c r="O2512" s="176"/>
      <c r="P2512" s="176"/>
    </row>
    <row r="2513" hidden="1">
      <c r="A2513" s="176"/>
      <c r="B2513" s="176"/>
      <c r="C2513" s="176"/>
      <c r="D2513" s="176"/>
      <c r="E2513" s="176"/>
      <c r="F2513" s="176"/>
      <c r="G2513" s="176"/>
      <c r="H2513" s="176"/>
      <c r="I2513" s="176"/>
      <c r="J2513" s="176"/>
      <c r="K2513" s="176"/>
      <c r="L2513" s="176"/>
      <c r="M2513" s="176"/>
      <c r="N2513" s="176"/>
      <c r="O2513" s="176"/>
      <c r="P2513" s="176"/>
    </row>
    <row r="2514" hidden="1">
      <c r="A2514" s="176"/>
      <c r="B2514" s="176"/>
      <c r="C2514" s="176"/>
      <c r="D2514" s="176"/>
      <c r="E2514" s="176"/>
      <c r="F2514" s="176"/>
      <c r="G2514" s="176"/>
      <c r="H2514" s="176"/>
      <c r="I2514" s="176"/>
      <c r="J2514" s="176"/>
      <c r="K2514" s="176"/>
      <c r="L2514" s="176"/>
      <c r="M2514" s="176"/>
      <c r="N2514" s="176"/>
      <c r="O2514" s="176"/>
      <c r="P2514" s="176"/>
    </row>
    <row r="2515" hidden="1">
      <c r="A2515" s="176"/>
      <c r="B2515" s="176"/>
      <c r="C2515" s="176"/>
      <c r="D2515" s="176"/>
      <c r="E2515" s="176"/>
      <c r="F2515" s="176"/>
      <c r="G2515" s="176"/>
      <c r="H2515" s="176"/>
      <c r="I2515" s="176"/>
      <c r="J2515" s="176"/>
      <c r="K2515" s="176"/>
      <c r="L2515" s="176"/>
      <c r="M2515" s="176"/>
      <c r="N2515" s="176"/>
      <c r="O2515" s="176"/>
      <c r="P2515" s="176"/>
    </row>
    <row r="2516" hidden="1">
      <c r="A2516" s="176"/>
      <c r="B2516" s="176"/>
      <c r="C2516" s="176"/>
      <c r="D2516" s="176"/>
      <c r="E2516" s="176"/>
      <c r="F2516" s="176"/>
      <c r="G2516" s="176"/>
      <c r="H2516" s="176"/>
      <c r="I2516" s="176"/>
      <c r="J2516" s="176"/>
      <c r="K2516" s="176"/>
      <c r="L2516" s="176"/>
      <c r="M2516" s="176"/>
      <c r="N2516" s="176"/>
      <c r="O2516" s="176"/>
      <c r="P2516" s="176"/>
    </row>
    <row r="2517" hidden="1">
      <c r="A2517" s="176"/>
      <c r="B2517" s="176"/>
      <c r="C2517" s="176"/>
      <c r="D2517" s="176"/>
      <c r="E2517" s="176"/>
      <c r="F2517" s="176"/>
      <c r="G2517" s="176"/>
      <c r="H2517" s="176"/>
      <c r="I2517" s="176"/>
      <c r="J2517" s="176"/>
      <c r="K2517" s="176"/>
      <c r="L2517" s="176"/>
      <c r="M2517" s="176"/>
      <c r="N2517" s="176"/>
      <c r="O2517" s="176"/>
      <c r="P2517" s="176"/>
    </row>
    <row r="2518" hidden="1">
      <c r="A2518" s="176"/>
      <c r="B2518" s="176"/>
      <c r="C2518" s="176"/>
      <c r="D2518" s="176"/>
      <c r="E2518" s="176"/>
      <c r="F2518" s="176"/>
      <c r="G2518" s="176"/>
      <c r="H2518" s="176"/>
      <c r="I2518" s="176"/>
      <c r="J2518" s="176"/>
      <c r="K2518" s="176"/>
      <c r="L2518" s="176"/>
      <c r="M2518" s="176"/>
      <c r="N2518" s="176"/>
      <c r="O2518" s="176"/>
      <c r="P2518" s="176"/>
    </row>
    <row r="2519" hidden="1">
      <c r="A2519" s="176"/>
      <c r="B2519" s="176"/>
      <c r="C2519" s="176"/>
      <c r="D2519" s="176"/>
      <c r="E2519" s="176"/>
      <c r="F2519" s="176"/>
      <c r="G2519" s="176"/>
      <c r="H2519" s="176"/>
      <c r="I2519" s="176"/>
      <c r="J2519" s="176"/>
      <c r="K2519" s="176"/>
      <c r="L2519" s="176"/>
      <c r="M2519" s="176"/>
      <c r="N2519" s="176"/>
      <c r="O2519" s="176"/>
      <c r="P2519" s="176"/>
    </row>
    <row r="2520" hidden="1">
      <c r="A2520" s="176"/>
      <c r="B2520" s="176"/>
      <c r="C2520" s="176"/>
      <c r="D2520" s="176"/>
      <c r="E2520" s="176"/>
      <c r="F2520" s="176"/>
      <c r="G2520" s="176"/>
      <c r="H2520" s="176"/>
      <c r="I2520" s="176"/>
      <c r="J2520" s="176"/>
      <c r="K2520" s="176"/>
      <c r="L2520" s="176"/>
      <c r="M2520" s="176"/>
      <c r="N2520" s="176"/>
      <c r="O2520" s="176"/>
      <c r="P2520" s="176"/>
    </row>
    <row r="2521" hidden="1">
      <c r="A2521" s="176"/>
      <c r="B2521" s="176"/>
      <c r="C2521" s="176"/>
      <c r="D2521" s="176"/>
      <c r="E2521" s="176"/>
      <c r="F2521" s="176"/>
      <c r="G2521" s="176"/>
      <c r="H2521" s="176"/>
      <c r="I2521" s="176"/>
      <c r="J2521" s="176"/>
      <c r="K2521" s="176"/>
      <c r="L2521" s="176"/>
      <c r="M2521" s="176"/>
      <c r="N2521" s="176"/>
      <c r="O2521" s="176"/>
      <c r="P2521" s="176"/>
    </row>
    <row r="2522" hidden="1">
      <c r="A2522" s="176"/>
      <c r="B2522" s="176"/>
      <c r="C2522" s="176"/>
      <c r="D2522" s="176"/>
      <c r="E2522" s="176"/>
      <c r="F2522" s="176"/>
      <c r="G2522" s="176"/>
      <c r="H2522" s="176"/>
      <c r="I2522" s="176"/>
      <c r="J2522" s="176"/>
      <c r="K2522" s="176"/>
      <c r="L2522" s="176"/>
      <c r="M2522" s="176"/>
      <c r="N2522" s="176"/>
      <c r="O2522" s="176"/>
      <c r="P2522" s="176"/>
    </row>
    <row r="2523" hidden="1">
      <c r="A2523" s="176"/>
      <c r="B2523" s="176"/>
      <c r="C2523" s="176"/>
      <c r="D2523" s="176"/>
      <c r="E2523" s="176"/>
      <c r="F2523" s="176"/>
      <c r="G2523" s="176"/>
      <c r="H2523" s="176"/>
      <c r="I2523" s="176"/>
      <c r="J2523" s="176"/>
      <c r="K2523" s="176"/>
      <c r="L2523" s="176"/>
      <c r="M2523" s="176"/>
      <c r="N2523" s="176"/>
      <c r="O2523" s="176"/>
      <c r="P2523" s="176"/>
    </row>
    <row r="2524" hidden="1">
      <c r="A2524" s="176"/>
      <c r="B2524" s="176"/>
      <c r="C2524" s="176"/>
      <c r="D2524" s="176"/>
      <c r="E2524" s="176"/>
      <c r="F2524" s="176"/>
      <c r="G2524" s="176"/>
      <c r="H2524" s="176"/>
      <c r="I2524" s="176"/>
      <c r="J2524" s="176"/>
      <c r="K2524" s="176"/>
      <c r="L2524" s="176"/>
      <c r="M2524" s="176"/>
      <c r="N2524" s="176"/>
      <c r="O2524" s="176"/>
      <c r="P2524" s="176"/>
    </row>
    <row r="2525" hidden="1">
      <c r="A2525" s="176"/>
      <c r="B2525" s="176"/>
      <c r="C2525" s="176"/>
      <c r="D2525" s="176"/>
      <c r="E2525" s="176"/>
      <c r="F2525" s="176"/>
      <c r="G2525" s="176"/>
      <c r="H2525" s="176"/>
      <c r="I2525" s="176"/>
      <c r="J2525" s="176"/>
      <c r="K2525" s="176"/>
      <c r="L2525" s="176"/>
      <c r="M2525" s="176"/>
      <c r="N2525" s="176"/>
      <c r="O2525" s="176"/>
      <c r="P2525" s="176"/>
    </row>
    <row r="2526" hidden="1">
      <c r="A2526" s="176"/>
      <c r="B2526" s="176"/>
      <c r="C2526" s="176"/>
      <c r="D2526" s="176"/>
      <c r="E2526" s="176"/>
      <c r="F2526" s="176"/>
      <c r="G2526" s="176"/>
      <c r="H2526" s="176"/>
      <c r="I2526" s="176"/>
      <c r="J2526" s="176"/>
      <c r="K2526" s="176"/>
      <c r="L2526" s="176"/>
      <c r="M2526" s="176"/>
      <c r="N2526" s="176"/>
      <c r="O2526" s="176"/>
      <c r="P2526" s="176"/>
    </row>
    <row r="2527" hidden="1">
      <c r="A2527" s="176"/>
      <c r="B2527" s="176"/>
      <c r="C2527" s="176"/>
      <c r="D2527" s="176"/>
      <c r="E2527" s="176"/>
      <c r="F2527" s="176"/>
      <c r="G2527" s="176"/>
      <c r="H2527" s="176"/>
      <c r="I2527" s="176"/>
      <c r="J2527" s="176"/>
      <c r="K2527" s="176"/>
      <c r="L2527" s="176"/>
      <c r="M2527" s="176"/>
      <c r="N2527" s="176"/>
      <c r="O2527" s="176"/>
      <c r="P2527" s="176"/>
    </row>
    <row r="2528" hidden="1">
      <c r="A2528" s="176"/>
      <c r="B2528" s="176"/>
      <c r="C2528" s="176"/>
      <c r="D2528" s="176"/>
      <c r="E2528" s="176"/>
      <c r="F2528" s="176"/>
      <c r="G2528" s="176"/>
      <c r="H2528" s="176"/>
      <c r="I2528" s="176"/>
      <c r="J2528" s="176"/>
      <c r="K2528" s="176"/>
      <c r="L2528" s="176"/>
      <c r="M2528" s="176"/>
      <c r="N2528" s="176"/>
      <c r="O2528" s="176"/>
      <c r="P2528" s="176"/>
    </row>
    <row r="2529" hidden="1">
      <c r="A2529" s="176"/>
      <c r="B2529" s="176"/>
      <c r="C2529" s="176"/>
      <c r="D2529" s="176"/>
      <c r="E2529" s="176"/>
      <c r="F2529" s="176"/>
      <c r="G2529" s="176"/>
      <c r="H2529" s="176"/>
      <c r="I2529" s="176"/>
      <c r="J2529" s="176"/>
      <c r="K2529" s="176"/>
      <c r="L2529" s="176"/>
      <c r="M2529" s="176"/>
      <c r="N2529" s="176"/>
      <c r="O2529" s="176"/>
      <c r="P2529" s="176"/>
    </row>
    <row r="2530" hidden="1">
      <c r="A2530" s="176"/>
      <c r="B2530" s="176"/>
      <c r="C2530" s="176"/>
      <c r="D2530" s="176"/>
      <c r="E2530" s="176"/>
      <c r="F2530" s="176"/>
      <c r="G2530" s="176"/>
      <c r="H2530" s="176"/>
      <c r="I2530" s="176"/>
      <c r="J2530" s="176"/>
      <c r="K2530" s="176"/>
      <c r="L2530" s="176"/>
      <c r="M2530" s="176"/>
      <c r="N2530" s="176"/>
      <c r="O2530" s="176"/>
      <c r="P2530" s="176"/>
    </row>
    <row r="2531" hidden="1">
      <c r="A2531" s="176"/>
      <c r="B2531" s="176"/>
      <c r="C2531" s="176"/>
      <c r="D2531" s="176"/>
      <c r="E2531" s="176"/>
      <c r="F2531" s="176"/>
      <c r="G2531" s="176"/>
      <c r="H2531" s="176"/>
      <c r="I2531" s="176"/>
      <c r="J2531" s="176"/>
      <c r="K2531" s="176"/>
      <c r="L2531" s="176"/>
      <c r="M2531" s="176"/>
      <c r="N2531" s="176"/>
      <c r="O2531" s="176"/>
      <c r="P2531" s="176"/>
    </row>
    <row r="2532" hidden="1">
      <c r="A2532" s="176"/>
      <c r="B2532" s="176"/>
      <c r="C2532" s="176"/>
      <c r="D2532" s="176"/>
      <c r="E2532" s="176"/>
      <c r="F2532" s="176"/>
      <c r="G2532" s="176"/>
      <c r="H2532" s="176"/>
      <c r="I2532" s="176"/>
      <c r="J2532" s="176"/>
      <c r="K2532" s="176"/>
      <c r="L2532" s="176"/>
      <c r="M2532" s="176"/>
      <c r="N2532" s="176"/>
      <c r="O2532" s="176"/>
      <c r="P2532" s="176"/>
    </row>
    <row r="2533" hidden="1">
      <c r="A2533" s="176"/>
      <c r="B2533" s="176"/>
      <c r="C2533" s="176"/>
      <c r="D2533" s="176"/>
      <c r="E2533" s="176"/>
      <c r="F2533" s="176"/>
      <c r="G2533" s="176"/>
      <c r="H2533" s="176"/>
      <c r="I2533" s="176"/>
      <c r="J2533" s="176"/>
      <c r="K2533" s="176"/>
      <c r="L2533" s="176"/>
      <c r="M2533" s="176"/>
      <c r="N2533" s="176"/>
      <c r="O2533" s="176"/>
      <c r="P2533" s="176"/>
    </row>
    <row r="2534" hidden="1">
      <c r="A2534" s="176"/>
      <c r="B2534" s="176"/>
      <c r="C2534" s="176"/>
      <c r="D2534" s="176"/>
      <c r="E2534" s="176"/>
      <c r="F2534" s="176"/>
      <c r="G2534" s="176"/>
      <c r="H2534" s="176"/>
      <c r="I2534" s="176"/>
      <c r="J2534" s="176"/>
      <c r="K2534" s="176"/>
      <c r="L2534" s="176"/>
      <c r="M2534" s="176"/>
      <c r="N2534" s="176"/>
      <c r="O2534" s="176"/>
      <c r="P2534" s="176"/>
    </row>
    <row r="2535" hidden="1">
      <c r="A2535" s="176"/>
      <c r="B2535" s="176"/>
      <c r="C2535" s="176"/>
      <c r="D2535" s="176"/>
      <c r="E2535" s="176"/>
      <c r="F2535" s="176"/>
      <c r="G2535" s="176"/>
      <c r="H2535" s="176"/>
      <c r="I2535" s="176"/>
      <c r="J2535" s="176"/>
      <c r="K2535" s="176"/>
      <c r="L2535" s="176"/>
      <c r="M2535" s="176"/>
      <c r="N2535" s="176"/>
      <c r="O2535" s="176"/>
      <c r="P2535" s="176"/>
    </row>
    <row r="2536" hidden="1">
      <c r="A2536" s="176"/>
      <c r="B2536" s="176"/>
      <c r="C2536" s="176"/>
      <c r="D2536" s="176"/>
      <c r="E2536" s="176"/>
      <c r="F2536" s="176"/>
      <c r="G2536" s="176"/>
      <c r="H2536" s="176"/>
      <c r="I2536" s="176"/>
      <c r="J2536" s="176"/>
      <c r="K2536" s="176"/>
      <c r="L2536" s="176"/>
      <c r="M2536" s="176"/>
      <c r="N2536" s="176"/>
      <c r="O2536" s="176"/>
      <c r="P2536" s="176"/>
    </row>
    <row r="2537" hidden="1">
      <c r="A2537" s="176"/>
      <c r="B2537" s="176"/>
      <c r="C2537" s="176"/>
      <c r="D2537" s="176"/>
      <c r="E2537" s="176"/>
      <c r="F2537" s="176"/>
      <c r="G2537" s="176"/>
      <c r="H2537" s="176"/>
      <c r="I2537" s="176"/>
      <c r="J2537" s="176"/>
      <c r="K2537" s="176"/>
      <c r="L2537" s="176"/>
      <c r="M2537" s="176"/>
      <c r="N2537" s="176"/>
      <c r="O2537" s="176"/>
      <c r="P2537" s="176"/>
    </row>
    <row r="2538" hidden="1">
      <c r="A2538" s="176"/>
      <c r="B2538" s="176"/>
      <c r="C2538" s="176"/>
      <c r="D2538" s="176"/>
      <c r="E2538" s="176"/>
      <c r="F2538" s="176"/>
      <c r="G2538" s="176"/>
      <c r="H2538" s="176"/>
      <c r="I2538" s="176"/>
      <c r="J2538" s="176"/>
      <c r="K2538" s="176"/>
      <c r="L2538" s="176"/>
      <c r="M2538" s="176"/>
      <c r="N2538" s="176"/>
      <c r="O2538" s="176"/>
      <c r="P2538" s="176"/>
    </row>
    <row r="2539" hidden="1">
      <c r="A2539" s="176"/>
      <c r="B2539" s="176"/>
      <c r="C2539" s="176"/>
      <c r="D2539" s="176"/>
      <c r="E2539" s="176"/>
      <c r="F2539" s="176"/>
      <c r="G2539" s="176"/>
      <c r="H2539" s="176"/>
      <c r="I2539" s="176"/>
      <c r="J2539" s="176"/>
      <c r="K2539" s="176"/>
      <c r="L2539" s="176"/>
      <c r="M2539" s="176"/>
      <c r="N2539" s="176"/>
      <c r="O2539" s="176"/>
      <c r="P2539" s="176"/>
    </row>
    <row r="2540" hidden="1">
      <c r="A2540" s="176"/>
      <c r="B2540" s="176"/>
      <c r="C2540" s="176"/>
      <c r="D2540" s="176"/>
      <c r="E2540" s="176"/>
      <c r="F2540" s="176"/>
      <c r="G2540" s="176"/>
      <c r="H2540" s="176"/>
      <c r="I2540" s="176"/>
      <c r="J2540" s="176"/>
      <c r="K2540" s="176"/>
      <c r="L2540" s="176"/>
      <c r="M2540" s="176"/>
      <c r="N2540" s="176"/>
      <c r="O2540" s="176"/>
      <c r="P2540" s="176"/>
    </row>
    <row r="2541" hidden="1">
      <c r="A2541" s="176"/>
      <c r="B2541" s="176"/>
      <c r="C2541" s="176"/>
      <c r="D2541" s="176"/>
      <c r="E2541" s="176"/>
      <c r="F2541" s="176"/>
      <c r="G2541" s="176"/>
      <c r="H2541" s="176"/>
      <c r="I2541" s="176"/>
      <c r="J2541" s="176"/>
      <c r="K2541" s="176"/>
      <c r="L2541" s="176"/>
      <c r="M2541" s="176"/>
      <c r="N2541" s="176"/>
      <c r="O2541" s="176"/>
      <c r="P2541" s="176"/>
    </row>
    <row r="2542" hidden="1">
      <c r="A2542" s="176"/>
      <c r="B2542" s="176"/>
      <c r="C2542" s="176"/>
      <c r="D2542" s="176"/>
      <c r="E2542" s="176"/>
      <c r="F2542" s="176"/>
      <c r="G2542" s="176"/>
      <c r="H2542" s="176"/>
      <c r="I2542" s="176"/>
      <c r="J2542" s="176"/>
      <c r="K2542" s="176"/>
      <c r="L2542" s="176"/>
      <c r="M2542" s="176"/>
      <c r="N2542" s="176"/>
      <c r="O2542" s="176"/>
      <c r="P2542" s="176"/>
    </row>
    <row r="2543" hidden="1">
      <c r="A2543" s="176"/>
      <c r="B2543" s="176"/>
      <c r="C2543" s="176"/>
      <c r="D2543" s="176"/>
      <c r="E2543" s="176"/>
      <c r="F2543" s="176"/>
      <c r="G2543" s="176"/>
      <c r="H2543" s="176"/>
      <c r="I2543" s="176"/>
      <c r="J2543" s="176"/>
      <c r="K2543" s="176"/>
      <c r="L2543" s="176"/>
      <c r="M2543" s="176"/>
      <c r="N2543" s="176"/>
      <c r="O2543" s="176"/>
      <c r="P2543" s="176"/>
    </row>
    <row r="2544" hidden="1">
      <c r="A2544" s="176"/>
      <c r="B2544" s="176"/>
      <c r="C2544" s="176"/>
      <c r="D2544" s="176"/>
      <c r="E2544" s="176"/>
      <c r="F2544" s="176"/>
      <c r="G2544" s="176"/>
      <c r="H2544" s="176"/>
      <c r="I2544" s="176"/>
      <c r="J2544" s="176"/>
      <c r="K2544" s="176"/>
      <c r="L2544" s="176"/>
      <c r="M2544" s="176"/>
      <c r="N2544" s="176"/>
      <c r="O2544" s="176"/>
      <c r="P2544" s="176"/>
    </row>
    <row r="2545" hidden="1">
      <c r="A2545" s="176"/>
      <c r="B2545" s="176"/>
      <c r="C2545" s="176"/>
      <c r="D2545" s="176"/>
      <c r="E2545" s="176"/>
      <c r="F2545" s="176"/>
      <c r="G2545" s="176"/>
      <c r="H2545" s="176"/>
      <c r="I2545" s="176"/>
      <c r="J2545" s="176"/>
      <c r="K2545" s="176"/>
      <c r="L2545" s="176"/>
      <c r="M2545" s="176"/>
      <c r="N2545" s="176"/>
      <c r="O2545" s="176"/>
      <c r="P2545" s="176"/>
    </row>
    <row r="2546" hidden="1">
      <c r="A2546" s="176"/>
      <c r="B2546" s="176"/>
      <c r="C2546" s="176"/>
      <c r="D2546" s="176"/>
      <c r="E2546" s="176"/>
      <c r="F2546" s="176"/>
      <c r="G2546" s="176"/>
      <c r="H2546" s="176"/>
      <c r="I2546" s="176"/>
      <c r="J2546" s="176"/>
      <c r="K2546" s="176"/>
      <c r="L2546" s="176"/>
      <c r="M2546" s="176"/>
      <c r="N2546" s="176"/>
      <c r="O2546" s="176"/>
      <c r="P2546" s="176"/>
    </row>
    <row r="2547" hidden="1">
      <c r="A2547" s="176"/>
      <c r="B2547" s="176"/>
      <c r="C2547" s="176"/>
      <c r="D2547" s="176"/>
      <c r="E2547" s="176"/>
      <c r="F2547" s="176"/>
      <c r="G2547" s="176"/>
      <c r="H2547" s="176"/>
      <c r="I2547" s="176"/>
      <c r="J2547" s="176"/>
      <c r="K2547" s="176"/>
      <c r="L2547" s="176"/>
      <c r="M2547" s="176"/>
      <c r="N2547" s="176"/>
      <c r="O2547" s="176"/>
      <c r="P2547" s="176"/>
    </row>
    <row r="2548" hidden="1">
      <c r="A2548" s="176"/>
      <c r="B2548" s="176"/>
      <c r="C2548" s="176"/>
      <c r="D2548" s="176"/>
      <c r="E2548" s="176"/>
      <c r="F2548" s="176"/>
      <c r="G2548" s="176"/>
      <c r="H2548" s="176"/>
      <c r="I2548" s="176"/>
      <c r="J2548" s="176"/>
      <c r="K2548" s="176"/>
      <c r="L2548" s="176"/>
      <c r="M2548" s="176"/>
      <c r="N2548" s="176"/>
      <c r="O2548" s="176"/>
      <c r="P2548" s="176"/>
    </row>
    <row r="2549" hidden="1">
      <c r="A2549" s="176"/>
      <c r="B2549" s="176"/>
      <c r="C2549" s="176"/>
      <c r="D2549" s="176"/>
      <c r="E2549" s="176"/>
      <c r="F2549" s="176"/>
      <c r="G2549" s="176"/>
      <c r="H2549" s="176"/>
      <c r="I2549" s="176"/>
      <c r="J2549" s="176"/>
      <c r="K2549" s="176"/>
      <c r="L2549" s="176"/>
      <c r="M2549" s="176"/>
      <c r="N2549" s="176"/>
      <c r="O2549" s="176"/>
      <c r="P2549" s="176"/>
    </row>
    <row r="2550" hidden="1">
      <c r="A2550" s="176"/>
      <c r="B2550" s="176"/>
      <c r="C2550" s="176"/>
      <c r="D2550" s="176"/>
      <c r="E2550" s="176"/>
      <c r="F2550" s="176"/>
      <c r="G2550" s="176"/>
      <c r="H2550" s="176"/>
      <c r="I2550" s="176"/>
      <c r="J2550" s="176"/>
      <c r="K2550" s="176"/>
      <c r="L2550" s="176"/>
      <c r="M2550" s="176"/>
      <c r="N2550" s="176"/>
      <c r="O2550" s="176"/>
      <c r="P2550" s="176"/>
    </row>
    <row r="2551" hidden="1">
      <c r="A2551" s="176"/>
      <c r="B2551" s="176"/>
      <c r="C2551" s="176"/>
      <c r="D2551" s="176"/>
      <c r="E2551" s="176"/>
      <c r="F2551" s="176"/>
      <c r="G2551" s="176"/>
      <c r="H2551" s="176"/>
      <c r="I2551" s="176"/>
      <c r="J2551" s="176"/>
      <c r="K2551" s="176"/>
      <c r="L2551" s="176"/>
      <c r="M2551" s="176"/>
      <c r="N2551" s="176"/>
      <c r="O2551" s="176"/>
      <c r="P2551" s="176"/>
    </row>
    <row r="2552" hidden="1">
      <c r="A2552" s="176"/>
      <c r="B2552" s="176"/>
      <c r="C2552" s="176"/>
      <c r="D2552" s="176"/>
      <c r="E2552" s="176"/>
      <c r="F2552" s="176"/>
      <c r="G2552" s="176"/>
      <c r="H2552" s="176"/>
      <c r="I2552" s="176"/>
      <c r="J2552" s="176"/>
      <c r="K2552" s="176"/>
      <c r="L2552" s="176"/>
      <c r="M2552" s="176"/>
      <c r="N2552" s="176"/>
      <c r="O2552" s="176"/>
      <c r="P2552" s="176"/>
    </row>
    <row r="2553" hidden="1">
      <c r="A2553" s="176"/>
      <c r="B2553" s="176"/>
      <c r="C2553" s="176"/>
      <c r="D2553" s="176"/>
      <c r="E2553" s="176"/>
      <c r="F2553" s="176"/>
      <c r="G2553" s="176"/>
      <c r="H2553" s="176"/>
      <c r="I2553" s="176"/>
      <c r="J2553" s="176"/>
      <c r="K2553" s="176"/>
      <c r="L2553" s="176"/>
      <c r="M2553" s="176"/>
      <c r="N2553" s="176"/>
      <c r="O2553" s="176"/>
      <c r="P2553" s="176"/>
    </row>
    <row r="2554" hidden="1">
      <c r="A2554" s="176"/>
      <c r="B2554" s="176"/>
      <c r="C2554" s="176"/>
      <c r="D2554" s="176"/>
      <c r="E2554" s="176"/>
      <c r="F2554" s="176"/>
      <c r="G2554" s="176"/>
      <c r="H2554" s="176"/>
      <c r="I2554" s="176"/>
      <c r="J2554" s="176"/>
      <c r="K2554" s="176"/>
      <c r="L2554" s="176"/>
      <c r="M2554" s="176"/>
      <c r="N2554" s="176"/>
      <c r="O2554" s="176"/>
      <c r="P2554" s="176"/>
    </row>
    <row r="2555" hidden="1">
      <c r="A2555" s="176"/>
      <c r="B2555" s="176"/>
      <c r="C2555" s="176"/>
      <c r="D2555" s="176"/>
      <c r="E2555" s="176"/>
      <c r="F2555" s="176"/>
      <c r="G2555" s="176"/>
      <c r="H2555" s="176"/>
      <c r="I2555" s="176"/>
      <c r="J2555" s="176"/>
      <c r="K2555" s="176"/>
      <c r="L2555" s="176"/>
      <c r="M2555" s="176"/>
      <c r="N2555" s="176"/>
      <c r="O2555" s="176"/>
      <c r="P2555" s="176"/>
    </row>
    <row r="2556" hidden="1">
      <c r="A2556" s="176"/>
      <c r="B2556" s="176"/>
      <c r="C2556" s="176"/>
      <c r="D2556" s="176"/>
      <c r="E2556" s="176"/>
      <c r="F2556" s="176"/>
      <c r="G2556" s="176"/>
      <c r="H2556" s="176"/>
      <c r="I2556" s="176"/>
      <c r="J2556" s="176"/>
      <c r="K2556" s="176"/>
      <c r="L2556" s="176"/>
      <c r="M2556" s="176"/>
      <c r="N2556" s="176"/>
      <c r="O2556" s="176"/>
      <c r="P2556" s="176"/>
    </row>
    <row r="2557" hidden="1">
      <c r="A2557" s="176"/>
      <c r="B2557" s="176"/>
      <c r="C2557" s="176"/>
      <c r="D2557" s="176"/>
      <c r="E2557" s="176"/>
      <c r="F2557" s="176"/>
      <c r="G2557" s="176"/>
      <c r="H2557" s="176"/>
      <c r="I2557" s="176"/>
      <c r="J2557" s="176"/>
      <c r="K2557" s="176"/>
      <c r="L2557" s="176"/>
      <c r="M2557" s="176"/>
      <c r="N2557" s="176"/>
      <c r="O2557" s="176"/>
      <c r="P2557" s="176"/>
    </row>
    <row r="2558" hidden="1">
      <c r="A2558" s="176"/>
      <c r="B2558" s="176"/>
      <c r="C2558" s="176"/>
      <c r="D2558" s="176"/>
      <c r="E2558" s="176"/>
      <c r="F2558" s="176"/>
      <c r="G2558" s="176"/>
      <c r="H2558" s="176"/>
      <c r="I2558" s="176"/>
      <c r="J2558" s="176"/>
      <c r="K2558" s="176"/>
      <c r="L2558" s="176"/>
      <c r="M2558" s="176"/>
      <c r="N2558" s="176"/>
      <c r="O2558" s="176"/>
      <c r="P2558" s="176"/>
    </row>
    <row r="2559" hidden="1">
      <c r="A2559" s="176"/>
      <c r="B2559" s="176"/>
      <c r="C2559" s="176"/>
      <c r="D2559" s="176"/>
      <c r="E2559" s="176"/>
      <c r="F2559" s="176"/>
      <c r="G2559" s="176"/>
      <c r="H2559" s="176"/>
      <c r="I2559" s="176"/>
      <c r="J2559" s="176"/>
      <c r="K2559" s="176"/>
      <c r="L2559" s="176"/>
      <c r="M2559" s="176"/>
      <c r="N2559" s="176"/>
      <c r="O2559" s="176"/>
      <c r="P2559" s="176"/>
    </row>
    <row r="2560" hidden="1">
      <c r="A2560" s="176"/>
      <c r="B2560" s="176"/>
      <c r="C2560" s="176"/>
      <c r="D2560" s="176"/>
      <c r="E2560" s="176"/>
      <c r="F2560" s="176"/>
      <c r="G2560" s="176"/>
      <c r="H2560" s="176"/>
      <c r="I2560" s="176"/>
      <c r="J2560" s="176"/>
      <c r="K2560" s="176"/>
      <c r="L2560" s="176"/>
      <c r="M2560" s="176"/>
      <c r="N2560" s="176"/>
      <c r="O2560" s="176"/>
      <c r="P2560" s="176"/>
    </row>
    <row r="2561" hidden="1">
      <c r="A2561" s="176"/>
      <c r="B2561" s="176"/>
      <c r="C2561" s="176"/>
      <c r="D2561" s="176"/>
      <c r="E2561" s="176"/>
      <c r="F2561" s="176"/>
      <c r="G2561" s="176"/>
      <c r="H2561" s="176"/>
      <c r="I2561" s="176"/>
      <c r="J2561" s="176"/>
      <c r="K2561" s="176"/>
      <c r="L2561" s="176"/>
      <c r="M2561" s="176"/>
      <c r="N2561" s="176"/>
      <c r="O2561" s="176"/>
      <c r="P2561" s="176"/>
    </row>
    <row r="2562" hidden="1">
      <c r="A2562" s="176"/>
      <c r="B2562" s="176"/>
      <c r="C2562" s="176"/>
      <c r="D2562" s="176"/>
      <c r="E2562" s="176"/>
      <c r="F2562" s="176"/>
      <c r="G2562" s="176"/>
      <c r="H2562" s="176"/>
      <c r="I2562" s="176"/>
      <c r="J2562" s="176"/>
      <c r="K2562" s="176"/>
      <c r="L2562" s="176"/>
      <c r="M2562" s="176"/>
      <c r="N2562" s="176"/>
      <c r="O2562" s="176"/>
      <c r="P2562" s="176"/>
    </row>
    <row r="2563" hidden="1">
      <c r="A2563" s="176"/>
      <c r="B2563" s="176"/>
      <c r="C2563" s="176"/>
      <c r="D2563" s="176"/>
      <c r="E2563" s="176"/>
      <c r="F2563" s="176"/>
      <c r="G2563" s="176"/>
      <c r="H2563" s="176"/>
      <c r="I2563" s="176"/>
      <c r="J2563" s="176"/>
      <c r="K2563" s="176"/>
      <c r="L2563" s="176"/>
      <c r="M2563" s="176"/>
      <c r="N2563" s="176"/>
      <c r="O2563" s="176"/>
      <c r="P2563" s="176"/>
    </row>
    <row r="2564" hidden="1">
      <c r="A2564" s="176"/>
      <c r="B2564" s="176"/>
      <c r="C2564" s="176"/>
      <c r="D2564" s="176"/>
      <c r="E2564" s="176"/>
      <c r="F2564" s="176"/>
      <c r="G2564" s="176"/>
      <c r="H2564" s="176"/>
      <c r="I2564" s="176"/>
      <c r="J2564" s="176"/>
      <c r="K2564" s="176"/>
      <c r="L2564" s="176"/>
      <c r="M2564" s="176"/>
      <c r="N2564" s="176"/>
      <c r="O2564" s="176"/>
      <c r="P2564" s="176"/>
    </row>
    <row r="2565" hidden="1">
      <c r="A2565" s="176"/>
      <c r="B2565" s="176"/>
      <c r="C2565" s="176"/>
      <c r="D2565" s="176"/>
      <c r="E2565" s="176"/>
      <c r="F2565" s="176"/>
      <c r="G2565" s="176"/>
      <c r="H2565" s="176"/>
      <c r="I2565" s="176"/>
      <c r="J2565" s="176"/>
      <c r="K2565" s="176"/>
      <c r="L2565" s="176"/>
      <c r="M2565" s="176"/>
      <c r="N2565" s="176"/>
      <c r="O2565" s="176"/>
      <c r="P2565" s="176"/>
    </row>
    <row r="2566" hidden="1">
      <c r="A2566" s="176"/>
      <c r="B2566" s="176"/>
      <c r="C2566" s="176"/>
      <c r="D2566" s="176"/>
      <c r="E2566" s="176"/>
      <c r="F2566" s="176"/>
      <c r="G2566" s="176"/>
      <c r="H2566" s="176"/>
      <c r="I2566" s="176"/>
      <c r="J2566" s="176"/>
      <c r="K2566" s="176"/>
      <c r="L2566" s="176"/>
      <c r="M2566" s="176"/>
      <c r="N2566" s="176"/>
      <c r="O2566" s="176"/>
      <c r="P2566" s="176"/>
    </row>
    <row r="2567" hidden="1">
      <c r="A2567" s="176"/>
      <c r="B2567" s="176"/>
      <c r="C2567" s="176"/>
      <c r="D2567" s="176"/>
      <c r="E2567" s="176"/>
      <c r="F2567" s="176"/>
      <c r="G2567" s="176"/>
      <c r="H2567" s="176"/>
      <c r="I2567" s="176"/>
      <c r="J2567" s="176"/>
      <c r="K2567" s="176"/>
      <c r="L2567" s="176"/>
      <c r="M2567" s="176"/>
      <c r="N2567" s="176"/>
      <c r="O2567" s="176"/>
      <c r="P2567" s="176"/>
    </row>
    <row r="2568" hidden="1">
      <c r="A2568" s="176"/>
      <c r="B2568" s="176"/>
      <c r="C2568" s="176"/>
      <c r="D2568" s="176"/>
      <c r="E2568" s="176"/>
      <c r="F2568" s="176"/>
      <c r="G2568" s="176"/>
      <c r="H2568" s="176"/>
      <c r="I2568" s="176"/>
      <c r="J2568" s="176"/>
      <c r="K2568" s="176"/>
      <c r="L2568" s="176"/>
      <c r="M2568" s="176"/>
      <c r="N2568" s="176"/>
      <c r="O2568" s="176"/>
      <c r="P2568" s="176"/>
    </row>
    <row r="2569" hidden="1">
      <c r="A2569" s="176"/>
      <c r="B2569" s="176"/>
      <c r="C2569" s="176"/>
      <c r="D2569" s="176"/>
      <c r="E2569" s="176"/>
      <c r="F2569" s="176"/>
      <c r="G2569" s="176"/>
      <c r="H2569" s="176"/>
      <c r="I2569" s="176"/>
      <c r="J2569" s="176"/>
      <c r="K2569" s="176"/>
      <c r="L2569" s="176"/>
      <c r="M2569" s="176"/>
      <c r="N2569" s="176"/>
      <c r="O2569" s="176"/>
      <c r="P2569" s="176"/>
    </row>
    <row r="2570" hidden="1">
      <c r="A2570" s="176"/>
      <c r="B2570" s="176"/>
      <c r="C2570" s="176"/>
      <c r="D2570" s="176"/>
      <c r="E2570" s="176"/>
      <c r="F2570" s="176"/>
      <c r="G2570" s="176"/>
      <c r="H2570" s="176"/>
      <c r="I2570" s="176"/>
      <c r="J2570" s="176"/>
      <c r="K2570" s="176"/>
      <c r="L2570" s="176"/>
      <c r="M2570" s="176"/>
      <c r="N2570" s="176"/>
      <c r="O2570" s="176"/>
      <c r="P2570" s="176"/>
    </row>
    <row r="2571" hidden="1">
      <c r="A2571" s="176"/>
      <c r="B2571" s="176"/>
      <c r="C2571" s="176"/>
      <c r="D2571" s="176"/>
      <c r="E2571" s="176"/>
      <c r="F2571" s="176"/>
      <c r="G2571" s="176"/>
      <c r="H2571" s="176"/>
      <c r="I2571" s="176"/>
      <c r="J2571" s="176"/>
      <c r="K2571" s="176"/>
      <c r="L2571" s="176"/>
      <c r="M2571" s="176"/>
      <c r="N2571" s="176"/>
      <c r="O2571" s="176"/>
      <c r="P2571" s="176"/>
    </row>
    <row r="2572" hidden="1">
      <c r="A2572" s="176"/>
      <c r="B2572" s="176"/>
      <c r="C2572" s="176"/>
      <c r="D2572" s="176"/>
      <c r="E2572" s="176"/>
      <c r="F2572" s="176"/>
      <c r="G2572" s="176"/>
      <c r="H2572" s="176"/>
      <c r="I2572" s="176"/>
      <c r="J2572" s="176"/>
      <c r="K2572" s="176"/>
      <c r="L2572" s="176"/>
      <c r="M2572" s="176"/>
      <c r="N2572" s="176"/>
      <c r="O2572" s="176"/>
      <c r="P2572" s="176"/>
    </row>
    <row r="2573" hidden="1">
      <c r="A2573" s="176"/>
      <c r="B2573" s="176"/>
      <c r="C2573" s="176"/>
      <c r="D2573" s="176"/>
      <c r="E2573" s="176"/>
      <c r="F2573" s="176"/>
      <c r="G2573" s="176"/>
      <c r="H2573" s="176"/>
      <c r="I2573" s="176"/>
      <c r="J2573" s="176"/>
      <c r="K2573" s="176"/>
      <c r="L2573" s="176"/>
      <c r="M2573" s="176"/>
      <c r="N2573" s="176"/>
      <c r="O2573" s="176"/>
      <c r="P2573" s="176"/>
    </row>
    <row r="2574" hidden="1">
      <c r="A2574" s="176"/>
      <c r="B2574" s="176"/>
      <c r="C2574" s="176"/>
      <c r="D2574" s="176"/>
      <c r="E2574" s="176"/>
      <c r="F2574" s="176"/>
      <c r="G2574" s="176"/>
      <c r="H2574" s="176"/>
      <c r="I2574" s="176"/>
      <c r="J2574" s="176"/>
      <c r="K2574" s="176"/>
      <c r="L2574" s="176"/>
      <c r="M2574" s="176"/>
      <c r="N2574" s="176"/>
      <c r="O2574" s="176"/>
      <c r="P2574" s="176"/>
    </row>
    <row r="2575" hidden="1">
      <c r="A2575" s="176"/>
      <c r="B2575" s="176"/>
      <c r="C2575" s="176"/>
      <c r="D2575" s="176"/>
      <c r="E2575" s="176"/>
      <c r="F2575" s="176"/>
      <c r="G2575" s="176"/>
      <c r="H2575" s="176"/>
      <c r="I2575" s="176"/>
      <c r="J2575" s="176"/>
      <c r="K2575" s="176"/>
      <c r="L2575" s="176"/>
      <c r="M2575" s="176"/>
      <c r="N2575" s="176"/>
      <c r="O2575" s="176"/>
      <c r="P2575" s="176"/>
    </row>
    <row r="2576" hidden="1">
      <c r="A2576" s="176"/>
      <c r="B2576" s="176"/>
      <c r="C2576" s="176"/>
      <c r="D2576" s="176"/>
      <c r="E2576" s="176"/>
      <c r="F2576" s="176"/>
      <c r="G2576" s="176"/>
      <c r="H2576" s="176"/>
      <c r="I2576" s="176"/>
      <c r="J2576" s="176"/>
      <c r="K2576" s="176"/>
      <c r="L2576" s="176"/>
      <c r="M2576" s="176"/>
      <c r="N2576" s="176"/>
      <c r="O2576" s="176"/>
      <c r="P2576" s="176"/>
    </row>
    <row r="2577" hidden="1">
      <c r="A2577" s="176"/>
      <c r="B2577" s="176"/>
      <c r="C2577" s="176"/>
      <c r="D2577" s="176"/>
      <c r="E2577" s="176"/>
      <c r="F2577" s="176"/>
      <c r="G2577" s="176"/>
      <c r="H2577" s="176"/>
      <c r="I2577" s="176"/>
      <c r="J2577" s="176"/>
      <c r="K2577" s="176"/>
      <c r="L2577" s="176"/>
      <c r="M2577" s="176"/>
      <c r="N2577" s="176"/>
      <c r="O2577" s="176"/>
      <c r="P2577" s="176"/>
    </row>
    <row r="2578" hidden="1">
      <c r="A2578" s="176"/>
      <c r="B2578" s="176"/>
      <c r="C2578" s="176"/>
      <c r="D2578" s="176"/>
      <c r="E2578" s="176"/>
      <c r="F2578" s="176"/>
      <c r="G2578" s="176"/>
      <c r="H2578" s="176"/>
      <c r="I2578" s="176"/>
      <c r="J2578" s="176"/>
      <c r="K2578" s="176"/>
      <c r="L2578" s="176"/>
      <c r="M2578" s="176"/>
      <c r="N2578" s="176"/>
      <c r="O2578" s="176"/>
      <c r="P2578" s="176"/>
    </row>
    <row r="2579" hidden="1">
      <c r="A2579" s="176"/>
      <c r="B2579" s="176"/>
      <c r="C2579" s="176"/>
      <c r="D2579" s="176"/>
      <c r="E2579" s="176"/>
      <c r="F2579" s="176"/>
      <c r="G2579" s="176"/>
      <c r="H2579" s="176"/>
      <c r="I2579" s="176"/>
      <c r="J2579" s="176"/>
      <c r="K2579" s="176"/>
      <c r="L2579" s="176"/>
      <c r="M2579" s="176"/>
      <c r="N2579" s="176"/>
      <c r="O2579" s="176"/>
      <c r="P2579" s="176"/>
    </row>
    <row r="2580" hidden="1">
      <c r="A2580" s="176"/>
      <c r="B2580" s="176"/>
      <c r="C2580" s="176"/>
      <c r="D2580" s="176"/>
      <c r="E2580" s="176"/>
      <c r="F2580" s="176"/>
      <c r="G2580" s="176"/>
      <c r="H2580" s="176"/>
      <c r="I2580" s="176"/>
      <c r="J2580" s="176"/>
      <c r="K2580" s="176"/>
      <c r="L2580" s="176"/>
      <c r="M2580" s="176"/>
      <c r="N2580" s="176"/>
      <c r="O2580" s="176"/>
      <c r="P2580" s="176"/>
    </row>
    <row r="2581" hidden="1">
      <c r="A2581" s="176"/>
      <c r="B2581" s="176"/>
      <c r="C2581" s="176"/>
      <c r="D2581" s="176"/>
      <c r="E2581" s="176"/>
      <c r="F2581" s="176"/>
      <c r="G2581" s="176"/>
      <c r="H2581" s="176"/>
      <c r="I2581" s="176"/>
      <c r="J2581" s="176"/>
      <c r="K2581" s="176"/>
      <c r="L2581" s="176"/>
      <c r="M2581" s="176"/>
      <c r="N2581" s="176"/>
      <c r="O2581" s="176"/>
      <c r="P2581" s="176"/>
    </row>
    <row r="2582" hidden="1">
      <c r="A2582" s="176"/>
      <c r="B2582" s="176"/>
      <c r="C2582" s="176"/>
      <c r="D2582" s="176"/>
      <c r="E2582" s="176"/>
      <c r="F2582" s="176"/>
      <c r="G2582" s="176"/>
      <c r="H2582" s="176"/>
      <c r="I2582" s="176"/>
      <c r="J2582" s="176"/>
      <c r="K2582" s="176"/>
      <c r="L2582" s="176"/>
      <c r="M2582" s="176"/>
      <c r="N2582" s="176"/>
      <c r="O2582" s="176"/>
      <c r="P2582" s="176"/>
    </row>
    <row r="2583" hidden="1">
      <c r="A2583" s="176"/>
      <c r="B2583" s="176"/>
      <c r="C2583" s="176"/>
      <c r="D2583" s="176"/>
      <c r="E2583" s="176"/>
      <c r="F2583" s="176"/>
      <c r="G2583" s="176"/>
      <c r="H2583" s="176"/>
      <c r="I2583" s="176"/>
      <c r="J2583" s="176"/>
      <c r="K2583" s="176"/>
      <c r="L2583" s="176"/>
      <c r="M2583" s="176"/>
      <c r="N2583" s="176"/>
      <c r="O2583" s="176"/>
      <c r="P2583" s="176"/>
    </row>
    <row r="2584" hidden="1">
      <c r="A2584" s="176"/>
      <c r="B2584" s="176"/>
      <c r="C2584" s="176"/>
      <c r="D2584" s="176"/>
      <c r="E2584" s="176"/>
      <c r="F2584" s="176"/>
      <c r="G2584" s="176"/>
      <c r="H2584" s="176"/>
      <c r="I2584" s="176"/>
      <c r="J2584" s="176"/>
      <c r="K2584" s="176"/>
      <c r="L2584" s="176"/>
      <c r="M2584" s="176"/>
      <c r="N2584" s="176"/>
      <c r="O2584" s="176"/>
      <c r="P2584" s="176"/>
    </row>
    <row r="2585" hidden="1">
      <c r="A2585" s="176"/>
      <c r="B2585" s="176"/>
      <c r="C2585" s="176"/>
      <c r="D2585" s="176"/>
      <c r="E2585" s="176"/>
      <c r="F2585" s="176"/>
      <c r="G2585" s="176"/>
      <c r="H2585" s="176"/>
      <c r="I2585" s="176"/>
      <c r="J2585" s="176"/>
      <c r="K2585" s="176"/>
      <c r="L2585" s="176"/>
      <c r="M2585" s="176"/>
      <c r="N2585" s="176"/>
      <c r="O2585" s="176"/>
      <c r="P2585" s="176"/>
    </row>
    <row r="2586" hidden="1">
      <c r="A2586" s="176"/>
      <c r="B2586" s="176"/>
      <c r="C2586" s="176"/>
      <c r="D2586" s="176"/>
      <c r="E2586" s="176"/>
      <c r="F2586" s="176"/>
      <c r="G2586" s="176"/>
      <c r="H2586" s="176"/>
      <c r="I2586" s="176"/>
      <c r="J2586" s="176"/>
      <c r="K2586" s="176"/>
      <c r="L2586" s="176"/>
      <c r="M2586" s="176"/>
      <c r="N2586" s="176"/>
      <c r="O2586" s="176"/>
      <c r="P2586" s="176"/>
    </row>
    <row r="2587" hidden="1">
      <c r="A2587" s="176"/>
      <c r="B2587" s="176"/>
      <c r="C2587" s="176"/>
      <c r="D2587" s="176"/>
      <c r="E2587" s="176"/>
      <c r="F2587" s="176"/>
      <c r="G2587" s="176"/>
      <c r="H2587" s="176"/>
      <c r="I2587" s="176"/>
      <c r="J2587" s="176"/>
      <c r="K2587" s="176"/>
      <c r="L2587" s="176"/>
      <c r="M2587" s="176"/>
      <c r="N2587" s="176"/>
      <c r="O2587" s="176"/>
      <c r="P2587" s="176"/>
    </row>
    <row r="2588" hidden="1">
      <c r="A2588" s="176"/>
      <c r="B2588" s="176"/>
      <c r="C2588" s="176"/>
      <c r="D2588" s="176"/>
      <c r="E2588" s="176"/>
      <c r="F2588" s="176"/>
      <c r="G2588" s="176"/>
      <c r="H2588" s="176"/>
      <c r="I2588" s="176"/>
      <c r="J2588" s="176"/>
      <c r="K2588" s="176"/>
      <c r="L2588" s="176"/>
      <c r="M2588" s="176"/>
      <c r="N2588" s="176"/>
      <c r="O2588" s="176"/>
      <c r="P2588" s="176"/>
    </row>
    <row r="2589" hidden="1">
      <c r="A2589" s="176"/>
      <c r="B2589" s="176"/>
      <c r="C2589" s="176"/>
      <c r="D2589" s="176"/>
      <c r="E2589" s="176"/>
      <c r="F2589" s="176"/>
      <c r="G2589" s="176"/>
      <c r="H2589" s="176"/>
      <c r="I2589" s="176"/>
      <c r="J2589" s="176"/>
      <c r="K2589" s="176"/>
      <c r="L2589" s="176"/>
      <c r="M2589" s="176"/>
      <c r="N2589" s="176"/>
      <c r="O2589" s="176"/>
      <c r="P2589" s="176"/>
    </row>
    <row r="2590" hidden="1">
      <c r="A2590" s="176"/>
      <c r="B2590" s="176"/>
      <c r="C2590" s="176"/>
      <c r="D2590" s="176"/>
      <c r="E2590" s="176"/>
      <c r="F2590" s="176"/>
      <c r="G2590" s="176"/>
      <c r="H2590" s="176"/>
      <c r="I2590" s="176"/>
      <c r="J2590" s="176"/>
      <c r="K2590" s="176"/>
      <c r="L2590" s="176"/>
      <c r="M2590" s="176"/>
      <c r="N2590" s="176"/>
      <c r="O2590" s="176"/>
      <c r="P2590" s="176"/>
    </row>
    <row r="2591" hidden="1">
      <c r="A2591" s="176"/>
      <c r="B2591" s="176"/>
      <c r="C2591" s="176"/>
      <c r="D2591" s="176"/>
      <c r="E2591" s="176"/>
      <c r="F2591" s="176"/>
      <c r="G2591" s="176"/>
      <c r="H2591" s="176"/>
      <c r="I2591" s="176"/>
      <c r="J2591" s="176"/>
      <c r="K2591" s="176"/>
      <c r="L2591" s="176"/>
      <c r="M2591" s="176"/>
      <c r="N2591" s="176"/>
      <c r="O2591" s="176"/>
      <c r="P2591" s="176"/>
    </row>
    <row r="2592" hidden="1">
      <c r="A2592" s="176"/>
      <c r="B2592" s="176"/>
      <c r="C2592" s="176"/>
      <c r="D2592" s="176"/>
      <c r="E2592" s="176"/>
      <c r="F2592" s="176"/>
      <c r="G2592" s="176"/>
      <c r="H2592" s="176"/>
      <c r="I2592" s="176"/>
      <c r="J2592" s="176"/>
      <c r="K2592" s="176"/>
      <c r="L2592" s="176"/>
      <c r="M2592" s="176"/>
      <c r="N2592" s="176"/>
      <c r="O2592" s="176"/>
      <c r="P2592" s="176"/>
    </row>
    <row r="2593" hidden="1">
      <c r="A2593" s="176"/>
      <c r="B2593" s="176"/>
      <c r="C2593" s="176"/>
      <c r="D2593" s="176"/>
      <c r="E2593" s="176"/>
      <c r="F2593" s="176"/>
      <c r="G2593" s="176"/>
      <c r="H2593" s="176"/>
      <c r="I2593" s="176"/>
      <c r="J2593" s="176"/>
      <c r="K2593" s="176"/>
      <c r="L2593" s="176"/>
      <c r="M2593" s="176"/>
      <c r="N2593" s="176"/>
      <c r="O2593" s="176"/>
      <c r="P2593" s="176"/>
    </row>
    <row r="2594" hidden="1">
      <c r="A2594" s="176"/>
      <c r="B2594" s="176"/>
      <c r="C2594" s="176"/>
      <c r="D2594" s="176"/>
      <c r="E2594" s="176"/>
      <c r="F2594" s="176"/>
      <c r="G2594" s="176"/>
      <c r="H2594" s="176"/>
      <c r="I2594" s="176"/>
      <c r="J2594" s="176"/>
      <c r="K2594" s="176"/>
      <c r="L2594" s="176"/>
      <c r="M2594" s="176"/>
      <c r="N2594" s="176"/>
      <c r="O2594" s="176"/>
      <c r="P2594" s="176"/>
    </row>
    <row r="2595" hidden="1">
      <c r="A2595" s="176"/>
      <c r="B2595" s="176"/>
      <c r="C2595" s="176"/>
      <c r="D2595" s="176"/>
      <c r="E2595" s="176"/>
      <c r="F2595" s="176"/>
      <c r="G2595" s="176"/>
      <c r="H2595" s="176"/>
      <c r="I2595" s="176"/>
      <c r="J2595" s="176"/>
      <c r="K2595" s="176"/>
      <c r="L2595" s="176"/>
      <c r="M2595" s="176"/>
      <c r="N2595" s="176"/>
      <c r="O2595" s="176"/>
      <c r="P2595" s="176"/>
    </row>
    <row r="2596" hidden="1">
      <c r="A2596" s="176"/>
      <c r="B2596" s="176"/>
      <c r="C2596" s="176"/>
      <c r="D2596" s="176"/>
      <c r="E2596" s="176"/>
      <c r="F2596" s="176"/>
      <c r="G2596" s="176"/>
      <c r="H2596" s="176"/>
      <c r="I2596" s="176"/>
      <c r="J2596" s="176"/>
      <c r="K2596" s="176"/>
      <c r="L2596" s="176"/>
      <c r="M2596" s="176"/>
      <c r="N2596" s="176"/>
      <c r="O2596" s="176"/>
      <c r="P2596" s="176"/>
    </row>
    <row r="2597" hidden="1">
      <c r="A2597" s="176"/>
      <c r="B2597" s="176"/>
      <c r="C2597" s="176"/>
      <c r="D2597" s="176"/>
      <c r="E2597" s="176"/>
      <c r="F2597" s="176"/>
      <c r="G2597" s="176"/>
      <c r="H2597" s="176"/>
      <c r="I2597" s="176"/>
      <c r="J2597" s="176"/>
      <c r="K2597" s="176"/>
      <c r="L2597" s="176"/>
      <c r="M2597" s="176"/>
      <c r="N2597" s="176"/>
      <c r="O2597" s="176"/>
      <c r="P2597" s="176"/>
    </row>
    <row r="2598" hidden="1">
      <c r="A2598" s="176"/>
      <c r="B2598" s="176"/>
      <c r="C2598" s="176"/>
      <c r="D2598" s="176"/>
      <c r="E2598" s="176"/>
      <c r="F2598" s="176"/>
      <c r="G2598" s="176"/>
      <c r="H2598" s="176"/>
      <c r="I2598" s="176"/>
      <c r="J2598" s="176"/>
      <c r="K2598" s="176"/>
      <c r="L2598" s="176"/>
      <c r="M2598" s="176"/>
      <c r="N2598" s="176"/>
      <c r="O2598" s="176"/>
      <c r="P2598" s="176"/>
    </row>
    <row r="2599" hidden="1">
      <c r="A2599" s="176"/>
      <c r="B2599" s="176"/>
      <c r="C2599" s="176"/>
      <c r="D2599" s="176"/>
      <c r="E2599" s="176"/>
      <c r="F2599" s="176"/>
      <c r="G2599" s="176"/>
      <c r="H2599" s="176"/>
      <c r="I2599" s="176"/>
      <c r="J2599" s="176"/>
      <c r="K2599" s="176"/>
      <c r="L2599" s="176"/>
      <c r="M2599" s="176"/>
      <c r="N2599" s="176"/>
      <c r="O2599" s="176"/>
      <c r="P2599" s="176"/>
    </row>
    <row r="2600" hidden="1">
      <c r="A2600" s="176"/>
      <c r="B2600" s="176"/>
      <c r="C2600" s="176"/>
      <c r="D2600" s="176"/>
      <c r="E2600" s="176"/>
      <c r="F2600" s="176"/>
      <c r="G2600" s="176"/>
      <c r="H2600" s="176"/>
      <c r="I2600" s="176"/>
      <c r="J2600" s="176"/>
      <c r="K2600" s="176"/>
      <c r="L2600" s="176"/>
      <c r="M2600" s="176"/>
      <c r="N2600" s="176"/>
      <c r="O2600" s="176"/>
      <c r="P2600" s="176"/>
    </row>
    <row r="2601" hidden="1">
      <c r="A2601" s="176"/>
      <c r="B2601" s="176"/>
      <c r="C2601" s="176"/>
      <c r="D2601" s="176"/>
      <c r="E2601" s="176"/>
      <c r="F2601" s="176"/>
      <c r="G2601" s="176"/>
      <c r="H2601" s="176"/>
      <c r="I2601" s="176"/>
      <c r="J2601" s="176"/>
      <c r="K2601" s="176"/>
      <c r="L2601" s="176"/>
      <c r="M2601" s="176"/>
      <c r="N2601" s="176"/>
      <c r="O2601" s="176"/>
      <c r="P2601" s="176"/>
    </row>
    <row r="2602" hidden="1">
      <c r="A2602" s="176"/>
      <c r="B2602" s="176"/>
      <c r="C2602" s="176"/>
      <c r="D2602" s="176"/>
      <c r="E2602" s="176"/>
      <c r="F2602" s="176"/>
      <c r="G2602" s="176"/>
      <c r="H2602" s="176"/>
      <c r="I2602" s="176"/>
      <c r="J2602" s="176"/>
      <c r="K2602" s="176"/>
      <c r="L2602" s="176"/>
      <c r="M2602" s="176"/>
      <c r="N2602" s="176"/>
      <c r="O2602" s="176"/>
      <c r="P2602" s="176"/>
    </row>
    <row r="2603" hidden="1">
      <c r="A2603" s="176"/>
      <c r="B2603" s="176"/>
      <c r="C2603" s="176"/>
      <c r="D2603" s="176"/>
      <c r="E2603" s="176"/>
      <c r="F2603" s="176"/>
      <c r="G2603" s="176"/>
      <c r="H2603" s="176"/>
      <c r="I2603" s="176"/>
      <c r="J2603" s="176"/>
      <c r="K2603" s="176"/>
      <c r="L2603" s="176"/>
      <c r="M2603" s="176"/>
      <c r="N2603" s="176"/>
      <c r="O2603" s="176"/>
      <c r="P2603" s="176"/>
    </row>
    <row r="2604" hidden="1">
      <c r="A2604" s="176"/>
      <c r="B2604" s="176"/>
      <c r="C2604" s="176"/>
      <c r="D2604" s="176"/>
      <c r="E2604" s="176"/>
      <c r="F2604" s="176"/>
      <c r="G2604" s="176"/>
      <c r="H2604" s="176"/>
      <c r="I2604" s="176"/>
      <c r="J2604" s="176"/>
      <c r="K2604" s="176"/>
      <c r="L2604" s="176"/>
      <c r="M2604" s="176"/>
      <c r="N2604" s="176"/>
      <c r="O2604" s="176"/>
      <c r="P2604" s="176"/>
    </row>
    <row r="2605" hidden="1">
      <c r="A2605" s="176"/>
      <c r="B2605" s="176"/>
      <c r="C2605" s="176"/>
      <c r="D2605" s="176"/>
      <c r="E2605" s="176"/>
      <c r="F2605" s="176"/>
      <c r="G2605" s="176"/>
      <c r="H2605" s="176"/>
      <c r="I2605" s="176"/>
      <c r="J2605" s="176"/>
      <c r="K2605" s="176"/>
      <c r="L2605" s="176"/>
      <c r="M2605" s="176"/>
      <c r="N2605" s="176"/>
      <c r="O2605" s="176"/>
      <c r="P2605" s="176"/>
    </row>
    <row r="2606" hidden="1">
      <c r="A2606" s="176"/>
      <c r="B2606" s="176"/>
      <c r="C2606" s="176"/>
      <c r="D2606" s="176"/>
      <c r="E2606" s="176"/>
      <c r="F2606" s="176"/>
      <c r="G2606" s="176"/>
      <c r="H2606" s="176"/>
      <c r="I2606" s="176"/>
      <c r="J2606" s="176"/>
      <c r="K2606" s="176"/>
      <c r="L2606" s="176"/>
      <c r="M2606" s="176"/>
      <c r="N2606" s="176"/>
      <c r="O2606" s="176"/>
      <c r="P2606" s="176"/>
    </row>
    <row r="2607" hidden="1">
      <c r="A2607" s="176"/>
      <c r="B2607" s="176"/>
      <c r="C2607" s="176"/>
      <c r="D2607" s="176"/>
      <c r="E2607" s="176"/>
      <c r="F2607" s="176"/>
      <c r="G2607" s="176"/>
      <c r="H2607" s="176"/>
      <c r="I2607" s="176"/>
      <c r="J2607" s="176"/>
      <c r="K2607" s="176"/>
      <c r="L2607" s="176"/>
      <c r="M2607" s="176"/>
      <c r="N2607" s="176"/>
      <c r="O2607" s="176"/>
      <c r="P2607" s="176"/>
    </row>
    <row r="2608" hidden="1">
      <c r="A2608" s="176"/>
      <c r="B2608" s="176"/>
      <c r="C2608" s="176"/>
      <c r="D2608" s="176"/>
      <c r="E2608" s="176"/>
      <c r="F2608" s="176"/>
      <c r="G2608" s="176"/>
      <c r="H2608" s="176"/>
      <c r="I2608" s="176"/>
      <c r="J2608" s="176"/>
      <c r="K2608" s="176"/>
      <c r="L2608" s="176"/>
      <c r="M2608" s="176"/>
      <c r="N2608" s="176"/>
      <c r="O2608" s="176"/>
      <c r="P2608" s="176"/>
    </row>
    <row r="2609" hidden="1">
      <c r="A2609" s="176"/>
      <c r="B2609" s="176"/>
      <c r="C2609" s="176"/>
      <c r="D2609" s="176"/>
      <c r="E2609" s="176"/>
      <c r="F2609" s="176"/>
      <c r="G2609" s="176"/>
      <c r="H2609" s="176"/>
      <c r="I2609" s="176"/>
      <c r="J2609" s="176"/>
      <c r="K2609" s="176"/>
      <c r="L2609" s="176"/>
      <c r="M2609" s="176"/>
      <c r="N2609" s="176"/>
      <c r="O2609" s="176"/>
      <c r="P2609" s="176"/>
    </row>
    <row r="2610" hidden="1">
      <c r="A2610" s="176"/>
      <c r="B2610" s="176"/>
      <c r="C2610" s="176"/>
      <c r="D2610" s="176"/>
      <c r="E2610" s="176"/>
      <c r="F2610" s="176"/>
      <c r="G2610" s="176"/>
      <c r="H2610" s="176"/>
      <c r="I2610" s="176"/>
      <c r="J2610" s="176"/>
      <c r="K2610" s="176"/>
      <c r="L2610" s="176"/>
      <c r="M2610" s="176"/>
      <c r="N2610" s="176"/>
      <c r="O2610" s="176"/>
      <c r="P2610" s="176"/>
    </row>
    <row r="2611" hidden="1">
      <c r="A2611" s="176"/>
      <c r="B2611" s="176"/>
      <c r="C2611" s="176"/>
      <c r="D2611" s="176"/>
      <c r="E2611" s="176"/>
      <c r="F2611" s="176"/>
      <c r="G2611" s="176"/>
      <c r="H2611" s="176"/>
      <c r="I2611" s="176"/>
      <c r="J2611" s="176"/>
      <c r="K2611" s="176"/>
      <c r="L2611" s="176"/>
      <c r="M2611" s="176"/>
      <c r="N2611" s="176"/>
      <c r="O2611" s="176"/>
      <c r="P2611" s="176"/>
    </row>
    <row r="2612" hidden="1">
      <c r="A2612" s="176"/>
      <c r="B2612" s="176"/>
      <c r="C2612" s="176"/>
      <c r="D2612" s="176"/>
      <c r="E2612" s="176"/>
      <c r="F2612" s="176"/>
      <c r="G2612" s="176"/>
      <c r="H2612" s="176"/>
      <c r="I2612" s="176"/>
      <c r="J2612" s="176"/>
      <c r="K2612" s="176"/>
      <c r="L2612" s="176"/>
      <c r="M2612" s="176"/>
      <c r="N2612" s="176"/>
      <c r="O2612" s="176"/>
      <c r="P2612" s="176"/>
    </row>
    <row r="2613" hidden="1">
      <c r="A2613" s="176"/>
      <c r="B2613" s="176"/>
      <c r="C2613" s="176"/>
      <c r="D2613" s="176"/>
      <c r="E2613" s="176"/>
      <c r="F2613" s="176"/>
      <c r="G2613" s="176"/>
      <c r="H2613" s="176"/>
      <c r="I2613" s="176"/>
      <c r="J2613" s="176"/>
      <c r="K2613" s="176"/>
      <c r="L2613" s="176"/>
      <c r="M2613" s="176"/>
      <c r="N2613" s="176"/>
      <c r="O2613" s="176"/>
      <c r="P2613" s="176"/>
    </row>
    <row r="2614" hidden="1">
      <c r="A2614" s="176"/>
      <c r="B2614" s="176"/>
      <c r="C2614" s="176"/>
      <c r="D2614" s="176"/>
      <c r="E2614" s="176"/>
      <c r="F2614" s="176"/>
      <c r="G2614" s="176"/>
      <c r="H2614" s="176"/>
      <c r="I2614" s="176"/>
      <c r="J2614" s="176"/>
      <c r="K2614" s="176"/>
      <c r="L2614" s="176"/>
      <c r="M2614" s="176"/>
      <c r="N2614" s="176"/>
      <c r="O2614" s="176"/>
      <c r="P2614" s="176"/>
    </row>
    <row r="2615" hidden="1">
      <c r="A2615" s="176"/>
      <c r="B2615" s="176"/>
      <c r="C2615" s="176"/>
      <c r="D2615" s="176"/>
      <c r="E2615" s="176"/>
      <c r="F2615" s="176"/>
      <c r="G2615" s="176"/>
      <c r="H2615" s="176"/>
      <c r="I2615" s="176"/>
      <c r="J2615" s="176"/>
      <c r="K2615" s="176"/>
      <c r="L2615" s="176"/>
      <c r="M2615" s="176"/>
      <c r="N2615" s="176"/>
      <c r="O2615" s="176"/>
      <c r="P2615" s="176"/>
    </row>
    <row r="2616" hidden="1">
      <c r="A2616" s="176"/>
      <c r="B2616" s="176"/>
      <c r="C2616" s="176"/>
      <c r="D2616" s="176"/>
      <c r="E2616" s="176"/>
      <c r="F2616" s="176"/>
      <c r="G2616" s="176"/>
      <c r="H2616" s="176"/>
      <c r="I2616" s="176"/>
      <c r="J2616" s="176"/>
      <c r="K2616" s="176"/>
      <c r="L2616" s="176"/>
      <c r="M2616" s="176"/>
      <c r="N2616" s="176"/>
      <c r="O2616" s="176"/>
      <c r="P2616" s="176"/>
    </row>
    <row r="2617" hidden="1">
      <c r="A2617" s="176"/>
      <c r="B2617" s="176"/>
      <c r="C2617" s="176"/>
      <c r="D2617" s="176"/>
      <c r="E2617" s="176"/>
      <c r="F2617" s="176"/>
      <c r="G2617" s="176"/>
      <c r="H2617" s="176"/>
      <c r="I2617" s="176"/>
      <c r="J2617" s="176"/>
      <c r="K2617" s="176"/>
      <c r="L2617" s="176"/>
      <c r="M2617" s="176"/>
      <c r="N2617" s="176"/>
      <c r="O2617" s="176"/>
      <c r="P2617" s="176"/>
    </row>
    <row r="2618" hidden="1">
      <c r="A2618" s="176"/>
      <c r="B2618" s="176"/>
      <c r="C2618" s="176"/>
      <c r="D2618" s="176"/>
      <c r="E2618" s="176"/>
      <c r="F2618" s="176"/>
      <c r="G2618" s="176"/>
      <c r="H2618" s="176"/>
      <c r="I2618" s="176"/>
      <c r="J2618" s="176"/>
      <c r="K2618" s="176"/>
      <c r="L2618" s="176"/>
      <c r="M2618" s="176"/>
      <c r="N2618" s="176"/>
      <c r="O2618" s="176"/>
      <c r="P2618" s="176"/>
    </row>
    <row r="2619" hidden="1">
      <c r="A2619" s="176"/>
      <c r="B2619" s="176"/>
      <c r="C2619" s="176"/>
      <c r="D2619" s="176"/>
      <c r="E2619" s="176"/>
      <c r="F2619" s="176"/>
      <c r="G2619" s="176"/>
      <c r="H2619" s="176"/>
      <c r="I2619" s="176"/>
      <c r="J2619" s="176"/>
      <c r="K2619" s="176"/>
      <c r="L2619" s="176"/>
      <c r="M2619" s="176"/>
      <c r="N2619" s="176"/>
      <c r="O2619" s="176"/>
      <c r="P2619" s="176"/>
    </row>
    <row r="2620" hidden="1">
      <c r="A2620" s="176"/>
      <c r="B2620" s="176"/>
      <c r="C2620" s="176"/>
      <c r="D2620" s="176"/>
      <c r="E2620" s="176"/>
      <c r="F2620" s="176"/>
      <c r="G2620" s="176"/>
      <c r="H2620" s="176"/>
      <c r="I2620" s="176"/>
      <c r="J2620" s="176"/>
      <c r="K2620" s="176"/>
      <c r="L2620" s="176"/>
      <c r="M2620" s="176"/>
      <c r="N2620" s="176"/>
      <c r="O2620" s="176"/>
      <c r="P2620" s="176"/>
    </row>
    <row r="2621" hidden="1">
      <c r="A2621" s="176"/>
      <c r="B2621" s="176"/>
      <c r="C2621" s="176"/>
      <c r="D2621" s="176"/>
      <c r="E2621" s="176"/>
      <c r="F2621" s="176"/>
      <c r="G2621" s="176"/>
      <c r="H2621" s="176"/>
      <c r="I2621" s="176"/>
      <c r="J2621" s="176"/>
      <c r="K2621" s="176"/>
      <c r="L2621" s="176"/>
      <c r="M2621" s="176"/>
      <c r="N2621" s="176"/>
      <c r="O2621" s="176"/>
      <c r="P2621" s="176"/>
    </row>
    <row r="2622" hidden="1">
      <c r="A2622" s="176"/>
      <c r="B2622" s="176"/>
      <c r="C2622" s="176"/>
      <c r="D2622" s="176"/>
      <c r="E2622" s="176"/>
      <c r="F2622" s="176"/>
      <c r="G2622" s="176"/>
      <c r="H2622" s="176"/>
      <c r="I2622" s="176"/>
      <c r="J2622" s="176"/>
      <c r="K2622" s="176"/>
      <c r="L2622" s="176"/>
      <c r="M2622" s="176"/>
      <c r="N2622" s="176"/>
      <c r="O2622" s="176"/>
      <c r="P2622" s="176"/>
    </row>
    <row r="2623" hidden="1">
      <c r="A2623" s="176"/>
      <c r="B2623" s="176"/>
      <c r="C2623" s="176"/>
      <c r="D2623" s="176"/>
      <c r="E2623" s="176"/>
      <c r="F2623" s="176"/>
      <c r="G2623" s="176"/>
      <c r="H2623" s="176"/>
      <c r="I2623" s="176"/>
      <c r="J2623" s="176"/>
      <c r="K2623" s="176"/>
      <c r="L2623" s="176"/>
      <c r="M2623" s="176"/>
      <c r="N2623" s="176"/>
      <c r="O2623" s="176"/>
      <c r="P2623" s="176"/>
    </row>
    <row r="2624" hidden="1">
      <c r="A2624" s="176"/>
      <c r="B2624" s="176"/>
      <c r="C2624" s="176"/>
      <c r="D2624" s="176"/>
      <c r="E2624" s="176"/>
      <c r="F2624" s="176"/>
      <c r="G2624" s="176"/>
      <c r="H2624" s="176"/>
      <c r="I2624" s="176"/>
      <c r="J2624" s="176"/>
      <c r="K2624" s="176"/>
      <c r="L2624" s="176"/>
      <c r="M2624" s="176"/>
      <c r="N2624" s="176"/>
      <c r="O2624" s="176"/>
      <c r="P2624" s="176"/>
    </row>
    <row r="2625" hidden="1">
      <c r="A2625" s="176"/>
      <c r="B2625" s="176"/>
      <c r="C2625" s="176"/>
      <c r="D2625" s="176"/>
      <c r="E2625" s="176"/>
      <c r="F2625" s="176"/>
      <c r="G2625" s="176"/>
      <c r="H2625" s="176"/>
      <c r="I2625" s="176"/>
      <c r="J2625" s="176"/>
      <c r="K2625" s="176"/>
      <c r="L2625" s="176"/>
      <c r="M2625" s="176"/>
      <c r="N2625" s="176"/>
      <c r="O2625" s="176"/>
      <c r="P2625" s="176"/>
    </row>
    <row r="2626" hidden="1">
      <c r="A2626" s="176"/>
      <c r="B2626" s="176"/>
      <c r="C2626" s="176"/>
      <c r="D2626" s="176"/>
      <c r="E2626" s="176"/>
      <c r="F2626" s="176"/>
      <c r="G2626" s="176"/>
      <c r="H2626" s="176"/>
      <c r="I2626" s="176"/>
      <c r="J2626" s="176"/>
      <c r="K2626" s="176"/>
      <c r="L2626" s="176"/>
      <c r="M2626" s="176"/>
      <c r="N2626" s="176"/>
      <c r="O2626" s="176"/>
      <c r="P2626" s="176"/>
    </row>
    <row r="2627" hidden="1">
      <c r="A2627" s="176"/>
      <c r="B2627" s="176"/>
      <c r="C2627" s="176"/>
      <c r="D2627" s="176"/>
      <c r="E2627" s="176"/>
      <c r="F2627" s="176"/>
      <c r="G2627" s="176"/>
      <c r="H2627" s="176"/>
      <c r="I2627" s="176"/>
      <c r="J2627" s="176"/>
      <c r="K2627" s="176"/>
      <c r="L2627" s="176"/>
      <c r="M2627" s="176"/>
      <c r="N2627" s="176"/>
      <c r="O2627" s="176"/>
      <c r="P2627" s="176"/>
    </row>
    <row r="2628" hidden="1">
      <c r="A2628" s="176"/>
      <c r="B2628" s="176"/>
      <c r="C2628" s="176"/>
      <c r="D2628" s="176"/>
      <c r="E2628" s="176"/>
      <c r="F2628" s="176"/>
      <c r="G2628" s="176"/>
      <c r="H2628" s="176"/>
      <c r="I2628" s="176"/>
      <c r="J2628" s="176"/>
      <c r="K2628" s="176"/>
      <c r="L2628" s="176"/>
      <c r="M2628" s="176"/>
      <c r="N2628" s="176"/>
      <c r="O2628" s="176"/>
      <c r="P2628" s="176"/>
    </row>
    <row r="2629" hidden="1">
      <c r="A2629" s="176"/>
      <c r="B2629" s="176"/>
      <c r="C2629" s="176"/>
      <c r="D2629" s="176"/>
      <c r="E2629" s="176"/>
      <c r="F2629" s="176"/>
      <c r="G2629" s="176"/>
      <c r="H2629" s="176"/>
      <c r="I2629" s="176"/>
      <c r="J2629" s="176"/>
      <c r="K2629" s="176"/>
      <c r="L2629" s="176"/>
      <c r="M2629" s="176"/>
      <c r="N2629" s="176"/>
      <c r="O2629" s="176"/>
      <c r="P2629" s="176"/>
    </row>
    <row r="2630" hidden="1">
      <c r="A2630" s="176"/>
      <c r="B2630" s="176"/>
      <c r="C2630" s="176"/>
      <c r="D2630" s="176"/>
      <c r="E2630" s="176"/>
      <c r="F2630" s="176"/>
      <c r="G2630" s="176"/>
      <c r="H2630" s="176"/>
      <c r="I2630" s="176"/>
      <c r="J2630" s="176"/>
      <c r="K2630" s="176"/>
      <c r="L2630" s="176"/>
      <c r="M2630" s="176"/>
      <c r="N2630" s="176"/>
      <c r="O2630" s="176"/>
      <c r="P2630" s="176"/>
    </row>
    <row r="2631" hidden="1">
      <c r="A2631" s="176"/>
      <c r="B2631" s="176"/>
      <c r="C2631" s="176"/>
      <c r="D2631" s="176"/>
      <c r="E2631" s="176"/>
      <c r="F2631" s="176"/>
      <c r="G2631" s="176"/>
      <c r="H2631" s="176"/>
      <c r="I2631" s="176"/>
      <c r="J2631" s="176"/>
      <c r="K2631" s="176"/>
      <c r="L2631" s="176"/>
      <c r="M2631" s="176"/>
      <c r="N2631" s="176"/>
      <c r="O2631" s="176"/>
      <c r="P2631" s="176"/>
    </row>
    <row r="2632" hidden="1">
      <c r="A2632" s="176"/>
      <c r="B2632" s="176"/>
      <c r="C2632" s="176"/>
      <c r="D2632" s="176"/>
      <c r="E2632" s="176"/>
      <c r="F2632" s="176"/>
      <c r="G2632" s="176"/>
      <c r="H2632" s="176"/>
      <c r="I2632" s="176"/>
      <c r="J2632" s="176"/>
      <c r="K2632" s="176"/>
      <c r="L2632" s="176"/>
      <c r="M2632" s="176"/>
      <c r="N2632" s="176"/>
      <c r="O2632" s="176"/>
      <c r="P2632" s="176"/>
    </row>
    <row r="2633" hidden="1">
      <c r="A2633" s="176"/>
      <c r="B2633" s="176"/>
      <c r="C2633" s="176"/>
      <c r="D2633" s="176"/>
      <c r="E2633" s="176"/>
      <c r="F2633" s="176"/>
      <c r="G2633" s="176"/>
      <c r="H2633" s="176"/>
      <c r="I2633" s="176"/>
      <c r="J2633" s="176"/>
      <c r="K2633" s="176"/>
      <c r="L2633" s="176"/>
      <c r="M2633" s="176"/>
      <c r="N2633" s="176"/>
      <c r="O2633" s="176"/>
      <c r="P2633" s="176"/>
    </row>
    <row r="2634" hidden="1">
      <c r="A2634" s="176"/>
      <c r="B2634" s="176"/>
      <c r="C2634" s="176"/>
      <c r="D2634" s="176"/>
      <c r="E2634" s="176"/>
      <c r="F2634" s="176"/>
      <c r="G2634" s="176"/>
      <c r="H2634" s="176"/>
      <c r="I2634" s="176"/>
      <c r="J2634" s="176"/>
      <c r="K2634" s="176"/>
      <c r="L2634" s="176"/>
      <c r="M2634" s="176"/>
      <c r="N2634" s="176"/>
      <c r="O2634" s="176"/>
      <c r="P2634" s="176"/>
    </row>
    <row r="2635" hidden="1">
      <c r="A2635" s="176"/>
      <c r="B2635" s="176"/>
      <c r="C2635" s="176"/>
      <c r="D2635" s="176"/>
      <c r="E2635" s="176"/>
      <c r="F2635" s="176"/>
      <c r="G2635" s="176"/>
      <c r="H2635" s="176"/>
      <c r="I2635" s="176"/>
      <c r="J2635" s="176"/>
      <c r="K2635" s="176"/>
      <c r="L2635" s="176"/>
      <c r="M2635" s="176"/>
      <c r="N2635" s="176"/>
      <c r="O2635" s="176"/>
      <c r="P2635" s="176"/>
    </row>
    <row r="2636" hidden="1">
      <c r="A2636" s="176"/>
      <c r="B2636" s="176"/>
      <c r="C2636" s="176"/>
      <c r="D2636" s="176"/>
      <c r="E2636" s="176"/>
      <c r="F2636" s="176"/>
      <c r="G2636" s="176"/>
      <c r="H2636" s="176"/>
      <c r="I2636" s="176"/>
      <c r="J2636" s="176"/>
      <c r="K2636" s="176"/>
      <c r="L2636" s="176"/>
      <c r="M2636" s="176"/>
      <c r="N2636" s="176"/>
      <c r="O2636" s="176"/>
      <c r="P2636" s="176"/>
    </row>
    <row r="2637" hidden="1">
      <c r="A2637" s="176"/>
      <c r="B2637" s="176"/>
      <c r="C2637" s="176"/>
      <c r="D2637" s="176"/>
      <c r="E2637" s="176"/>
      <c r="F2637" s="176"/>
      <c r="G2637" s="176"/>
      <c r="H2637" s="176"/>
      <c r="I2637" s="176"/>
      <c r="J2637" s="176"/>
      <c r="K2637" s="176"/>
      <c r="L2637" s="176"/>
      <c r="M2637" s="176"/>
      <c r="N2637" s="176"/>
      <c r="O2637" s="176"/>
      <c r="P2637" s="176"/>
    </row>
    <row r="2638" hidden="1">
      <c r="A2638" s="176"/>
      <c r="B2638" s="176"/>
      <c r="C2638" s="176"/>
      <c r="D2638" s="176"/>
      <c r="E2638" s="176"/>
      <c r="F2638" s="176"/>
      <c r="G2638" s="176"/>
      <c r="H2638" s="176"/>
      <c r="I2638" s="176"/>
      <c r="J2638" s="176"/>
      <c r="K2638" s="176"/>
      <c r="L2638" s="176"/>
      <c r="M2638" s="176"/>
      <c r="N2638" s="176"/>
      <c r="O2638" s="176"/>
      <c r="P2638" s="176"/>
    </row>
    <row r="2639" hidden="1">
      <c r="A2639" s="176"/>
      <c r="B2639" s="176"/>
      <c r="C2639" s="176"/>
      <c r="D2639" s="176"/>
      <c r="E2639" s="176"/>
      <c r="F2639" s="176"/>
      <c r="G2639" s="176"/>
      <c r="H2639" s="176"/>
      <c r="I2639" s="176"/>
      <c r="J2639" s="176"/>
      <c r="K2639" s="176"/>
      <c r="L2639" s="176"/>
      <c r="M2639" s="176"/>
      <c r="N2639" s="176"/>
      <c r="O2639" s="176"/>
      <c r="P2639" s="176"/>
    </row>
    <row r="2640" hidden="1">
      <c r="A2640" s="176"/>
      <c r="B2640" s="176"/>
      <c r="C2640" s="176"/>
      <c r="D2640" s="176"/>
      <c r="E2640" s="176"/>
      <c r="F2640" s="176"/>
      <c r="G2640" s="176"/>
      <c r="H2640" s="176"/>
      <c r="I2640" s="176"/>
      <c r="J2640" s="176"/>
      <c r="K2640" s="176"/>
      <c r="L2640" s="176"/>
      <c r="M2640" s="176"/>
      <c r="N2640" s="176"/>
      <c r="O2640" s="176"/>
      <c r="P2640" s="176"/>
    </row>
    <row r="2641" hidden="1">
      <c r="A2641" s="176"/>
      <c r="B2641" s="176"/>
      <c r="C2641" s="176"/>
      <c r="D2641" s="176"/>
      <c r="E2641" s="176"/>
      <c r="F2641" s="176"/>
      <c r="G2641" s="176"/>
      <c r="H2641" s="176"/>
      <c r="I2641" s="176"/>
      <c r="J2641" s="176"/>
      <c r="K2641" s="176"/>
      <c r="L2641" s="176"/>
      <c r="M2641" s="176"/>
      <c r="N2641" s="176"/>
      <c r="O2641" s="176"/>
      <c r="P2641" s="176"/>
    </row>
    <row r="2642" hidden="1">
      <c r="A2642" s="176"/>
      <c r="B2642" s="176"/>
      <c r="C2642" s="176"/>
      <c r="D2642" s="176"/>
      <c r="E2642" s="176"/>
      <c r="F2642" s="176"/>
      <c r="G2642" s="176"/>
      <c r="H2642" s="176"/>
      <c r="I2642" s="176"/>
      <c r="J2642" s="176"/>
      <c r="K2642" s="176"/>
      <c r="L2642" s="176"/>
      <c r="M2642" s="176"/>
      <c r="N2642" s="176"/>
      <c r="O2642" s="176"/>
      <c r="P2642" s="176"/>
    </row>
    <row r="2643" hidden="1">
      <c r="A2643" s="176"/>
      <c r="B2643" s="176"/>
      <c r="C2643" s="176"/>
      <c r="D2643" s="176"/>
      <c r="E2643" s="176"/>
      <c r="F2643" s="176"/>
      <c r="G2643" s="176"/>
      <c r="H2643" s="176"/>
      <c r="I2643" s="176"/>
      <c r="J2643" s="176"/>
      <c r="K2643" s="176"/>
      <c r="L2643" s="176"/>
      <c r="M2643" s="176"/>
      <c r="N2643" s="176"/>
      <c r="O2643" s="176"/>
      <c r="P2643" s="176"/>
    </row>
    <row r="2644" hidden="1">
      <c r="A2644" s="176"/>
      <c r="B2644" s="176"/>
      <c r="C2644" s="176"/>
      <c r="D2644" s="176"/>
      <c r="E2644" s="176"/>
      <c r="F2644" s="176"/>
      <c r="G2644" s="176"/>
      <c r="H2644" s="176"/>
      <c r="I2644" s="176"/>
      <c r="J2644" s="176"/>
      <c r="K2644" s="176"/>
      <c r="L2644" s="176"/>
      <c r="M2644" s="176"/>
      <c r="N2644" s="176"/>
      <c r="O2644" s="176"/>
      <c r="P2644" s="176"/>
    </row>
    <row r="2645" hidden="1">
      <c r="A2645" s="176"/>
      <c r="B2645" s="176"/>
      <c r="C2645" s="176"/>
      <c r="D2645" s="176"/>
      <c r="E2645" s="176"/>
      <c r="F2645" s="176"/>
      <c r="G2645" s="176"/>
      <c r="H2645" s="176"/>
      <c r="I2645" s="176"/>
      <c r="J2645" s="176"/>
      <c r="K2645" s="176"/>
      <c r="L2645" s="176"/>
      <c r="M2645" s="176"/>
      <c r="N2645" s="176"/>
      <c r="O2645" s="176"/>
      <c r="P2645" s="176"/>
    </row>
    <row r="2646" hidden="1">
      <c r="A2646" s="176"/>
      <c r="B2646" s="176"/>
      <c r="C2646" s="176"/>
      <c r="D2646" s="176"/>
      <c r="E2646" s="176"/>
      <c r="F2646" s="176"/>
      <c r="G2646" s="176"/>
      <c r="H2646" s="176"/>
      <c r="I2646" s="176"/>
      <c r="J2646" s="176"/>
      <c r="K2646" s="176"/>
      <c r="L2646" s="176"/>
      <c r="M2646" s="176"/>
      <c r="N2646" s="176"/>
      <c r="O2646" s="176"/>
      <c r="P2646" s="176"/>
    </row>
    <row r="2647" hidden="1">
      <c r="A2647" s="176"/>
      <c r="B2647" s="176"/>
      <c r="C2647" s="176"/>
      <c r="D2647" s="176"/>
      <c r="E2647" s="176"/>
      <c r="F2647" s="176"/>
      <c r="G2647" s="176"/>
      <c r="H2647" s="176"/>
      <c r="I2647" s="176"/>
      <c r="J2647" s="176"/>
      <c r="K2647" s="176"/>
      <c r="L2647" s="176"/>
      <c r="M2647" s="176"/>
      <c r="N2647" s="176"/>
      <c r="O2647" s="176"/>
      <c r="P2647" s="176"/>
    </row>
    <row r="2648" hidden="1">
      <c r="A2648" s="176"/>
      <c r="B2648" s="176"/>
      <c r="C2648" s="176"/>
      <c r="D2648" s="176"/>
      <c r="E2648" s="176"/>
      <c r="F2648" s="176"/>
      <c r="G2648" s="176"/>
      <c r="H2648" s="176"/>
      <c r="I2648" s="176"/>
      <c r="J2648" s="176"/>
      <c r="K2648" s="176"/>
      <c r="L2648" s="176"/>
      <c r="M2648" s="176"/>
      <c r="N2648" s="176"/>
      <c r="O2648" s="176"/>
      <c r="P2648" s="176"/>
    </row>
    <row r="2649" hidden="1">
      <c r="A2649" s="176"/>
      <c r="B2649" s="176"/>
      <c r="C2649" s="176"/>
      <c r="D2649" s="176"/>
      <c r="E2649" s="176"/>
      <c r="F2649" s="176"/>
      <c r="G2649" s="176"/>
      <c r="H2649" s="176"/>
      <c r="I2649" s="176"/>
      <c r="J2649" s="176"/>
      <c r="K2649" s="176"/>
      <c r="L2649" s="176"/>
      <c r="M2649" s="176"/>
      <c r="N2649" s="176"/>
      <c r="O2649" s="176"/>
      <c r="P2649" s="176"/>
    </row>
    <row r="2650" hidden="1">
      <c r="A2650" s="176"/>
      <c r="B2650" s="176"/>
      <c r="C2650" s="176"/>
      <c r="D2650" s="176"/>
      <c r="E2650" s="176"/>
      <c r="F2650" s="176"/>
      <c r="G2650" s="176"/>
      <c r="H2650" s="176"/>
      <c r="I2650" s="176"/>
      <c r="J2650" s="176"/>
      <c r="K2650" s="176"/>
      <c r="L2650" s="176"/>
      <c r="M2650" s="176"/>
      <c r="N2650" s="176"/>
      <c r="O2650" s="176"/>
      <c r="P2650" s="176"/>
    </row>
    <row r="2651" hidden="1">
      <c r="A2651" s="176"/>
      <c r="B2651" s="176"/>
      <c r="C2651" s="176"/>
      <c r="D2651" s="176"/>
      <c r="E2651" s="176"/>
      <c r="F2651" s="176"/>
      <c r="G2651" s="176"/>
      <c r="H2651" s="176"/>
      <c r="I2651" s="176"/>
      <c r="J2651" s="176"/>
      <c r="K2651" s="176"/>
      <c r="L2651" s="176"/>
      <c r="M2651" s="176"/>
      <c r="N2651" s="176"/>
      <c r="O2651" s="176"/>
      <c r="P2651" s="176"/>
    </row>
    <row r="2652" hidden="1">
      <c r="A2652" s="176"/>
      <c r="B2652" s="176"/>
      <c r="C2652" s="176"/>
      <c r="D2652" s="176"/>
      <c r="E2652" s="176"/>
      <c r="F2652" s="176"/>
      <c r="G2652" s="176"/>
      <c r="H2652" s="176"/>
      <c r="I2652" s="176"/>
      <c r="J2652" s="176"/>
      <c r="K2652" s="176"/>
      <c r="L2652" s="176"/>
      <c r="M2652" s="176"/>
      <c r="N2652" s="176"/>
      <c r="O2652" s="176"/>
      <c r="P2652" s="176"/>
    </row>
    <row r="2653" hidden="1">
      <c r="A2653" s="176"/>
      <c r="B2653" s="176"/>
      <c r="C2653" s="176"/>
      <c r="D2653" s="176"/>
      <c r="E2653" s="176"/>
      <c r="F2653" s="176"/>
      <c r="G2653" s="176"/>
      <c r="H2653" s="176"/>
      <c r="I2653" s="176"/>
      <c r="J2653" s="176"/>
      <c r="K2653" s="176"/>
      <c r="L2653" s="176"/>
      <c r="M2653" s="176"/>
      <c r="N2653" s="176"/>
      <c r="O2653" s="176"/>
      <c r="P2653" s="176"/>
    </row>
    <row r="2654" hidden="1">
      <c r="A2654" s="176"/>
      <c r="B2654" s="176"/>
      <c r="C2654" s="176"/>
      <c r="D2654" s="176"/>
      <c r="E2654" s="176"/>
      <c r="F2654" s="176"/>
      <c r="G2654" s="176"/>
      <c r="H2654" s="176"/>
      <c r="I2654" s="176"/>
      <c r="J2654" s="176"/>
      <c r="K2654" s="176"/>
      <c r="L2654" s="176"/>
      <c r="M2654" s="176"/>
      <c r="N2654" s="176"/>
      <c r="O2654" s="176"/>
      <c r="P2654" s="176"/>
    </row>
    <row r="2655" hidden="1">
      <c r="A2655" s="176"/>
      <c r="B2655" s="176"/>
      <c r="C2655" s="176"/>
      <c r="D2655" s="176"/>
      <c r="E2655" s="176"/>
      <c r="F2655" s="176"/>
      <c r="G2655" s="176"/>
      <c r="H2655" s="176"/>
      <c r="I2655" s="176"/>
      <c r="J2655" s="176"/>
      <c r="K2655" s="176"/>
      <c r="L2655" s="176"/>
      <c r="M2655" s="176"/>
      <c r="N2655" s="176"/>
      <c r="O2655" s="176"/>
      <c r="P2655" s="176"/>
    </row>
    <row r="2656" hidden="1">
      <c r="A2656" s="176"/>
      <c r="B2656" s="176"/>
      <c r="C2656" s="176"/>
      <c r="D2656" s="176"/>
      <c r="E2656" s="176"/>
      <c r="F2656" s="176"/>
      <c r="G2656" s="176"/>
      <c r="H2656" s="176"/>
      <c r="I2656" s="176"/>
      <c r="J2656" s="176"/>
      <c r="K2656" s="176"/>
      <c r="L2656" s="176"/>
      <c r="M2656" s="176"/>
      <c r="N2656" s="176"/>
      <c r="O2656" s="176"/>
      <c r="P2656" s="176"/>
    </row>
    <row r="2657" hidden="1">
      <c r="A2657" s="176"/>
      <c r="B2657" s="176"/>
      <c r="C2657" s="176"/>
      <c r="D2657" s="176"/>
      <c r="E2657" s="176"/>
      <c r="F2657" s="176"/>
      <c r="G2657" s="176"/>
      <c r="H2657" s="176"/>
      <c r="I2657" s="176"/>
      <c r="J2657" s="176"/>
      <c r="K2657" s="176"/>
      <c r="L2657" s="176"/>
      <c r="M2657" s="176"/>
      <c r="N2657" s="176"/>
      <c r="O2657" s="176"/>
      <c r="P2657" s="176"/>
    </row>
    <row r="2658" hidden="1">
      <c r="A2658" s="176"/>
      <c r="B2658" s="176"/>
      <c r="C2658" s="176"/>
      <c r="D2658" s="176"/>
      <c r="E2658" s="176"/>
      <c r="F2658" s="176"/>
      <c r="G2658" s="176"/>
      <c r="H2658" s="176"/>
      <c r="I2658" s="176"/>
      <c r="J2658" s="176"/>
      <c r="K2658" s="176"/>
      <c r="L2658" s="176"/>
      <c r="M2658" s="176"/>
      <c r="N2658" s="176"/>
      <c r="O2658" s="176"/>
      <c r="P2658" s="176"/>
    </row>
    <row r="2659" hidden="1">
      <c r="A2659" s="176"/>
      <c r="B2659" s="176"/>
      <c r="C2659" s="176"/>
      <c r="D2659" s="176"/>
      <c r="E2659" s="176"/>
      <c r="F2659" s="176"/>
      <c r="G2659" s="176"/>
      <c r="H2659" s="176"/>
      <c r="I2659" s="176"/>
      <c r="J2659" s="176"/>
      <c r="K2659" s="176"/>
      <c r="L2659" s="176"/>
      <c r="M2659" s="176"/>
      <c r="N2659" s="176"/>
      <c r="O2659" s="176"/>
      <c r="P2659" s="176"/>
    </row>
    <row r="2660" hidden="1">
      <c r="A2660" s="176"/>
      <c r="B2660" s="176"/>
      <c r="C2660" s="176"/>
      <c r="D2660" s="176"/>
      <c r="E2660" s="176"/>
      <c r="F2660" s="176"/>
      <c r="G2660" s="176"/>
      <c r="H2660" s="176"/>
      <c r="I2660" s="176"/>
      <c r="J2660" s="176"/>
      <c r="K2660" s="176"/>
      <c r="L2660" s="176"/>
      <c r="M2660" s="176"/>
      <c r="N2660" s="176"/>
      <c r="O2660" s="176"/>
      <c r="P2660" s="176"/>
    </row>
    <row r="2661" hidden="1">
      <c r="A2661" s="176"/>
      <c r="B2661" s="176"/>
      <c r="C2661" s="176"/>
      <c r="D2661" s="176"/>
      <c r="E2661" s="176"/>
      <c r="F2661" s="176"/>
      <c r="G2661" s="176"/>
      <c r="H2661" s="176"/>
      <c r="I2661" s="176"/>
      <c r="J2661" s="176"/>
      <c r="K2661" s="176"/>
      <c r="L2661" s="176"/>
      <c r="M2661" s="176"/>
      <c r="N2661" s="176"/>
      <c r="O2661" s="176"/>
      <c r="P2661" s="176"/>
    </row>
    <row r="2662" hidden="1">
      <c r="A2662" s="176"/>
      <c r="B2662" s="176"/>
      <c r="C2662" s="176"/>
      <c r="D2662" s="176"/>
      <c r="E2662" s="176"/>
      <c r="F2662" s="176"/>
      <c r="G2662" s="176"/>
      <c r="H2662" s="176"/>
      <c r="I2662" s="176"/>
      <c r="J2662" s="176"/>
      <c r="K2662" s="176"/>
      <c r="L2662" s="176"/>
      <c r="M2662" s="176"/>
      <c r="N2662" s="176"/>
      <c r="O2662" s="176"/>
      <c r="P2662" s="176"/>
    </row>
    <row r="2663" hidden="1">
      <c r="A2663" s="176"/>
      <c r="B2663" s="176"/>
      <c r="C2663" s="176"/>
      <c r="D2663" s="176"/>
      <c r="E2663" s="176"/>
      <c r="F2663" s="176"/>
      <c r="G2663" s="176"/>
      <c r="H2663" s="176"/>
      <c r="I2663" s="176"/>
      <c r="J2663" s="176"/>
      <c r="K2663" s="176"/>
      <c r="L2663" s="176"/>
      <c r="M2663" s="176"/>
      <c r="N2663" s="176"/>
      <c r="O2663" s="176"/>
      <c r="P2663" s="176"/>
    </row>
    <row r="2664" hidden="1">
      <c r="A2664" s="176"/>
      <c r="B2664" s="176"/>
      <c r="C2664" s="176"/>
      <c r="D2664" s="176"/>
      <c r="E2664" s="176"/>
      <c r="F2664" s="176"/>
      <c r="G2664" s="176"/>
      <c r="H2664" s="176"/>
      <c r="I2664" s="176"/>
      <c r="J2664" s="176"/>
      <c r="K2664" s="176"/>
      <c r="L2664" s="176"/>
      <c r="M2664" s="176"/>
      <c r="N2664" s="176"/>
      <c r="O2664" s="176"/>
      <c r="P2664" s="176"/>
    </row>
    <row r="2665" hidden="1">
      <c r="A2665" s="176"/>
      <c r="B2665" s="176"/>
      <c r="C2665" s="176"/>
      <c r="D2665" s="176"/>
      <c r="E2665" s="176"/>
      <c r="F2665" s="176"/>
      <c r="G2665" s="176"/>
      <c r="H2665" s="176"/>
      <c r="I2665" s="176"/>
      <c r="J2665" s="176"/>
      <c r="K2665" s="176"/>
      <c r="L2665" s="176"/>
      <c r="M2665" s="176"/>
      <c r="N2665" s="176"/>
      <c r="O2665" s="176"/>
      <c r="P2665" s="176"/>
    </row>
    <row r="2666" hidden="1">
      <c r="A2666" s="176"/>
      <c r="B2666" s="176"/>
      <c r="C2666" s="176"/>
      <c r="D2666" s="176"/>
      <c r="E2666" s="176"/>
      <c r="F2666" s="176"/>
      <c r="G2666" s="176"/>
      <c r="H2666" s="176"/>
      <c r="I2666" s="176"/>
      <c r="J2666" s="176"/>
      <c r="K2666" s="176"/>
      <c r="L2666" s="176"/>
      <c r="M2666" s="176"/>
      <c r="N2666" s="176"/>
      <c r="O2666" s="176"/>
      <c r="P2666" s="176"/>
    </row>
    <row r="2667" hidden="1">
      <c r="A2667" s="176"/>
      <c r="B2667" s="176"/>
      <c r="C2667" s="176"/>
      <c r="D2667" s="176"/>
      <c r="E2667" s="176"/>
      <c r="F2667" s="176"/>
      <c r="G2667" s="176"/>
      <c r="H2667" s="176"/>
      <c r="I2667" s="176"/>
      <c r="J2667" s="176"/>
      <c r="K2667" s="176"/>
      <c r="L2667" s="176"/>
      <c r="M2667" s="176"/>
      <c r="N2667" s="176"/>
      <c r="O2667" s="176"/>
      <c r="P2667" s="176"/>
    </row>
    <row r="2668" hidden="1">
      <c r="A2668" s="176"/>
      <c r="B2668" s="176"/>
      <c r="C2668" s="176"/>
      <c r="D2668" s="176"/>
      <c r="E2668" s="176"/>
      <c r="F2668" s="176"/>
      <c r="G2668" s="176"/>
      <c r="H2668" s="176"/>
      <c r="I2668" s="176"/>
      <c r="J2668" s="176"/>
      <c r="K2668" s="176"/>
      <c r="L2668" s="176"/>
      <c r="M2668" s="176"/>
      <c r="N2668" s="176"/>
      <c r="O2668" s="176"/>
      <c r="P2668" s="176"/>
    </row>
    <row r="2669" hidden="1">
      <c r="A2669" s="176"/>
      <c r="B2669" s="176"/>
      <c r="C2669" s="176"/>
      <c r="D2669" s="176"/>
      <c r="E2669" s="176"/>
      <c r="F2669" s="176"/>
      <c r="G2669" s="176"/>
      <c r="H2669" s="176"/>
      <c r="I2669" s="176"/>
      <c r="J2669" s="176"/>
      <c r="K2669" s="176"/>
      <c r="L2669" s="176"/>
      <c r="M2669" s="176"/>
      <c r="N2669" s="176"/>
      <c r="O2669" s="176"/>
      <c r="P2669" s="176"/>
    </row>
    <row r="2670" hidden="1">
      <c r="A2670" s="176"/>
      <c r="B2670" s="176"/>
      <c r="C2670" s="176"/>
      <c r="D2670" s="176"/>
      <c r="E2670" s="176"/>
      <c r="F2670" s="176"/>
      <c r="G2670" s="176"/>
      <c r="H2670" s="176"/>
      <c r="I2670" s="176"/>
      <c r="J2670" s="176"/>
      <c r="K2670" s="176"/>
      <c r="L2670" s="176"/>
      <c r="M2670" s="176"/>
      <c r="N2670" s="176"/>
      <c r="O2670" s="176"/>
      <c r="P2670" s="176"/>
    </row>
    <row r="2671" hidden="1">
      <c r="A2671" s="176"/>
      <c r="B2671" s="176"/>
      <c r="C2671" s="176"/>
      <c r="D2671" s="176"/>
      <c r="E2671" s="176"/>
      <c r="F2671" s="176"/>
      <c r="G2671" s="176"/>
      <c r="H2671" s="176"/>
      <c r="I2671" s="176"/>
      <c r="J2671" s="176"/>
      <c r="K2671" s="176"/>
      <c r="L2671" s="176"/>
      <c r="M2671" s="176"/>
      <c r="N2671" s="176"/>
      <c r="O2671" s="176"/>
      <c r="P2671" s="176"/>
    </row>
    <row r="2672" hidden="1">
      <c r="A2672" s="176"/>
      <c r="B2672" s="176"/>
      <c r="C2672" s="176"/>
      <c r="D2672" s="176"/>
      <c r="E2672" s="176"/>
      <c r="F2672" s="176"/>
      <c r="G2672" s="176"/>
      <c r="H2672" s="176"/>
      <c r="I2672" s="176"/>
      <c r="J2672" s="176"/>
      <c r="K2672" s="176"/>
      <c r="L2672" s="176"/>
      <c r="M2672" s="176"/>
      <c r="N2672" s="176"/>
      <c r="O2672" s="176"/>
      <c r="P2672" s="176"/>
    </row>
    <row r="2673" hidden="1">
      <c r="A2673" s="176"/>
      <c r="B2673" s="176"/>
      <c r="C2673" s="176"/>
      <c r="D2673" s="176"/>
      <c r="E2673" s="176"/>
      <c r="F2673" s="176"/>
      <c r="G2673" s="176"/>
      <c r="H2673" s="176"/>
      <c r="I2673" s="176"/>
      <c r="J2673" s="176"/>
      <c r="K2673" s="176"/>
      <c r="L2673" s="176"/>
      <c r="M2673" s="176"/>
      <c r="N2673" s="176"/>
      <c r="O2673" s="176"/>
      <c r="P2673" s="176"/>
    </row>
    <row r="2674" hidden="1">
      <c r="A2674" s="176"/>
      <c r="B2674" s="176"/>
      <c r="C2674" s="176"/>
      <c r="D2674" s="176"/>
      <c r="E2674" s="176"/>
      <c r="F2674" s="176"/>
      <c r="G2674" s="176"/>
      <c r="H2674" s="176"/>
      <c r="I2674" s="176"/>
      <c r="J2674" s="176"/>
      <c r="K2674" s="176"/>
      <c r="L2674" s="176"/>
      <c r="M2674" s="176"/>
      <c r="N2674" s="176"/>
      <c r="O2674" s="176"/>
      <c r="P2674" s="176"/>
    </row>
  </sheetData>
  <autoFilter ref="$J$1:$J$2674">
    <filterColumn colId="0">
      <filters>
        <filter val="FAIL"/>
      </filters>
    </filterColumn>
  </autoFilter>
  <mergeCells count="49">
    <mergeCell ref="B2:B14"/>
    <mergeCell ref="B15:B21"/>
    <mergeCell ref="B22:B32"/>
    <mergeCell ref="B33:B51"/>
    <mergeCell ref="B52:B57"/>
    <mergeCell ref="B58:B61"/>
    <mergeCell ref="B62:B67"/>
    <mergeCell ref="B68:B75"/>
    <mergeCell ref="B76:B80"/>
    <mergeCell ref="B227:B248"/>
    <mergeCell ref="B258:B261"/>
    <mergeCell ref="B262:B275"/>
    <mergeCell ref="B276:B288"/>
    <mergeCell ref="B343:B346"/>
    <mergeCell ref="B347:B372"/>
    <mergeCell ref="B373:B399"/>
    <mergeCell ref="B400:B418"/>
    <mergeCell ref="B419:B429"/>
    <mergeCell ref="B430:B441"/>
    <mergeCell ref="B455:B466"/>
    <mergeCell ref="B467:B476"/>
    <mergeCell ref="B477:B497"/>
    <mergeCell ref="B498:B526"/>
    <mergeCell ref="B527:B539"/>
    <mergeCell ref="B540:B562"/>
    <mergeCell ref="B563:B576"/>
    <mergeCell ref="B577:B589"/>
    <mergeCell ref="B590:B597"/>
    <mergeCell ref="B598:B612"/>
    <mergeCell ref="B613:B625"/>
    <mergeCell ref="D691:D702"/>
    <mergeCell ref="B703:B715"/>
    <mergeCell ref="B728:B745"/>
    <mergeCell ref="B746:B759"/>
    <mergeCell ref="B760:B772"/>
    <mergeCell ref="B987:B1005"/>
    <mergeCell ref="B1009:B1016"/>
    <mergeCell ref="B1036:B1049"/>
    <mergeCell ref="B1050:B1057"/>
    <mergeCell ref="B1058:B1073"/>
    <mergeCell ref="B1074:B1086"/>
    <mergeCell ref="B1087:B1106"/>
    <mergeCell ref="B773:B785"/>
    <mergeCell ref="B786:B817"/>
    <mergeCell ref="B837:B850"/>
    <mergeCell ref="B851:B911"/>
    <mergeCell ref="B912:B932"/>
    <mergeCell ref="B933:B960"/>
    <mergeCell ref="B961:B986"/>
  </mergeCells>
  <hyperlinks>
    <hyperlink r:id="rId1" ref="N43"/>
    <hyperlink r:id="rId2" ref="N44"/>
    <hyperlink r:id="rId3" ref="N45"/>
    <hyperlink r:id="rId4" ref="N46"/>
    <hyperlink r:id="rId5" ref="N47"/>
    <hyperlink r:id="rId6" ref="N48"/>
    <hyperlink r:id="rId7" ref="N49"/>
    <hyperlink r:id="rId8" ref="N56"/>
    <hyperlink r:id="rId9" ref="N57"/>
    <hyperlink r:id="rId10" ref="N81"/>
    <hyperlink r:id="rId11" ref="N82"/>
    <hyperlink r:id="rId12" ref="N83"/>
    <hyperlink r:id="rId13" ref="N84"/>
    <hyperlink r:id="rId14" ref="N85"/>
    <hyperlink r:id="rId15" ref="N86"/>
    <hyperlink r:id="rId16" ref="N87"/>
    <hyperlink r:id="rId17" ref="N130"/>
    <hyperlink r:id="rId18" ref="N131"/>
    <hyperlink r:id="rId19" ref="N132"/>
    <hyperlink r:id="rId20" ref="N133"/>
    <hyperlink r:id="rId21" ref="N134"/>
    <hyperlink r:id="rId22" ref="N135"/>
    <hyperlink r:id="rId23" ref="N136"/>
    <hyperlink r:id="rId24" ref="N137"/>
    <hyperlink r:id="rId25" ref="N138"/>
    <hyperlink r:id="rId26" ref="N140"/>
    <hyperlink r:id="rId27" ref="N143"/>
    <hyperlink r:id="rId28" ref="N144"/>
    <hyperlink r:id="rId29" ref="N158"/>
    <hyperlink r:id="rId30" ref="N159"/>
    <hyperlink r:id="rId31" ref="N160"/>
    <hyperlink r:id="rId32" ref="N161"/>
    <hyperlink r:id="rId33" ref="N166"/>
    <hyperlink r:id="rId34" ref="N170"/>
    <hyperlink r:id="rId35" ref="N171"/>
    <hyperlink r:id="rId36" ref="N172"/>
    <hyperlink r:id="rId37" ref="N173"/>
    <hyperlink r:id="rId38" ref="N174"/>
    <hyperlink r:id="rId39" ref="N175"/>
    <hyperlink r:id="rId40" ref="N176"/>
    <hyperlink r:id="rId41" ref="N177"/>
    <hyperlink r:id="rId42" ref="N178"/>
    <hyperlink r:id="rId43" ref="N179"/>
    <hyperlink r:id="rId44" ref="H203"/>
    <hyperlink r:id="rId45" ref="H204"/>
    <hyperlink r:id="rId46" ref="H205"/>
    <hyperlink r:id="rId47" ref="N225"/>
    <hyperlink r:id="rId48" ref="N249"/>
    <hyperlink r:id="rId49" ref="N250"/>
    <hyperlink r:id="rId50" ref="N251"/>
    <hyperlink r:id="rId51" ref="N252"/>
    <hyperlink r:id="rId52" ref="N253"/>
    <hyperlink r:id="rId53" ref="N254"/>
    <hyperlink r:id="rId54" ref="N255"/>
    <hyperlink r:id="rId55" ref="N256"/>
    <hyperlink r:id="rId56" ref="N257"/>
    <hyperlink r:id="rId57" ref="H343"/>
    <hyperlink r:id="rId58" ref="H344"/>
    <hyperlink r:id="rId59" ref="H345"/>
    <hyperlink r:id="rId60" ref="H346"/>
    <hyperlink r:id="rId61" ref="N442"/>
    <hyperlink r:id="rId62" ref="N443"/>
    <hyperlink r:id="rId63" ref="N444"/>
    <hyperlink r:id="rId64" ref="N445"/>
    <hyperlink r:id="rId65" ref="N446"/>
    <hyperlink r:id="rId66" ref="N447"/>
    <hyperlink r:id="rId67" ref="N448"/>
    <hyperlink r:id="rId68" ref="N449"/>
    <hyperlink r:id="rId69" ref="N450"/>
    <hyperlink r:id="rId70" ref="N451"/>
    <hyperlink r:id="rId71" ref="N452"/>
    <hyperlink r:id="rId72" ref="N453"/>
    <hyperlink r:id="rId73" ref="N454"/>
    <hyperlink r:id="rId74" ref="N475"/>
    <hyperlink r:id="rId75" ref="N476"/>
    <hyperlink r:id="rId76" ref="N518"/>
    <hyperlink r:id="rId77" ref="N519"/>
    <hyperlink r:id="rId78" ref="N525"/>
    <hyperlink r:id="rId79" ref="N536"/>
    <hyperlink r:id="rId80" ref="N548"/>
    <hyperlink r:id="rId81" ref="N572"/>
    <hyperlink r:id="rId82" ref="N575"/>
    <hyperlink r:id="rId83" ref="N576"/>
    <hyperlink r:id="rId84" ref="N586"/>
    <hyperlink r:id="rId85" ref="N603"/>
    <hyperlink r:id="rId86" ref="N608"/>
    <hyperlink r:id="rId87" ref="N609"/>
    <hyperlink r:id="rId88" ref="N611"/>
    <hyperlink r:id="rId89" ref="N612"/>
    <hyperlink r:id="rId90" ref="N614"/>
    <hyperlink r:id="rId91" ref="N617"/>
    <hyperlink r:id="rId92" ref="N624"/>
    <hyperlink r:id="rId93" ref="N625"/>
    <hyperlink r:id="rId94" ref="N646"/>
    <hyperlink r:id="rId95" ref="N647"/>
    <hyperlink r:id="rId96" ref="N651"/>
    <hyperlink r:id="rId97" ref="N652"/>
    <hyperlink r:id="rId98" ref="N653"/>
    <hyperlink r:id="rId99" ref="N655"/>
    <hyperlink r:id="rId100" ref="N658"/>
    <hyperlink r:id="rId101" ref="N659"/>
    <hyperlink r:id="rId102" ref="N660"/>
    <hyperlink r:id="rId103" ref="N661"/>
    <hyperlink r:id="rId104" ref="N662"/>
    <hyperlink r:id="rId105" ref="N663"/>
    <hyperlink r:id="rId106" ref="N664"/>
    <hyperlink r:id="rId107" ref="N665"/>
    <hyperlink r:id="rId108" ref="N666"/>
    <hyperlink r:id="rId109" ref="N667"/>
    <hyperlink r:id="rId110" ref="N668"/>
    <hyperlink r:id="rId111" ref="N669"/>
    <hyperlink r:id="rId112" ref="N670"/>
    <hyperlink r:id="rId113" ref="N671"/>
    <hyperlink r:id="rId114" ref="N672"/>
    <hyperlink r:id="rId115" ref="N673"/>
    <hyperlink r:id="rId116" ref="N674"/>
    <hyperlink r:id="rId117" ref="N675"/>
    <hyperlink r:id="rId118" ref="N676"/>
    <hyperlink r:id="rId119" ref="N677"/>
    <hyperlink r:id="rId120" ref="N678"/>
    <hyperlink r:id="rId121" ref="N679"/>
    <hyperlink r:id="rId122" ref="N680"/>
    <hyperlink r:id="rId123" ref="N681"/>
    <hyperlink r:id="rId124" ref="N682"/>
    <hyperlink r:id="rId125" ref="N683"/>
    <hyperlink r:id="rId126" ref="N684"/>
    <hyperlink r:id="rId127" ref="N685"/>
    <hyperlink r:id="rId128" ref="N686"/>
    <hyperlink r:id="rId129" ref="N687"/>
    <hyperlink r:id="rId130" ref="N688"/>
    <hyperlink r:id="rId131" ref="N689"/>
    <hyperlink r:id="rId132" ref="N690"/>
    <hyperlink r:id="rId133" ref="N817"/>
    <hyperlink r:id="rId134" ref="N818"/>
    <hyperlink r:id="rId135" ref="N819"/>
    <hyperlink r:id="rId136" ref="N820"/>
    <hyperlink r:id="rId137" ref="N821"/>
    <hyperlink r:id="rId138" ref="N822"/>
    <hyperlink r:id="rId139" ref="N823"/>
    <hyperlink r:id="rId140" ref="N824"/>
    <hyperlink r:id="rId141" ref="N825"/>
    <hyperlink r:id="rId142" ref="N826"/>
    <hyperlink r:id="rId143" ref="N827"/>
    <hyperlink r:id="rId144" ref="N828"/>
    <hyperlink r:id="rId145" ref="N829"/>
    <hyperlink r:id="rId146" ref="N830"/>
    <hyperlink r:id="rId147" ref="N831"/>
    <hyperlink r:id="rId148" ref="N832"/>
    <hyperlink r:id="rId149" ref="N833"/>
    <hyperlink r:id="rId150" ref="N834"/>
    <hyperlink r:id="rId151" ref="N835"/>
    <hyperlink r:id="rId152" ref="N836"/>
    <hyperlink r:id="rId153" ref="N915"/>
    <hyperlink r:id="rId154" ref="N921"/>
    <hyperlink r:id="rId155" ref="N939"/>
    <hyperlink r:id="rId156" ref="I963"/>
    <hyperlink r:id="rId157" ref="N972"/>
    <hyperlink r:id="rId158" ref="N1006"/>
    <hyperlink r:id="rId159" ref="N1007"/>
    <hyperlink r:id="rId160" ref="N1008"/>
    <hyperlink r:id="rId161" ref="N1017"/>
    <hyperlink r:id="rId162" ref="N1018"/>
    <hyperlink r:id="rId163" ref="N1019"/>
    <hyperlink r:id="rId164" ref="N1020"/>
    <hyperlink r:id="rId165" ref="N1021"/>
    <hyperlink r:id="rId166" ref="N1022"/>
    <hyperlink r:id="rId167" ref="N1023"/>
    <hyperlink r:id="rId168" ref="N1024"/>
    <hyperlink r:id="rId169" ref="N1025"/>
    <hyperlink r:id="rId170" ref="N1026"/>
    <hyperlink r:id="rId171" ref="N1027"/>
    <hyperlink r:id="rId172" ref="N1028"/>
    <hyperlink r:id="rId173" ref="N1029"/>
    <hyperlink r:id="rId174" ref="N1030"/>
    <hyperlink r:id="rId175" ref="N1031"/>
    <hyperlink r:id="rId176" ref="N1032"/>
    <hyperlink r:id="rId177" ref="N1033"/>
    <hyperlink r:id="rId178" ref="N1034"/>
    <hyperlink r:id="rId179" ref="N1035"/>
    <hyperlink r:id="rId180" ref="N1107"/>
    <hyperlink r:id="rId181" ref="N1108"/>
    <hyperlink r:id="rId182" ref="N1109"/>
    <hyperlink r:id="rId183" ref="N1110"/>
    <hyperlink r:id="rId184" ref="N1111"/>
    <hyperlink r:id="rId185" ref="N1112"/>
    <hyperlink r:id="rId186" ref="N1113"/>
    <hyperlink r:id="rId187" ref="N1114"/>
    <hyperlink r:id="rId188" ref="N1115"/>
    <hyperlink r:id="rId189" ref="N1116"/>
    <hyperlink r:id="rId190" ref="N1117"/>
    <hyperlink r:id="rId191" ref="N1118"/>
    <hyperlink r:id="rId192" ref="N1119"/>
    <hyperlink r:id="rId193" ref="N1120"/>
    <hyperlink r:id="rId194" ref="N1121"/>
    <hyperlink r:id="rId195" ref="N1122"/>
    <hyperlink r:id="rId196" ref="N1123"/>
    <hyperlink r:id="rId197" ref="N1124"/>
    <hyperlink r:id="rId198" ref="N1125"/>
    <hyperlink r:id="rId199" ref="N1126"/>
  </hyperlinks>
  <printOptions/>
  <pageMargins bottom="0.75" footer="0.0" header="0.0" left="0.7" right="0.7" top="0.75"/>
  <pageSetup orientation="landscape"/>
  <drawing r:id="rId20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5.0"/>
    <col customWidth="1" min="2" max="2" width="134.14"/>
    <col customWidth="1" min="3" max="3" width="8.0"/>
    <col customWidth="1" min="4" max="6" width="14.43"/>
  </cols>
  <sheetData>
    <row r="1">
      <c r="A1" s="177" t="s">
        <v>4599</v>
      </c>
      <c r="B1" s="177" t="s">
        <v>4600</v>
      </c>
      <c r="C1" s="177" t="s">
        <v>4601</v>
      </c>
    </row>
    <row r="2" hidden="1">
      <c r="A2" s="31" t="s">
        <v>3332</v>
      </c>
      <c r="B2" s="31" t="s">
        <v>4602</v>
      </c>
      <c r="C2" s="31" t="s">
        <v>4603</v>
      </c>
    </row>
    <row r="3" hidden="1">
      <c r="A3" s="31" t="s">
        <v>3357</v>
      </c>
      <c r="B3" s="31" t="s">
        <v>4604</v>
      </c>
      <c r="C3" s="31" t="s">
        <v>4603</v>
      </c>
    </row>
    <row r="4">
      <c r="A4" s="31" t="s">
        <v>4516</v>
      </c>
      <c r="B4" s="31" t="s">
        <v>4605</v>
      </c>
      <c r="C4" s="31" t="s">
        <v>4606</v>
      </c>
    </row>
    <row r="5" hidden="1">
      <c r="A5" s="31" t="s">
        <v>4163</v>
      </c>
      <c r="B5" s="31" t="s">
        <v>4607</v>
      </c>
      <c r="C5" s="31" t="s">
        <v>4603</v>
      </c>
    </row>
    <row r="6" hidden="1">
      <c r="A6" s="31" t="s">
        <v>4521</v>
      </c>
      <c r="B6" s="31" t="s">
        <v>4608</v>
      </c>
      <c r="C6" s="31" t="s">
        <v>4603</v>
      </c>
    </row>
    <row r="7" hidden="1">
      <c r="A7" s="31" t="s">
        <v>2680</v>
      </c>
      <c r="B7" s="31" t="s">
        <v>4609</v>
      </c>
      <c r="C7" s="31" t="s">
        <v>4603</v>
      </c>
    </row>
    <row r="8">
      <c r="A8" s="31" t="s">
        <v>1814</v>
      </c>
      <c r="B8" s="31" t="s">
        <v>4610</v>
      </c>
      <c r="C8" s="31" t="s">
        <v>4606</v>
      </c>
    </row>
    <row r="9">
      <c r="A9" s="31" t="s">
        <v>4611</v>
      </c>
      <c r="B9" s="31" t="s">
        <v>4612</v>
      </c>
      <c r="C9" s="31" t="s">
        <v>4606</v>
      </c>
    </row>
    <row r="10">
      <c r="A10" s="31" t="s">
        <v>4526</v>
      </c>
      <c r="B10" s="31" t="s">
        <v>4613</v>
      </c>
      <c r="C10" s="31" t="s">
        <v>4606</v>
      </c>
    </row>
    <row r="11" hidden="1">
      <c r="A11" s="31" t="s">
        <v>4531</v>
      </c>
      <c r="B11" s="31" t="s">
        <v>4614</v>
      </c>
      <c r="C11" s="31" t="s">
        <v>4603</v>
      </c>
    </row>
    <row r="12">
      <c r="A12" s="31" t="s">
        <v>4583</v>
      </c>
      <c r="B12" s="31" t="s">
        <v>4615</v>
      </c>
      <c r="C12" s="31" t="s">
        <v>4606</v>
      </c>
    </row>
    <row r="13">
      <c r="A13" s="31" t="s">
        <v>4534</v>
      </c>
      <c r="B13" s="31" t="s">
        <v>4616</v>
      </c>
      <c r="C13" s="31" t="s">
        <v>4606</v>
      </c>
    </row>
    <row r="14">
      <c r="A14" s="31" t="s">
        <v>4168</v>
      </c>
      <c r="B14" s="31" t="s">
        <v>4617</v>
      </c>
      <c r="C14" s="31" t="s">
        <v>4606</v>
      </c>
    </row>
    <row r="15">
      <c r="A15" s="31" t="s">
        <v>2711</v>
      </c>
      <c r="B15" s="31" t="s">
        <v>4618</v>
      </c>
      <c r="C15" s="31" t="s">
        <v>4606</v>
      </c>
    </row>
    <row r="16">
      <c r="A16" s="31" t="s">
        <v>3398</v>
      </c>
      <c r="B16" s="31" t="s">
        <v>4619</v>
      </c>
      <c r="C16" s="31" t="s">
        <v>4606</v>
      </c>
    </row>
    <row r="17" hidden="1">
      <c r="A17" s="31" t="s">
        <v>3352</v>
      </c>
      <c r="B17" s="31" t="s">
        <v>4620</v>
      </c>
      <c r="C17" s="31" t="s">
        <v>4603</v>
      </c>
    </row>
    <row r="18" hidden="1">
      <c r="A18" s="31" t="s">
        <v>3347</v>
      </c>
      <c r="B18" s="31" t="s">
        <v>4621</v>
      </c>
      <c r="C18" s="31" t="s">
        <v>4603</v>
      </c>
    </row>
    <row r="19">
      <c r="A19" s="31" t="s">
        <v>3342</v>
      </c>
      <c r="B19" s="31" t="s">
        <v>4622</v>
      </c>
      <c r="C19" s="31" t="s">
        <v>4606</v>
      </c>
    </row>
    <row r="20" hidden="1">
      <c r="A20" s="31" t="s">
        <v>3337</v>
      </c>
      <c r="B20" s="31" t="s">
        <v>4608</v>
      </c>
      <c r="C20" s="31" t="s">
        <v>4603</v>
      </c>
    </row>
    <row r="21" ht="15.75" customHeight="1">
      <c r="A21" s="31" t="s">
        <v>2817</v>
      </c>
      <c r="B21" s="31" t="s">
        <v>2818</v>
      </c>
      <c r="C21" s="31" t="s">
        <v>4606</v>
      </c>
    </row>
    <row r="22" ht="15.75" customHeight="1">
      <c r="A22" s="31" t="s">
        <v>4572</v>
      </c>
      <c r="B22" s="31" t="s">
        <v>4623</v>
      </c>
      <c r="C22" s="31" t="s">
        <v>4606</v>
      </c>
    </row>
    <row r="23" ht="15.75" hidden="1" customHeight="1">
      <c r="A23" s="31" t="s">
        <v>4624</v>
      </c>
      <c r="B23" s="31" t="s">
        <v>4625</v>
      </c>
      <c r="C23" s="31" t="s">
        <v>4603</v>
      </c>
    </row>
    <row r="24" ht="15.75" hidden="1" customHeight="1">
      <c r="A24" s="31" t="s">
        <v>2700</v>
      </c>
      <c r="B24" s="31" t="s">
        <v>4626</v>
      </c>
      <c r="C24" s="31" t="s">
        <v>4603</v>
      </c>
    </row>
    <row r="25" ht="15.75" customHeight="1">
      <c r="A25" s="31" t="s">
        <v>2705</v>
      </c>
      <c r="B25" s="31" t="s">
        <v>4627</v>
      </c>
      <c r="C25" s="31" t="s">
        <v>4606</v>
      </c>
    </row>
    <row r="26" ht="15.75" customHeight="1">
      <c r="A26" s="31" t="s">
        <v>2718</v>
      </c>
      <c r="B26" s="31" t="s">
        <v>4628</v>
      </c>
      <c r="C26" s="31" t="s">
        <v>4606</v>
      </c>
    </row>
    <row r="27" ht="15.75" customHeight="1">
      <c r="A27" s="31" t="s">
        <v>2724</v>
      </c>
      <c r="B27" s="31" t="s">
        <v>4629</v>
      </c>
      <c r="C27" s="31" t="s">
        <v>4606</v>
      </c>
    </row>
    <row r="28" ht="15.75" customHeight="1">
      <c r="A28" s="31" t="s">
        <v>2729</v>
      </c>
      <c r="B28" s="31" t="s">
        <v>4630</v>
      </c>
      <c r="C28" s="31" t="s">
        <v>4606</v>
      </c>
    </row>
    <row r="29" ht="15.75" hidden="1" customHeight="1">
      <c r="A29" s="31" t="s">
        <v>3376</v>
      </c>
      <c r="B29" s="31" t="s">
        <v>4631</v>
      </c>
      <c r="C29" s="31" t="s">
        <v>4603</v>
      </c>
    </row>
    <row r="30" ht="15.75" hidden="1" customHeight="1">
      <c r="A30" s="31" t="s">
        <v>4632</v>
      </c>
      <c r="B30" s="31" t="s">
        <v>4633</v>
      </c>
      <c r="C30" s="31" t="s">
        <v>4603</v>
      </c>
    </row>
    <row r="31" ht="15.75" customHeight="1">
      <c r="A31" s="31" t="s">
        <v>4634</v>
      </c>
      <c r="B31" s="31" t="s">
        <v>4635</v>
      </c>
      <c r="C31" s="31" t="s">
        <v>4606</v>
      </c>
    </row>
    <row r="32" ht="15.75" customHeight="1">
      <c r="A32" s="31" t="s">
        <v>2670</v>
      </c>
      <c r="B32" s="31" t="s">
        <v>4636</v>
      </c>
      <c r="C32" s="31" t="s">
        <v>4606</v>
      </c>
    </row>
    <row r="33" ht="15.75" hidden="1" customHeight="1">
      <c r="A33" s="31" t="s">
        <v>2675</v>
      </c>
      <c r="B33" s="31" t="s">
        <v>4637</v>
      </c>
      <c r="C33" s="31" t="s">
        <v>4603</v>
      </c>
    </row>
    <row r="34" ht="15.75" customHeight="1">
      <c r="A34" s="31" t="s">
        <v>4099</v>
      </c>
      <c r="B34" s="31" t="s">
        <v>4638</v>
      </c>
      <c r="C34" s="31" t="s">
        <v>4606</v>
      </c>
    </row>
    <row r="35" ht="15.75" hidden="1" customHeight="1">
      <c r="A35" s="31" t="s">
        <v>4548</v>
      </c>
      <c r="B35" s="31" t="s">
        <v>4639</v>
      </c>
      <c r="C35" s="31" t="s">
        <v>4603</v>
      </c>
    </row>
    <row r="36" ht="15.75" customHeight="1">
      <c r="A36" s="31" t="s">
        <v>4138</v>
      </c>
      <c r="B36" s="31" t="s">
        <v>4640</v>
      </c>
      <c r="C36" s="31" t="s">
        <v>4606</v>
      </c>
    </row>
    <row r="37" ht="15.75" hidden="1" customHeight="1">
      <c r="A37" s="31" t="s">
        <v>4553</v>
      </c>
      <c r="B37" s="31" t="s">
        <v>4641</v>
      </c>
      <c r="C37" s="31" t="s">
        <v>4603</v>
      </c>
    </row>
    <row r="38" ht="15.75" customHeight="1">
      <c r="A38" s="31" t="s">
        <v>4543</v>
      </c>
      <c r="B38" s="31" t="s">
        <v>4642</v>
      </c>
      <c r="C38" s="31" t="s">
        <v>4606</v>
      </c>
    </row>
    <row r="39" ht="15.75" customHeight="1">
      <c r="A39" s="31" t="s">
        <v>4153</v>
      </c>
      <c r="B39" s="31" t="s">
        <v>4643</v>
      </c>
      <c r="C39" s="31" t="s">
        <v>4606</v>
      </c>
    </row>
    <row r="40" ht="15.75" customHeight="1">
      <c r="A40" s="31" t="s">
        <v>4644</v>
      </c>
      <c r="B40" s="31" t="s">
        <v>4645</v>
      </c>
      <c r="C40" s="31" t="s">
        <v>4606</v>
      </c>
    </row>
    <row r="41" ht="15.75" customHeight="1">
      <c r="A41" s="31" t="s">
        <v>4094</v>
      </c>
      <c r="B41" s="31" t="s">
        <v>4646</v>
      </c>
      <c r="C41" s="31" t="s">
        <v>4606</v>
      </c>
    </row>
    <row r="42" ht="15.75" customHeight="1">
      <c r="A42" s="31" t="s">
        <v>4647</v>
      </c>
      <c r="B42" s="31" t="s">
        <v>4648</v>
      </c>
      <c r="C42" s="31" t="s">
        <v>4606</v>
      </c>
    </row>
    <row r="43" ht="15.75" customHeight="1">
      <c r="A43" s="31" t="s">
        <v>4649</v>
      </c>
      <c r="B43" s="31" t="s">
        <v>4650</v>
      </c>
      <c r="C43" s="31" t="s">
        <v>4606</v>
      </c>
    </row>
    <row r="44" ht="15.75" customHeight="1">
      <c r="A44" s="31" t="s">
        <v>4651</v>
      </c>
      <c r="B44" s="31" t="s">
        <v>4652</v>
      </c>
      <c r="C44" s="31" t="s">
        <v>4606</v>
      </c>
    </row>
    <row r="45" ht="15.75" customHeight="1">
      <c r="A45" s="31" t="s">
        <v>4653</v>
      </c>
      <c r="B45" s="31" t="s">
        <v>4654</v>
      </c>
      <c r="C45" s="31" t="s">
        <v>4606</v>
      </c>
    </row>
    <row r="46" ht="15.75" customHeight="1">
      <c r="A46" s="31" t="s">
        <v>4655</v>
      </c>
      <c r="B46" s="31" t="s">
        <v>4656</v>
      </c>
      <c r="C46" s="31" t="s">
        <v>4606</v>
      </c>
    </row>
    <row r="47" ht="15.75" customHeight="1">
      <c r="A47" s="31" t="s">
        <v>4657</v>
      </c>
      <c r="B47" s="31" t="s">
        <v>4658</v>
      </c>
      <c r="C47" s="31" t="s">
        <v>4606</v>
      </c>
    </row>
    <row r="48" ht="15.75" customHeight="1">
      <c r="A48" s="31" t="s">
        <v>4659</v>
      </c>
      <c r="B48" s="31" t="s">
        <v>4660</v>
      </c>
      <c r="C48" s="31" t="s">
        <v>4606</v>
      </c>
    </row>
    <row r="49" ht="15.75" customHeight="1">
      <c r="A49" s="31" t="s">
        <v>4661</v>
      </c>
      <c r="B49" s="31" t="s">
        <v>4662</v>
      </c>
      <c r="C49" s="31" t="s">
        <v>4606</v>
      </c>
    </row>
    <row r="50" ht="15.75" customHeight="1">
      <c r="A50" s="31" t="s">
        <v>4663</v>
      </c>
      <c r="B50" s="31" t="s">
        <v>4664</v>
      </c>
      <c r="C50" s="31" t="s">
        <v>4606</v>
      </c>
    </row>
    <row r="51" ht="15.75" customHeight="1">
      <c r="A51" s="31" t="s">
        <v>4665</v>
      </c>
      <c r="B51" s="31" t="s">
        <v>4666</v>
      </c>
      <c r="C51" s="31" t="s">
        <v>4606</v>
      </c>
    </row>
    <row r="52" ht="15.75" customHeight="1">
      <c r="A52" s="31" t="s">
        <v>3403</v>
      </c>
      <c r="B52" s="31" t="s">
        <v>4667</v>
      </c>
      <c r="C52" s="31" t="s">
        <v>4606</v>
      </c>
    </row>
    <row r="53" ht="15.75" customHeight="1">
      <c r="A53" s="31" t="s">
        <v>3386</v>
      </c>
      <c r="B53" s="31" t="s">
        <v>4668</v>
      </c>
      <c r="C53" s="31" t="s">
        <v>4606</v>
      </c>
    </row>
    <row r="54" ht="15.75" hidden="1" customHeight="1">
      <c r="A54" s="31" t="s">
        <v>769</v>
      </c>
      <c r="B54" s="31" t="s">
        <v>4669</v>
      </c>
      <c r="C54" s="31" t="s">
        <v>4603</v>
      </c>
    </row>
    <row r="55" ht="15.75" customHeight="1">
      <c r="A55" s="31" t="s">
        <v>2760</v>
      </c>
      <c r="B55" s="31" t="s">
        <v>4670</v>
      </c>
      <c r="C55" s="31" t="s">
        <v>4606</v>
      </c>
    </row>
    <row r="56" ht="15.75" customHeight="1">
      <c r="A56" s="31" t="s">
        <v>4578</v>
      </c>
      <c r="B56" s="31" t="s">
        <v>4671</v>
      </c>
      <c r="C56" s="31" t="s">
        <v>4606</v>
      </c>
    </row>
    <row r="57" ht="15.75" hidden="1" customHeight="1">
      <c r="A57" s="31" t="s">
        <v>717</v>
      </c>
      <c r="B57" s="31" t="s">
        <v>4672</v>
      </c>
      <c r="C57" s="31" t="s">
        <v>4603</v>
      </c>
    </row>
    <row r="58" ht="15.75" customHeight="1">
      <c r="A58" s="31" t="s">
        <v>722</v>
      </c>
      <c r="B58" s="31" t="s">
        <v>4673</v>
      </c>
      <c r="C58" s="31" t="s">
        <v>4606</v>
      </c>
    </row>
    <row r="59" ht="15.75" customHeight="1">
      <c r="A59" s="31" t="s">
        <v>2776</v>
      </c>
      <c r="B59" s="31" t="s">
        <v>4674</v>
      </c>
      <c r="C59" s="31" t="s">
        <v>4606</v>
      </c>
    </row>
    <row r="60" ht="15.75" hidden="1" customHeight="1">
      <c r="A60" s="31" t="s">
        <v>2771</v>
      </c>
      <c r="B60" s="31" t="s">
        <v>4675</v>
      </c>
      <c r="C60" s="31" t="s">
        <v>4603</v>
      </c>
    </row>
    <row r="61" ht="15.75" customHeight="1">
      <c r="A61" s="31" t="s">
        <v>2765</v>
      </c>
      <c r="B61" s="31" t="s">
        <v>2767</v>
      </c>
      <c r="C61" s="31" t="s">
        <v>4606</v>
      </c>
    </row>
    <row r="62" ht="15.75" customHeight="1">
      <c r="A62" s="31" t="s">
        <v>2738</v>
      </c>
      <c r="B62" s="31" t="s">
        <v>4676</v>
      </c>
      <c r="C62" s="31" t="s">
        <v>4606</v>
      </c>
    </row>
    <row r="63" ht="15.75" customHeight="1">
      <c r="A63" s="31" t="s">
        <v>4677</v>
      </c>
      <c r="B63" s="31" t="s">
        <v>4678</v>
      </c>
      <c r="C63" s="31" t="s">
        <v>4606</v>
      </c>
    </row>
    <row r="64" ht="15.75" customHeight="1">
      <c r="A64" s="31" t="s">
        <v>4679</v>
      </c>
      <c r="B64" s="31" t="s">
        <v>4680</v>
      </c>
      <c r="C64" s="31" t="s">
        <v>4606</v>
      </c>
    </row>
    <row r="65" ht="15.75" hidden="1" customHeight="1">
      <c r="A65" s="31" t="s">
        <v>4681</v>
      </c>
      <c r="B65" s="31" t="s">
        <v>4682</v>
      </c>
      <c r="C65" s="31" t="s">
        <v>4603</v>
      </c>
    </row>
    <row r="66" ht="15.75" hidden="1" customHeight="1">
      <c r="A66" s="31" t="s">
        <v>4683</v>
      </c>
      <c r="B66" s="31" t="s">
        <v>4684</v>
      </c>
      <c r="C66" s="31" t="s">
        <v>4603</v>
      </c>
    </row>
    <row r="67" ht="15.75" hidden="1" customHeight="1">
      <c r="A67" s="31" t="s">
        <v>4685</v>
      </c>
      <c r="B67" s="31" t="s">
        <v>4686</v>
      </c>
      <c r="C67" s="31" t="s">
        <v>4603</v>
      </c>
    </row>
    <row r="68" ht="15.75" hidden="1" customHeight="1">
      <c r="A68" s="31" t="s">
        <v>2796</v>
      </c>
      <c r="B68" s="31" t="s">
        <v>4687</v>
      </c>
      <c r="C68" s="31" t="s">
        <v>4603</v>
      </c>
    </row>
    <row r="69" ht="15.75" customHeight="1">
      <c r="A69" s="31" t="s">
        <v>2733</v>
      </c>
      <c r="B69" s="31" t="s">
        <v>4688</v>
      </c>
      <c r="C69" s="31" t="s">
        <v>4606</v>
      </c>
    </row>
    <row r="70" ht="15.75" customHeight="1">
      <c r="A70" s="31" t="s">
        <v>4510</v>
      </c>
      <c r="B70" s="31" t="s">
        <v>4689</v>
      </c>
      <c r="C70" s="31" t="s">
        <v>4606</v>
      </c>
    </row>
    <row r="71" ht="15.75" customHeight="1">
      <c r="A71" s="31" t="s">
        <v>1809</v>
      </c>
      <c r="B71" s="31" t="s">
        <v>4690</v>
      </c>
      <c r="C71" s="31" t="s">
        <v>4606</v>
      </c>
    </row>
    <row r="72" ht="15.75" hidden="1" customHeight="1">
      <c r="A72" s="31" t="s">
        <v>1832</v>
      </c>
      <c r="B72" s="31" t="s">
        <v>4691</v>
      </c>
      <c r="C72" s="31" t="s">
        <v>4603</v>
      </c>
    </row>
    <row r="73" ht="15.75" hidden="1" customHeight="1">
      <c r="A73" s="31" t="s">
        <v>1838</v>
      </c>
      <c r="B73" s="31" t="s">
        <v>4692</v>
      </c>
      <c r="C73" s="31" t="s">
        <v>4603</v>
      </c>
    </row>
    <row r="74" ht="15.75" hidden="1" customHeight="1">
      <c r="A74" s="31" t="s">
        <v>1843</v>
      </c>
      <c r="B74" s="31" t="s">
        <v>4693</v>
      </c>
      <c r="C74" s="31" t="s">
        <v>4603</v>
      </c>
    </row>
    <row r="75" ht="15.75" customHeight="1">
      <c r="A75" s="31" t="s">
        <v>1848</v>
      </c>
      <c r="B75" s="31" t="s">
        <v>4694</v>
      </c>
      <c r="C75" s="31" t="s">
        <v>4606</v>
      </c>
    </row>
    <row r="76" ht="15.75" customHeight="1">
      <c r="A76" s="31" t="s">
        <v>2755</v>
      </c>
      <c r="B76" s="31" t="s">
        <v>4695</v>
      </c>
      <c r="C76" s="31" t="s">
        <v>4606</v>
      </c>
    </row>
    <row r="77" ht="15.75" hidden="1" customHeight="1">
      <c r="A77" s="31" t="s">
        <v>2781</v>
      </c>
      <c r="B77" s="31" t="s">
        <v>4696</v>
      </c>
      <c r="C77" s="31" t="s">
        <v>4603</v>
      </c>
    </row>
    <row r="78" ht="15.75" customHeight="1">
      <c r="A78" s="31" t="s">
        <v>4697</v>
      </c>
      <c r="B78" s="31" t="s">
        <v>4698</v>
      </c>
      <c r="C78" s="31" t="s">
        <v>4606</v>
      </c>
    </row>
    <row r="79" ht="15.75" customHeight="1">
      <c r="A79" s="31" t="s">
        <v>2744</v>
      </c>
      <c r="B79" s="31" t="s">
        <v>4699</v>
      </c>
      <c r="C79" s="31" t="s">
        <v>4606</v>
      </c>
    </row>
    <row r="80" ht="15.75" hidden="1" customHeight="1">
      <c r="A80" s="31" t="s">
        <v>4700</v>
      </c>
      <c r="B80" s="31" t="s">
        <v>4701</v>
      </c>
      <c r="C80" s="31" t="s">
        <v>4603</v>
      </c>
    </row>
    <row r="81" ht="15.75" customHeight="1">
      <c r="A81" s="31" t="s">
        <v>2786</v>
      </c>
      <c r="B81" s="31" t="s">
        <v>4702</v>
      </c>
      <c r="C81" s="31" t="s">
        <v>4606</v>
      </c>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ht="15.75" customHeight="1">
      <c r="A82" s="31" t="s">
        <v>4148</v>
      </c>
      <c r="B82" s="31" t="s">
        <v>4149</v>
      </c>
      <c r="C82" s="31" t="s">
        <v>4606</v>
      </c>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ht="15.75" customHeight="1">
      <c r="A83" s="31" t="s">
        <v>4703</v>
      </c>
      <c r="B83" s="31" t="s">
        <v>713</v>
      </c>
      <c r="C83" s="31" t="s">
        <v>4606</v>
      </c>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sheetData>
  <autoFilter ref="$C$1:$C$996">
    <filterColumn colId="0">
      <filters>
        <filter val="Major"/>
      </filters>
    </filterColumn>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79" t="s">
        <v>53</v>
      </c>
      <c r="B1" s="180" t="s">
        <v>55</v>
      </c>
      <c r="C1" s="180" t="s">
        <v>57</v>
      </c>
      <c r="D1" s="181" t="s">
        <v>3</v>
      </c>
      <c r="E1" s="182"/>
      <c r="F1" s="182"/>
      <c r="G1" s="182"/>
      <c r="H1" s="183"/>
      <c r="I1" s="182"/>
      <c r="J1" s="184"/>
      <c r="K1" s="184"/>
      <c r="L1" s="184"/>
      <c r="M1" s="184"/>
      <c r="N1" s="184"/>
      <c r="O1" s="184"/>
      <c r="P1" s="184"/>
      <c r="Q1" s="184"/>
      <c r="R1" s="184"/>
      <c r="S1" s="184"/>
      <c r="T1" s="184"/>
      <c r="U1" s="184"/>
      <c r="V1" s="184"/>
      <c r="W1" s="184"/>
      <c r="X1" s="184"/>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79" t="s">
        <v>53</v>
      </c>
      <c r="B1" s="180" t="s">
        <v>55</v>
      </c>
      <c r="C1" s="180" t="s">
        <v>57</v>
      </c>
      <c r="D1" s="181" t="s">
        <v>3</v>
      </c>
      <c r="E1" s="182"/>
      <c r="F1" s="182"/>
      <c r="G1" s="182"/>
      <c r="H1" s="183"/>
      <c r="I1" s="182"/>
      <c r="J1" s="184"/>
      <c r="K1" s="184"/>
      <c r="L1" s="184"/>
      <c r="M1" s="184"/>
      <c r="N1" s="184"/>
      <c r="O1" s="184"/>
      <c r="P1" s="184"/>
      <c r="Q1" s="184"/>
      <c r="R1" s="184"/>
      <c r="S1" s="184"/>
      <c r="T1" s="184"/>
      <c r="U1" s="184"/>
      <c r="V1" s="184"/>
      <c r="W1" s="184"/>
      <c r="X1" s="184"/>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185"/>
      <c r="B1" s="186"/>
      <c r="C1" s="186"/>
      <c r="D1" s="186"/>
      <c r="E1" s="186"/>
      <c r="F1" s="186"/>
      <c r="G1" s="185"/>
      <c r="H1" s="185"/>
      <c r="I1" s="185"/>
      <c r="J1" s="185"/>
      <c r="K1" s="185"/>
      <c r="L1" s="185"/>
      <c r="M1" s="185"/>
      <c r="N1" s="185"/>
      <c r="O1" s="185"/>
      <c r="P1" s="185"/>
      <c r="Q1" s="185"/>
      <c r="R1" s="185"/>
      <c r="S1" s="185"/>
      <c r="T1" s="185"/>
    </row>
    <row r="2" ht="14.25" customHeight="1">
      <c r="A2" s="187"/>
      <c r="B2" s="188" t="s">
        <v>4704</v>
      </c>
      <c r="C2" s="189"/>
      <c r="D2" s="189"/>
      <c r="E2" s="189"/>
      <c r="F2" s="190"/>
      <c r="G2" s="191"/>
      <c r="H2" s="191"/>
      <c r="I2" s="191"/>
      <c r="J2" s="191"/>
      <c r="K2" s="191"/>
      <c r="L2" s="191"/>
      <c r="M2" s="191"/>
      <c r="N2" s="191"/>
      <c r="O2" s="191"/>
      <c r="P2" s="191"/>
      <c r="Q2" s="191"/>
      <c r="R2" s="191"/>
      <c r="S2" s="191"/>
      <c r="T2" s="191"/>
    </row>
    <row r="3" ht="14.25" customHeight="1">
      <c r="A3" s="192"/>
      <c r="B3" s="193" t="s">
        <v>4705</v>
      </c>
      <c r="C3" s="194" t="s">
        <v>4706</v>
      </c>
      <c r="D3" s="193" t="s">
        <v>4707</v>
      </c>
      <c r="E3" s="195" t="s">
        <v>4601</v>
      </c>
      <c r="F3" s="193" t="s">
        <v>4708</v>
      </c>
      <c r="G3" s="196"/>
      <c r="H3" s="191"/>
      <c r="I3" s="191"/>
      <c r="J3" s="191"/>
      <c r="K3" s="191"/>
      <c r="L3" s="191"/>
      <c r="M3" s="191"/>
      <c r="N3" s="191"/>
      <c r="O3" s="191"/>
      <c r="P3" s="191"/>
      <c r="Q3" s="191"/>
      <c r="R3" s="191"/>
      <c r="S3" s="191"/>
      <c r="T3" s="191"/>
    </row>
    <row r="4" ht="14.25" customHeight="1">
      <c r="B4" s="197" t="s">
        <v>4709</v>
      </c>
      <c r="C4" s="198" t="s">
        <v>4710</v>
      </c>
      <c r="D4" s="31" t="s">
        <v>4711</v>
      </c>
      <c r="E4" s="31" t="s">
        <v>4712</v>
      </c>
      <c r="F4" s="31"/>
    </row>
    <row r="5" ht="14.25" customHeight="1">
      <c r="B5" s="199" t="s">
        <v>4713</v>
      </c>
      <c r="C5" s="198" t="s">
        <v>4714</v>
      </c>
      <c r="D5" s="31" t="s">
        <v>4711</v>
      </c>
      <c r="E5" s="31" t="s">
        <v>4712</v>
      </c>
      <c r="F5" s="31"/>
    </row>
    <row r="6" ht="14.25" customHeight="1">
      <c r="B6" s="199" t="s">
        <v>4715</v>
      </c>
      <c r="C6" s="198" t="s">
        <v>4716</v>
      </c>
      <c r="D6" s="31" t="s">
        <v>4711</v>
      </c>
      <c r="E6" s="31" t="s">
        <v>4712</v>
      </c>
      <c r="F6" s="31"/>
    </row>
    <row r="7" ht="14.25" customHeight="1">
      <c r="B7" s="197" t="s">
        <v>4717</v>
      </c>
      <c r="C7" s="200" t="s">
        <v>4718</v>
      </c>
      <c r="D7" s="31" t="s">
        <v>4719</v>
      </c>
      <c r="E7" s="31"/>
      <c r="F7" s="31"/>
    </row>
    <row r="8" ht="14.25" customHeight="1">
      <c r="B8" s="199" t="s">
        <v>4715</v>
      </c>
      <c r="C8" s="201" t="s">
        <v>4716</v>
      </c>
      <c r="D8" s="31" t="s">
        <v>4719</v>
      </c>
      <c r="E8" s="31"/>
      <c r="F8" s="31"/>
    </row>
    <row r="9" ht="14.25" customHeight="1">
      <c r="B9" s="199" t="s">
        <v>4709</v>
      </c>
      <c r="C9" s="201" t="s">
        <v>4710</v>
      </c>
      <c r="D9" s="31" t="s">
        <v>4719</v>
      </c>
      <c r="E9" s="31"/>
      <c r="F9" s="31"/>
    </row>
    <row r="10" ht="14.25" customHeight="1">
      <c r="B10" s="199" t="s">
        <v>4720</v>
      </c>
      <c r="C10" s="201" t="s">
        <v>4721</v>
      </c>
      <c r="D10" s="31" t="s">
        <v>4711</v>
      </c>
      <c r="E10" s="31" t="s">
        <v>4712</v>
      </c>
      <c r="F10" s="31"/>
    </row>
    <row r="11" ht="14.25" customHeight="1">
      <c r="B11" s="199" t="s">
        <v>4722</v>
      </c>
      <c r="C11" s="201" t="s">
        <v>4723</v>
      </c>
      <c r="D11" s="31" t="s">
        <v>4711</v>
      </c>
      <c r="E11" s="31"/>
      <c r="F11" s="31"/>
    </row>
    <row r="12" ht="14.25" customHeight="1">
      <c r="B12" s="199" t="s">
        <v>4724</v>
      </c>
      <c r="C12" s="201" t="s">
        <v>4725</v>
      </c>
      <c r="D12" s="31" t="s">
        <v>4711</v>
      </c>
      <c r="E12" s="31"/>
      <c r="F12" s="31"/>
    </row>
    <row r="13" ht="14.25" customHeight="1">
      <c r="B13" s="199" t="s">
        <v>4726</v>
      </c>
      <c r="C13" s="201" t="s">
        <v>4727</v>
      </c>
      <c r="D13" s="31" t="s">
        <v>4711</v>
      </c>
      <c r="E13" s="31"/>
      <c r="F13" s="31"/>
    </row>
    <row r="14" ht="14.25" customHeight="1">
      <c r="B14" s="199" t="s">
        <v>4728</v>
      </c>
      <c r="C14" s="201" t="s">
        <v>4729</v>
      </c>
      <c r="D14" s="31" t="s">
        <v>4711</v>
      </c>
      <c r="E14" s="31"/>
      <c r="F14" s="31"/>
    </row>
    <row r="15" ht="14.25" customHeight="1">
      <c r="B15" s="199" t="s">
        <v>4730</v>
      </c>
      <c r="C15" s="201" t="s">
        <v>4731</v>
      </c>
      <c r="D15" s="31" t="s">
        <v>4711</v>
      </c>
      <c r="E15" s="31"/>
      <c r="F15" s="31"/>
    </row>
    <row r="16" ht="14.25" customHeight="1">
      <c r="B16" s="199" t="s">
        <v>4732</v>
      </c>
      <c r="C16" s="201" t="s">
        <v>4733</v>
      </c>
      <c r="D16" s="31" t="s">
        <v>4711</v>
      </c>
      <c r="E16" s="31"/>
      <c r="F16" s="31"/>
    </row>
    <row r="17" ht="14.25" customHeight="1">
      <c r="B17" s="199" t="s">
        <v>4734</v>
      </c>
      <c r="C17" s="201" t="s">
        <v>4735</v>
      </c>
      <c r="D17" s="31" t="s">
        <v>4711</v>
      </c>
      <c r="E17" s="31"/>
      <c r="F17" s="31"/>
    </row>
    <row r="18" ht="14.25" customHeight="1">
      <c r="B18" s="199" t="s">
        <v>4736</v>
      </c>
      <c r="C18" s="201" t="s">
        <v>4737</v>
      </c>
      <c r="D18" s="31" t="s">
        <v>4711</v>
      </c>
      <c r="E18" s="31"/>
      <c r="F18" s="31"/>
    </row>
    <row r="19" ht="14.25" customHeight="1">
      <c r="B19" s="199" t="s">
        <v>4738</v>
      </c>
      <c r="C19" s="200" t="s">
        <v>4739</v>
      </c>
      <c r="D19" s="31" t="s">
        <v>4711</v>
      </c>
      <c r="E19" s="31"/>
      <c r="F19" s="31"/>
    </row>
    <row r="20" ht="14.25" customHeight="1">
      <c r="B20" s="199" t="s">
        <v>4740</v>
      </c>
      <c r="C20" s="201" t="s">
        <v>4741</v>
      </c>
      <c r="D20" s="31" t="s">
        <v>4711</v>
      </c>
      <c r="E20" s="31"/>
      <c r="F20" s="31"/>
    </row>
    <row r="21" ht="14.25" customHeight="1">
      <c r="B21" s="202" t="s">
        <v>4742</v>
      </c>
      <c r="C21" s="203" t="s">
        <v>4743</v>
      </c>
      <c r="D21" s="31" t="s">
        <v>4711</v>
      </c>
      <c r="E21" s="31" t="s">
        <v>4712</v>
      </c>
    </row>
    <row r="22" ht="14.25" customHeight="1">
      <c r="B22" s="202" t="s">
        <v>4744</v>
      </c>
      <c r="C22" s="203" t="s">
        <v>4745</v>
      </c>
      <c r="D22" s="31" t="s">
        <v>4711</v>
      </c>
    </row>
    <row r="23" ht="14.25" customHeight="1">
      <c r="B23" s="202" t="s">
        <v>4746</v>
      </c>
      <c r="C23" s="203" t="s">
        <v>4747</v>
      </c>
      <c r="D23" s="31" t="s">
        <v>4711</v>
      </c>
    </row>
    <row r="24" ht="14.25" customHeight="1">
      <c r="B24" s="202" t="s">
        <v>4748</v>
      </c>
      <c r="C24" s="203" t="s">
        <v>4749</v>
      </c>
      <c r="D24" s="31" t="s">
        <v>4711</v>
      </c>
    </row>
    <row r="25" ht="14.25" customHeight="1">
      <c r="B25" s="202" t="s">
        <v>4750</v>
      </c>
      <c r="C25" s="53" t="s">
        <v>4751</v>
      </c>
      <c r="D25" s="31" t="s">
        <v>4711</v>
      </c>
    </row>
    <row r="26" ht="14.25" customHeight="1">
      <c r="B26" s="202" t="s">
        <v>4752</v>
      </c>
      <c r="C26" s="53" t="s">
        <v>4753</v>
      </c>
      <c r="D26" s="31" t="s">
        <v>4711</v>
      </c>
    </row>
    <row r="27" ht="14.25" customHeight="1">
      <c r="B27" s="202" t="s">
        <v>4754</v>
      </c>
      <c r="C27" s="17" t="s">
        <v>4755</v>
      </c>
      <c r="D27" s="31" t="s">
        <v>4756</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185"/>
      <c r="C2" s="186"/>
      <c r="D2" s="186"/>
      <c r="E2" s="186"/>
      <c r="F2" s="186"/>
      <c r="G2" s="186"/>
      <c r="H2" s="185"/>
      <c r="I2" s="185"/>
      <c r="J2" s="185"/>
      <c r="K2" s="185"/>
      <c r="L2" s="185"/>
      <c r="M2" s="185"/>
      <c r="N2" s="185"/>
      <c r="O2" s="185"/>
      <c r="P2" s="185"/>
      <c r="Q2" s="185"/>
      <c r="R2" s="185"/>
      <c r="S2" s="185"/>
      <c r="T2" s="185"/>
      <c r="U2" s="185"/>
    </row>
    <row r="3" ht="14.25" customHeight="1">
      <c r="B3" s="187"/>
      <c r="C3" s="204" t="s">
        <v>4704</v>
      </c>
      <c r="D3" s="65"/>
      <c r="E3" s="65"/>
      <c r="F3" s="65"/>
      <c r="G3" s="66"/>
      <c r="H3" s="191"/>
      <c r="I3" s="191"/>
      <c r="J3" s="191"/>
      <c r="K3" s="191"/>
      <c r="L3" s="191"/>
      <c r="M3" s="191"/>
      <c r="N3" s="191"/>
      <c r="O3" s="191"/>
      <c r="P3" s="191"/>
      <c r="Q3" s="191"/>
      <c r="R3" s="191"/>
      <c r="S3" s="191"/>
      <c r="T3" s="191"/>
      <c r="U3" s="191"/>
    </row>
    <row r="4" ht="14.25" customHeight="1">
      <c r="B4" s="187"/>
      <c r="C4" s="205" t="s">
        <v>4757</v>
      </c>
      <c r="D4" s="206" t="s">
        <v>4706</v>
      </c>
      <c r="E4" s="205" t="s">
        <v>4707</v>
      </c>
      <c r="F4" s="207" t="s">
        <v>4708</v>
      </c>
      <c r="G4" s="66"/>
      <c r="H4" s="191" t="s">
        <v>4758</v>
      </c>
      <c r="I4" s="191"/>
      <c r="J4" s="191"/>
      <c r="K4" s="191"/>
      <c r="L4" s="191"/>
      <c r="M4" s="191"/>
      <c r="N4" s="191"/>
      <c r="O4" s="191"/>
      <c r="P4" s="191"/>
      <c r="Q4" s="191"/>
      <c r="R4" s="191"/>
      <c r="S4" s="191"/>
      <c r="T4" s="191"/>
      <c r="U4" s="191"/>
    </row>
    <row r="5" ht="14.25" customHeight="1">
      <c r="C5" s="199" t="s">
        <v>4759</v>
      </c>
      <c r="D5" s="31" t="s">
        <v>4760</v>
      </c>
      <c r="E5" s="31" t="s">
        <v>4756</v>
      </c>
    </row>
    <row r="6" ht="14.25" customHeight="1">
      <c r="C6" s="199" t="s">
        <v>4761</v>
      </c>
      <c r="D6" s="31" t="s">
        <v>4727</v>
      </c>
      <c r="E6" s="31" t="s">
        <v>4756</v>
      </c>
    </row>
    <row r="7" ht="14.25" customHeight="1">
      <c r="C7" s="199" t="s">
        <v>4762</v>
      </c>
      <c r="D7" s="31" t="s">
        <v>4763</v>
      </c>
      <c r="E7" s="31" t="s">
        <v>4756</v>
      </c>
    </row>
    <row r="8" ht="14.25" customHeight="1">
      <c r="C8" s="199" t="s">
        <v>4764</v>
      </c>
      <c r="D8" s="31" t="s">
        <v>4745</v>
      </c>
      <c r="E8" s="31" t="s">
        <v>4756</v>
      </c>
    </row>
    <row r="9" ht="14.25" customHeight="1">
      <c r="C9" s="199" t="s">
        <v>4765</v>
      </c>
      <c r="D9" s="31" t="s">
        <v>4739</v>
      </c>
      <c r="E9" s="31" t="s">
        <v>4756</v>
      </c>
    </row>
    <row r="10" ht="14.25" customHeight="1">
      <c r="C10" s="199" t="s">
        <v>4766</v>
      </c>
      <c r="D10" s="31" t="s">
        <v>4767</v>
      </c>
      <c r="E10" s="31" t="s">
        <v>4756</v>
      </c>
    </row>
    <row r="11" ht="14.25" customHeight="1">
      <c r="C11" s="199" t="s">
        <v>4768</v>
      </c>
      <c r="D11" s="31" t="s">
        <v>4769</v>
      </c>
      <c r="E11" s="31" t="s">
        <v>4756</v>
      </c>
    </row>
    <row r="12" ht="14.25" customHeight="1">
      <c r="C12" s="199" t="s">
        <v>4770</v>
      </c>
      <c r="D12" s="198" t="s">
        <v>4771</v>
      </c>
      <c r="E12" s="31" t="s">
        <v>4756</v>
      </c>
    </row>
    <row r="13" ht="14.25" customHeight="1">
      <c r="C13" s="199" t="s">
        <v>4772</v>
      </c>
      <c r="D13" s="31" t="s">
        <v>4773</v>
      </c>
      <c r="E13" s="31" t="s">
        <v>4756</v>
      </c>
    </row>
    <row r="14" ht="14.25" customHeight="1">
      <c r="C14" s="199" t="s">
        <v>4774</v>
      </c>
      <c r="D14" s="198" t="s">
        <v>4775</v>
      </c>
      <c r="E14" s="31" t="s">
        <v>4756</v>
      </c>
    </row>
    <row r="15" ht="14.25" customHeight="1">
      <c r="C15" s="199" t="s">
        <v>4776</v>
      </c>
      <c r="D15" s="198" t="s">
        <v>4777</v>
      </c>
      <c r="E15" s="31" t="s">
        <v>4756</v>
      </c>
    </row>
    <row r="16" ht="14.25" customHeight="1">
      <c r="C16" s="199" t="s">
        <v>4778</v>
      </c>
      <c r="D16" s="198" t="s">
        <v>4779</v>
      </c>
      <c r="E16" s="31" t="s">
        <v>4756</v>
      </c>
    </row>
    <row r="17" ht="14.25" customHeight="1">
      <c r="C17" s="199" t="s">
        <v>4780</v>
      </c>
      <c r="D17" s="31" t="s">
        <v>4781</v>
      </c>
      <c r="E17" s="31" t="s">
        <v>4756</v>
      </c>
    </row>
    <row r="18" ht="14.25" customHeight="1">
      <c r="C18" s="199" t="s">
        <v>4782</v>
      </c>
      <c r="D18" s="198" t="s">
        <v>4783</v>
      </c>
      <c r="E18" s="31" t="s">
        <v>4756</v>
      </c>
    </row>
    <row r="19" ht="14.25" customHeight="1">
      <c r="C19" s="199" t="s">
        <v>4784</v>
      </c>
      <c r="D19" s="198" t="s">
        <v>4785</v>
      </c>
      <c r="E19" s="31" t="s">
        <v>4756</v>
      </c>
    </row>
    <row r="20" ht="14.25" customHeight="1">
      <c r="C20" s="199" t="s">
        <v>4786</v>
      </c>
      <c r="D20" s="198" t="s">
        <v>4787</v>
      </c>
      <c r="E20" s="31" t="s">
        <v>4756</v>
      </c>
    </row>
    <row r="21" ht="14.25" customHeight="1">
      <c r="C21" s="199" t="s">
        <v>4788</v>
      </c>
      <c r="D21" s="198" t="s">
        <v>4789</v>
      </c>
      <c r="E21" s="31" t="s">
        <v>4756</v>
      </c>
    </row>
    <row r="22" ht="14.25" customHeight="1">
      <c r="C22" s="199" t="s">
        <v>4790</v>
      </c>
      <c r="D22" s="198" t="s">
        <v>4791</v>
      </c>
      <c r="E22" s="31" t="s">
        <v>4756</v>
      </c>
    </row>
    <row r="23" ht="14.25" customHeight="1">
      <c r="C23" s="199" t="s">
        <v>4792</v>
      </c>
      <c r="D23" s="198" t="s">
        <v>4793</v>
      </c>
      <c r="E23" s="31" t="s">
        <v>4756</v>
      </c>
    </row>
    <row r="24" ht="14.25" customHeight="1">
      <c r="C24" s="199" t="s">
        <v>4794</v>
      </c>
      <c r="D24" s="31" t="s">
        <v>4795</v>
      </c>
      <c r="E24" s="31" t="s">
        <v>4756</v>
      </c>
    </row>
    <row r="25" ht="14.25" customHeight="1">
      <c r="C25" s="199" t="s">
        <v>4796</v>
      </c>
      <c r="D25" s="31" t="s">
        <v>4749</v>
      </c>
      <c r="E25" s="31" t="s">
        <v>4756</v>
      </c>
    </row>
    <row r="26" ht="14.25" customHeight="1">
      <c r="C26" s="202" t="s">
        <v>4754</v>
      </c>
      <c r="D26" s="17" t="s">
        <v>4755</v>
      </c>
      <c r="E26" s="31" t="s">
        <v>4756</v>
      </c>
    </row>
    <row r="27" ht="14.25" customHeight="1">
      <c r="C27" s="202" t="s">
        <v>4797</v>
      </c>
      <c r="D27" s="53" t="s">
        <v>4798</v>
      </c>
      <c r="E27" s="31" t="s">
        <v>4756</v>
      </c>
    </row>
    <row r="28" ht="14.25" customHeight="1">
      <c r="C28" s="208" t="s">
        <v>4799</v>
      </c>
      <c r="D28" s="53" t="s">
        <v>4800</v>
      </c>
      <c r="E28" s="31" t="s">
        <v>4756</v>
      </c>
    </row>
    <row r="29" ht="14.25" customHeight="1">
      <c r="C29" s="202" t="s">
        <v>4801</v>
      </c>
      <c r="D29" s="53" t="s">
        <v>4802</v>
      </c>
      <c r="E29" s="31" t="s">
        <v>4756</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209" t="s">
        <v>4803</v>
      </c>
      <c r="B1" s="210" t="s">
        <v>4804</v>
      </c>
      <c r="C1" s="211" t="s">
        <v>4805</v>
      </c>
      <c r="D1" s="211" t="s">
        <v>4806</v>
      </c>
      <c r="E1" s="211" t="s">
        <v>4807</v>
      </c>
      <c r="F1" s="211" t="s">
        <v>4808</v>
      </c>
      <c r="G1" s="211" t="s">
        <v>4809</v>
      </c>
      <c r="H1" s="212"/>
      <c r="I1" s="212"/>
      <c r="J1" s="212"/>
      <c r="K1" s="212"/>
      <c r="L1" s="212"/>
      <c r="M1" s="212"/>
      <c r="N1" s="212"/>
      <c r="O1" s="212"/>
      <c r="P1" s="212"/>
      <c r="Q1" s="212"/>
      <c r="R1" s="212"/>
      <c r="S1" s="212"/>
      <c r="T1" s="212"/>
      <c r="U1" s="212"/>
      <c r="V1" s="212"/>
      <c r="W1" s="212"/>
      <c r="X1" s="212"/>
      <c r="Y1" s="212"/>
      <c r="Z1" s="212"/>
    </row>
    <row r="2">
      <c r="A2" s="213">
        <v>293.0</v>
      </c>
      <c r="B2" s="214" t="s">
        <v>4810</v>
      </c>
      <c r="C2" s="215" t="s">
        <v>4811</v>
      </c>
      <c r="D2" s="215" t="s">
        <v>4811</v>
      </c>
      <c r="E2" s="215" t="s">
        <v>4812</v>
      </c>
      <c r="F2" s="215" t="s">
        <v>4719</v>
      </c>
      <c r="G2" s="215"/>
      <c r="H2" s="212"/>
      <c r="I2" s="212"/>
      <c r="J2" s="212"/>
      <c r="K2" s="212"/>
      <c r="L2" s="212"/>
      <c r="M2" s="212"/>
      <c r="N2" s="212"/>
      <c r="O2" s="212"/>
      <c r="P2" s="212"/>
      <c r="Q2" s="212"/>
      <c r="R2" s="212"/>
      <c r="S2" s="212"/>
      <c r="T2" s="212"/>
      <c r="U2" s="212"/>
      <c r="V2" s="212"/>
      <c r="W2" s="212"/>
      <c r="X2" s="212"/>
      <c r="Y2" s="212"/>
      <c r="Z2" s="212"/>
    </row>
    <row r="3">
      <c r="A3" s="213">
        <v>291.0</v>
      </c>
      <c r="B3" s="214" t="s">
        <v>4813</v>
      </c>
      <c r="C3" s="215" t="s">
        <v>4811</v>
      </c>
      <c r="D3" s="215" t="s">
        <v>4811</v>
      </c>
      <c r="E3" s="215" t="s">
        <v>4814</v>
      </c>
      <c r="F3" s="215" t="s">
        <v>4719</v>
      </c>
      <c r="G3" s="215"/>
      <c r="H3" s="212"/>
      <c r="I3" s="212"/>
      <c r="J3" s="212"/>
      <c r="K3" s="212"/>
      <c r="L3" s="212"/>
      <c r="M3" s="212"/>
      <c r="N3" s="212"/>
      <c r="O3" s="212"/>
      <c r="P3" s="212"/>
      <c r="Q3" s="212"/>
      <c r="R3" s="212"/>
      <c r="S3" s="212"/>
      <c r="T3" s="212"/>
      <c r="U3" s="212"/>
      <c r="V3" s="212"/>
      <c r="W3" s="212"/>
      <c r="X3" s="212"/>
      <c r="Y3" s="212"/>
      <c r="Z3" s="212"/>
    </row>
    <row r="4">
      <c r="A4" s="216">
        <v>276.0</v>
      </c>
      <c r="B4" s="217" t="s">
        <v>4815</v>
      </c>
      <c r="C4" s="218" t="s">
        <v>4816</v>
      </c>
      <c r="D4" s="218" t="s">
        <v>4811</v>
      </c>
      <c r="E4" s="218" t="s">
        <v>4817</v>
      </c>
      <c r="F4" s="219" t="s">
        <v>4719</v>
      </c>
      <c r="G4" s="218"/>
      <c r="H4" s="219" t="s">
        <v>4719</v>
      </c>
    </row>
    <row r="5">
      <c r="A5" s="213">
        <v>252.0</v>
      </c>
      <c r="B5" s="214" t="s">
        <v>4818</v>
      </c>
      <c r="C5" s="215" t="s">
        <v>4811</v>
      </c>
      <c r="D5" s="215" t="s">
        <v>4811</v>
      </c>
      <c r="E5" s="215" t="s">
        <v>4814</v>
      </c>
      <c r="F5" s="215" t="s">
        <v>4819</v>
      </c>
      <c r="G5" s="215"/>
      <c r="H5" s="220" t="s">
        <v>4820</v>
      </c>
      <c r="I5" s="221" t="s">
        <v>4821</v>
      </c>
      <c r="J5" s="212"/>
      <c r="K5" s="212"/>
      <c r="L5" s="212"/>
      <c r="M5" s="212"/>
      <c r="N5" s="212"/>
      <c r="O5" s="212"/>
      <c r="P5" s="212"/>
      <c r="Q5" s="212"/>
      <c r="R5" s="212"/>
      <c r="S5" s="212"/>
      <c r="T5" s="212"/>
      <c r="U5" s="212"/>
      <c r="V5" s="212"/>
      <c r="W5" s="212"/>
      <c r="X5" s="212"/>
      <c r="Y5" s="212"/>
      <c r="Z5" s="212"/>
    </row>
    <row r="6">
      <c r="A6" s="213">
        <v>231.0</v>
      </c>
      <c r="B6" s="214" t="s">
        <v>4795</v>
      </c>
      <c r="C6" s="215" t="s">
        <v>4811</v>
      </c>
      <c r="D6" s="215" t="s">
        <v>4816</v>
      </c>
      <c r="E6" s="215" t="s">
        <v>4812</v>
      </c>
      <c r="F6" s="215" t="s">
        <v>4719</v>
      </c>
      <c r="G6" s="215"/>
      <c r="H6" s="222"/>
      <c r="I6" s="212"/>
      <c r="J6" s="212"/>
      <c r="K6" s="212"/>
      <c r="L6" s="212"/>
      <c r="M6" s="212"/>
      <c r="N6" s="212"/>
      <c r="O6" s="212"/>
      <c r="P6" s="212"/>
      <c r="Q6" s="212"/>
      <c r="R6" s="212"/>
      <c r="S6" s="212"/>
      <c r="T6" s="212"/>
      <c r="U6" s="212"/>
      <c r="V6" s="212"/>
      <c r="W6" s="212"/>
      <c r="X6" s="212"/>
      <c r="Y6" s="212"/>
      <c r="Z6" s="212"/>
    </row>
    <row r="7">
      <c r="A7" s="216">
        <v>226.0</v>
      </c>
      <c r="B7" s="217" t="s">
        <v>4822</v>
      </c>
      <c r="C7" s="218" t="s">
        <v>4816</v>
      </c>
      <c r="D7" s="218" t="s">
        <v>4811</v>
      </c>
      <c r="E7" s="218" t="s">
        <v>4817</v>
      </c>
      <c r="F7" s="219" t="s">
        <v>4719</v>
      </c>
      <c r="G7" s="218"/>
      <c r="H7" s="219" t="s">
        <v>4719</v>
      </c>
    </row>
    <row r="8">
      <c r="A8" s="213">
        <v>225.0</v>
      </c>
      <c r="B8" s="214" t="s">
        <v>4822</v>
      </c>
      <c r="C8" s="215" t="s">
        <v>4811</v>
      </c>
      <c r="D8" s="215" t="s">
        <v>4816</v>
      </c>
      <c r="E8" s="215" t="s">
        <v>4812</v>
      </c>
      <c r="F8" s="215" t="s">
        <v>4823</v>
      </c>
      <c r="G8" s="215"/>
      <c r="H8" s="223" t="s">
        <v>4824</v>
      </c>
      <c r="I8" s="212"/>
      <c r="J8" s="212"/>
      <c r="K8" s="212"/>
      <c r="L8" s="212"/>
      <c r="M8" s="212"/>
      <c r="N8" s="212"/>
      <c r="O8" s="212"/>
      <c r="P8" s="212"/>
      <c r="Q8" s="212"/>
      <c r="R8" s="212"/>
      <c r="S8" s="212"/>
      <c r="T8" s="212"/>
      <c r="U8" s="212"/>
      <c r="V8" s="212"/>
      <c r="W8" s="212"/>
      <c r="X8" s="212"/>
      <c r="Y8" s="212"/>
      <c r="Z8" s="212"/>
    </row>
    <row r="9">
      <c r="A9" s="224">
        <v>223.0</v>
      </c>
      <c r="B9" s="225" t="s">
        <v>4791</v>
      </c>
      <c r="C9" s="226" t="s">
        <v>4811</v>
      </c>
      <c r="D9" s="226" t="s">
        <v>4816</v>
      </c>
      <c r="E9" s="226" t="s">
        <v>4812</v>
      </c>
      <c r="F9" s="226" t="s">
        <v>4823</v>
      </c>
      <c r="G9" s="226"/>
      <c r="H9" s="227" t="s">
        <v>4825</v>
      </c>
      <c r="I9" s="228"/>
      <c r="J9" s="228"/>
      <c r="K9" s="228"/>
      <c r="L9" s="228"/>
      <c r="M9" s="228"/>
      <c r="N9" s="228"/>
      <c r="O9" s="228"/>
      <c r="P9" s="228"/>
      <c r="Q9" s="228"/>
      <c r="R9" s="228"/>
      <c r="S9" s="228"/>
      <c r="T9" s="228"/>
      <c r="U9" s="228"/>
      <c r="V9" s="228"/>
      <c r="W9" s="228"/>
      <c r="X9" s="228"/>
      <c r="Y9" s="228"/>
      <c r="Z9" s="228"/>
    </row>
    <row r="10">
      <c r="A10" s="229">
        <v>220.0</v>
      </c>
      <c r="B10" s="230" t="s">
        <v>4785</v>
      </c>
      <c r="C10" s="231" t="s">
        <v>4816</v>
      </c>
      <c r="D10" s="231" t="s">
        <v>4811</v>
      </c>
      <c r="E10" s="231" t="s">
        <v>4817</v>
      </c>
      <c r="F10" s="231" t="s">
        <v>4826</v>
      </c>
      <c r="G10" s="231" t="s">
        <v>4827</v>
      </c>
    </row>
    <row r="11">
      <c r="A11" s="213">
        <v>219.0</v>
      </c>
      <c r="B11" s="214" t="s">
        <v>4785</v>
      </c>
      <c r="C11" s="215" t="s">
        <v>4811</v>
      </c>
      <c r="D11" s="215" t="s">
        <v>4816</v>
      </c>
      <c r="E11" s="215" t="s">
        <v>4812</v>
      </c>
      <c r="F11" s="215" t="s">
        <v>4828</v>
      </c>
      <c r="G11" s="215"/>
      <c r="H11" s="212"/>
      <c r="I11" s="212"/>
      <c r="J11" s="212"/>
      <c r="K11" s="212"/>
      <c r="L11" s="212"/>
      <c r="M11" s="212"/>
      <c r="N11" s="212"/>
      <c r="O11" s="212"/>
      <c r="P11" s="212"/>
      <c r="Q11" s="212"/>
      <c r="R11" s="212"/>
      <c r="S11" s="212"/>
      <c r="T11" s="212"/>
      <c r="U11" s="212"/>
      <c r="V11" s="212"/>
      <c r="W11" s="212"/>
      <c r="X11" s="212"/>
      <c r="Y11" s="212"/>
      <c r="Z11" s="212"/>
    </row>
    <row r="12">
      <c r="A12" s="213">
        <v>217.0</v>
      </c>
      <c r="B12" s="214" t="s">
        <v>4781</v>
      </c>
      <c r="C12" s="215" t="s">
        <v>4811</v>
      </c>
      <c r="D12" s="215" t="s">
        <v>4816</v>
      </c>
      <c r="E12" s="215" t="s">
        <v>4812</v>
      </c>
      <c r="F12" s="215" t="s">
        <v>4719</v>
      </c>
      <c r="G12" s="215"/>
      <c r="H12" s="222" t="s">
        <v>4719</v>
      </c>
      <c r="I12" s="212"/>
      <c r="J12" s="212"/>
      <c r="K12" s="212"/>
      <c r="L12" s="212"/>
      <c r="M12" s="212"/>
      <c r="N12" s="212"/>
      <c r="O12" s="212"/>
      <c r="P12" s="212"/>
      <c r="Q12" s="212"/>
      <c r="R12" s="212"/>
      <c r="S12" s="212"/>
      <c r="T12" s="212"/>
      <c r="U12" s="212"/>
      <c r="V12" s="212"/>
      <c r="W12" s="212"/>
      <c r="X12" s="212"/>
      <c r="Y12" s="212"/>
      <c r="Z12" s="212"/>
    </row>
    <row r="13">
      <c r="A13" s="216">
        <v>216.0</v>
      </c>
      <c r="B13" s="217" t="s">
        <v>4829</v>
      </c>
      <c r="C13" s="218" t="s">
        <v>4816</v>
      </c>
      <c r="D13" s="218" t="s">
        <v>4811</v>
      </c>
      <c r="E13" s="218" t="s">
        <v>4817</v>
      </c>
      <c r="F13" s="232" t="s">
        <v>4719</v>
      </c>
      <c r="G13" s="218"/>
      <c r="H13" s="233"/>
    </row>
    <row r="14">
      <c r="A14" s="229">
        <v>215.0</v>
      </c>
      <c r="B14" s="230" t="s">
        <v>4830</v>
      </c>
      <c r="C14" s="231"/>
      <c r="D14" s="231"/>
      <c r="E14" s="231" t="s">
        <v>4817</v>
      </c>
      <c r="F14" s="231" t="s">
        <v>4719</v>
      </c>
      <c r="G14" s="231"/>
    </row>
    <row r="15">
      <c r="A15" s="213">
        <v>213.0</v>
      </c>
      <c r="B15" s="214" t="s">
        <v>4777</v>
      </c>
      <c r="C15" s="215" t="s">
        <v>4811</v>
      </c>
      <c r="D15" s="215" t="s">
        <v>4816</v>
      </c>
      <c r="E15" s="215" t="s">
        <v>4812</v>
      </c>
      <c r="F15" s="215" t="s">
        <v>4719</v>
      </c>
      <c r="G15" s="215"/>
      <c r="H15" s="212"/>
      <c r="I15" s="212"/>
      <c r="J15" s="212"/>
      <c r="K15" s="212"/>
      <c r="L15" s="212"/>
      <c r="M15" s="212"/>
      <c r="N15" s="212"/>
      <c r="O15" s="212"/>
      <c r="P15" s="212"/>
      <c r="Q15" s="212"/>
      <c r="R15" s="212"/>
      <c r="S15" s="212"/>
      <c r="T15" s="212"/>
      <c r="U15" s="212"/>
      <c r="V15" s="212"/>
      <c r="W15" s="212"/>
      <c r="X15" s="212"/>
      <c r="Y15" s="212"/>
      <c r="Z15" s="212"/>
    </row>
    <row r="16">
      <c r="A16" s="213">
        <v>212.0</v>
      </c>
      <c r="B16" s="214" t="s">
        <v>4775</v>
      </c>
      <c r="C16" s="215" t="s">
        <v>4811</v>
      </c>
      <c r="D16" s="215" t="s">
        <v>4816</v>
      </c>
      <c r="E16" s="215" t="s">
        <v>4812</v>
      </c>
      <c r="F16" s="215" t="s">
        <v>4719</v>
      </c>
      <c r="G16" s="215"/>
      <c r="H16" s="212"/>
      <c r="I16" s="212"/>
      <c r="J16" s="212"/>
      <c r="K16" s="212"/>
      <c r="L16" s="212"/>
      <c r="M16" s="212"/>
      <c r="N16" s="212"/>
      <c r="O16" s="212"/>
      <c r="P16" s="212"/>
      <c r="Q16" s="212"/>
      <c r="R16" s="212"/>
      <c r="S16" s="212"/>
      <c r="T16" s="212"/>
      <c r="U16" s="212"/>
      <c r="V16" s="212"/>
      <c r="W16" s="212"/>
      <c r="X16" s="212"/>
      <c r="Y16" s="212"/>
      <c r="Z16" s="212"/>
    </row>
    <row r="17">
      <c r="A17" s="213">
        <v>209.0</v>
      </c>
      <c r="B17" s="214" t="s">
        <v>4831</v>
      </c>
      <c r="C17" s="215" t="s">
        <v>4811</v>
      </c>
      <c r="D17" s="215" t="s">
        <v>4816</v>
      </c>
      <c r="E17" s="215" t="s">
        <v>4812</v>
      </c>
      <c r="F17" s="215" t="s">
        <v>4826</v>
      </c>
      <c r="G17" s="215"/>
      <c r="H17" s="212"/>
      <c r="I17" s="212"/>
      <c r="J17" s="212"/>
      <c r="K17" s="212"/>
      <c r="L17" s="212"/>
      <c r="M17" s="212"/>
      <c r="N17" s="212"/>
      <c r="O17" s="212"/>
      <c r="P17" s="212"/>
      <c r="Q17" s="212"/>
      <c r="R17" s="212"/>
      <c r="S17" s="212"/>
      <c r="T17" s="212"/>
      <c r="U17" s="212"/>
      <c r="V17" s="212"/>
      <c r="W17" s="212"/>
      <c r="X17" s="212"/>
      <c r="Y17" s="212"/>
      <c r="Z17" s="212"/>
    </row>
    <row r="18">
      <c r="A18" s="213">
        <v>205.0</v>
      </c>
      <c r="B18" s="214" t="s">
        <v>4832</v>
      </c>
      <c r="C18" s="215" t="s">
        <v>4811</v>
      </c>
      <c r="D18" s="215" t="s">
        <v>4816</v>
      </c>
      <c r="E18" s="215" t="s">
        <v>4812</v>
      </c>
      <c r="F18" s="215" t="s">
        <v>4719</v>
      </c>
      <c r="G18" s="215"/>
      <c r="H18" s="212"/>
      <c r="I18" s="212"/>
      <c r="J18" s="212"/>
      <c r="K18" s="212"/>
      <c r="L18" s="212"/>
      <c r="M18" s="212"/>
      <c r="N18" s="212"/>
      <c r="O18" s="212"/>
      <c r="P18" s="212"/>
      <c r="Q18" s="212"/>
      <c r="R18" s="212"/>
      <c r="S18" s="212"/>
      <c r="T18" s="212"/>
      <c r="U18" s="212"/>
      <c r="V18" s="212"/>
      <c r="W18" s="212"/>
      <c r="X18" s="212"/>
      <c r="Y18" s="212"/>
      <c r="Z18" s="212"/>
    </row>
    <row r="19">
      <c r="A19" s="213">
        <v>203.0</v>
      </c>
      <c r="B19" s="214" t="s">
        <v>4745</v>
      </c>
      <c r="C19" s="215" t="s">
        <v>4811</v>
      </c>
      <c r="D19" s="215" t="s">
        <v>4816</v>
      </c>
      <c r="E19" s="215" t="s">
        <v>4812</v>
      </c>
      <c r="F19" s="215" t="s">
        <v>4823</v>
      </c>
      <c r="G19" s="215"/>
      <c r="H19" s="234" t="s">
        <v>4825</v>
      </c>
      <c r="I19" s="212"/>
      <c r="J19" s="212"/>
      <c r="K19" s="212"/>
      <c r="L19" s="212"/>
      <c r="M19" s="212"/>
      <c r="N19" s="212"/>
      <c r="O19" s="212"/>
      <c r="P19" s="212"/>
      <c r="Q19" s="212"/>
      <c r="R19" s="212"/>
      <c r="S19" s="212"/>
      <c r="T19" s="212"/>
      <c r="U19" s="212"/>
      <c r="V19" s="212"/>
      <c r="W19" s="212"/>
      <c r="X19" s="212"/>
      <c r="Y19" s="212"/>
      <c r="Z19" s="212"/>
    </row>
    <row r="20">
      <c r="A20" s="229">
        <v>199.0</v>
      </c>
      <c r="B20" s="230" t="s">
        <v>4747</v>
      </c>
      <c r="C20" s="231" t="s">
        <v>4816</v>
      </c>
      <c r="D20" s="231" t="s">
        <v>4811</v>
      </c>
      <c r="E20" s="231" t="s">
        <v>4817</v>
      </c>
      <c r="F20" s="231" t="s">
        <v>4719</v>
      </c>
      <c r="G20" s="231"/>
      <c r="H20" s="31"/>
    </row>
    <row r="21" ht="15.75" customHeight="1">
      <c r="A21" s="216">
        <v>197.0</v>
      </c>
      <c r="B21" s="217" t="s">
        <v>4745</v>
      </c>
      <c r="C21" s="218" t="s">
        <v>4816</v>
      </c>
      <c r="D21" s="218" t="s">
        <v>4811</v>
      </c>
      <c r="E21" s="218" t="s">
        <v>4817</v>
      </c>
      <c r="F21" s="218" t="s">
        <v>4823</v>
      </c>
      <c r="G21" s="218" t="s">
        <v>4833</v>
      </c>
      <c r="H21" s="235"/>
    </row>
    <row r="22" ht="15.75" customHeight="1">
      <c r="A22" s="229">
        <v>196.0</v>
      </c>
      <c r="B22" s="230" t="s">
        <v>4743</v>
      </c>
      <c r="C22" s="231" t="s">
        <v>4816</v>
      </c>
      <c r="D22" s="231" t="s">
        <v>4811</v>
      </c>
      <c r="E22" s="231" t="s">
        <v>4817</v>
      </c>
      <c r="F22" s="218" t="s">
        <v>4823</v>
      </c>
      <c r="G22" s="231"/>
      <c r="H22" s="235"/>
    </row>
    <row r="23" ht="15.75" customHeight="1">
      <c r="A23" s="213">
        <v>195.0</v>
      </c>
      <c r="B23" s="214" t="s">
        <v>4763</v>
      </c>
      <c r="C23" s="215" t="s">
        <v>4811</v>
      </c>
      <c r="D23" s="215" t="s">
        <v>4816</v>
      </c>
      <c r="E23" s="215" t="s">
        <v>4812</v>
      </c>
      <c r="F23" s="215" t="s">
        <v>4719</v>
      </c>
      <c r="G23" s="215"/>
      <c r="H23" s="222"/>
      <c r="I23" s="212"/>
      <c r="J23" s="212"/>
      <c r="K23" s="212"/>
      <c r="L23" s="212"/>
      <c r="M23" s="212"/>
      <c r="N23" s="212"/>
      <c r="O23" s="212"/>
      <c r="P23" s="212"/>
      <c r="Q23" s="212"/>
      <c r="R23" s="212"/>
      <c r="S23" s="212"/>
      <c r="T23" s="212"/>
      <c r="U23" s="212"/>
      <c r="V23" s="212"/>
      <c r="W23" s="212"/>
      <c r="X23" s="212"/>
      <c r="Y23" s="212"/>
      <c r="Z23" s="212"/>
    </row>
    <row r="24" ht="15.75" customHeight="1">
      <c r="A24" s="213">
        <v>191.0</v>
      </c>
      <c r="B24" s="214" t="s">
        <v>4760</v>
      </c>
      <c r="C24" s="215" t="s">
        <v>4811</v>
      </c>
      <c r="D24" s="215" t="s">
        <v>4816</v>
      </c>
      <c r="E24" s="215" t="s">
        <v>4812</v>
      </c>
      <c r="F24" s="215" t="s">
        <v>4823</v>
      </c>
      <c r="G24" s="215"/>
      <c r="H24" s="212"/>
      <c r="I24" s="212"/>
      <c r="J24" s="212"/>
      <c r="K24" s="212"/>
      <c r="L24" s="212"/>
      <c r="M24" s="212"/>
      <c r="N24" s="212"/>
      <c r="O24" s="212"/>
      <c r="P24" s="212"/>
      <c r="Q24" s="212"/>
      <c r="R24" s="212"/>
      <c r="S24" s="212"/>
      <c r="T24" s="212"/>
      <c r="U24" s="212"/>
      <c r="V24" s="212"/>
      <c r="W24" s="212"/>
      <c r="X24" s="212"/>
      <c r="Y24" s="212"/>
      <c r="Z24" s="212"/>
    </row>
    <row r="25" ht="15.75" customHeight="1">
      <c r="A25" s="213">
        <v>187.0</v>
      </c>
      <c r="B25" s="214" t="s">
        <v>4834</v>
      </c>
      <c r="C25" s="215" t="s">
        <v>4811</v>
      </c>
      <c r="D25" s="215" t="s">
        <v>4816</v>
      </c>
      <c r="E25" s="215" t="s">
        <v>4812</v>
      </c>
      <c r="F25" s="215" t="s">
        <v>4719</v>
      </c>
      <c r="G25" s="215"/>
      <c r="H25" s="212"/>
      <c r="I25" s="212"/>
      <c r="J25" s="212"/>
      <c r="K25" s="212"/>
      <c r="L25" s="212"/>
      <c r="M25" s="212"/>
      <c r="N25" s="212"/>
      <c r="O25" s="212"/>
      <c r="P25" s="212"/>
      <c r="Q25" s="212"/>
      <c r="R25" s="212"/>
      <c r="S25" s="212"/>
      <c r="T25" s="212"/>
      <c r="U25" s="212"/>
      <c r="V25" s="212"/>
      <c r="W25" s="212"/>
      <c r="X25" s="212"/>
      <c r="Y25" s="212"/>
      <c r="Z25" s="212"/>
    </row>
    <row r="26" ht="15.75" customHeight="1">
      <c r="A26" s="229">
        <v>158.0</v>
      </c>
      <c r="B26" s="230" t="s">
        <v>4725</v>
      </c>
      <c r="C26" s="231" t="s">
        <v>4816</v>
      </c>
      <c r="D26" s="231" t="s">
        <v>4811</v>
      </c>
      <c r="E26" s="231" t="s">
        <v>4817</v>
      </c>
      <c r="F26" s="231" t="s">
        <v>4823</v>
      </c>
      <c r="G26" s="231"/>
      <c r="H26" s="235"/>
    </row>
    <row r="27" ht="15.75" customHeight="1">
      <c r="A27" s="229">
        <v>156.0</v>
      </c>
      <c r="B27" s="230" t="s">
        <v>4835</v>
      </c>
      <c r="C27" s="231"/>
      <c r="D27" s="231"/>
      <c r="E27" s="231" t="s">
        <v>4817</v>
      </c>
      <c r="F27" s="231" t="s">
        <v>4719</v>
      </c>
      <c r="G27" s="231"/>
    </row>
    <row r="28" ht="15.75" customHeight="1">
      <c r="A28" s="229">
        <v>155.0</v>
      </c>
      <c r="B28" s="230" t="s">
        <v>4727</v>
      </c>
      <c r="C28" s="231" t="s">
        <v>4816</v>
      </c>
      <c r="D28" s="231" t="s">
        <v>4811</v>
      </c>
      <c r="E28" s="231" t="s">
        <v>4817</v>
      </c>
      <c r="F28" s="231" t="s">
        <v>4823</v>
      </c>
      <c r="G28" s="231"/>
      <c r="H28" s="235"/>
    </row>
    <row r="29" ht="15.75" customHeight="1">
      <c r="A29" s="213">
        <v>154.0</v>
      </c>
      <c r="B29" s="214" t="s">
        <v>4836</v>
      </c>
      <c r="C29" s="215" t="s">
        <v>4811</v>
      </c>
      <c r="D29" s="215" t="s">
        <v>4816</v>
      </c>
      <c r="E29" s="215" t="s">
        <v>4812</v>
      </c>
      <c r="F29" s="215" t="s">
        <v>4719</v>
      </c>
      <c r="G29" s="215"/>
      <c r="H29" s="212"/>
      <c r="I29" s="212"/>
      <c r="J29" s="212"/>
      <c r="K29" s="212"/>
      <c r="L29" s="212"/>
      <c r="M29" s="212"/>
      <c r="N29" s="212"/>
      <c r="O29" s="212"/>
      <c r="P29" s="212"/>
      <c r="Q29" s="212"/>
      <c r="R29" s="212"/>
      <c r="S29" s="212"/>
      <c r="T29" s="212"/>
      <c r="U29" s="212"/>
      <c r="V29" s="212"/>
      <c r="W29" s="212"/>
      <c r="X29" s="212"/>
      <c r="Y29" s="212"/>
      <c r="Z29" s="212"/>
    </row>
    <row r="30" ht="15.75" customHeight="1">
      <c r="A30" s="229">
        <v>140.0</v>
      </c>
      <c r="B30" s="230" t="s">
        <v>4741</v>
      </c>
      <c r="C30" s="231" t="s">
        <v>4816</v>
      </c>
      <c r="D30" s="231" t="s">
        <v>4811</v>
      </c>
      <c r="E30" s="231" t="s">
        <v>4817</v>
      </c>
      <c r="F30" s="219" t="s">
        <v>4719</v>
      </c>
      <c r="G30" s="231"/>
      <c r="H30" s="233" t="s">
        <v>4719</v>
      </c>
    </row>
    <row r="31" ht="15.75" customHeight="1">
      <c r="A31" s="213">
        <v>114.0</v>
      </c>
      <c r="B31" s="214" t="s">
        <v>4837</v>
      </c>
      <c r="C31" s="215" t="s">
        <v>4811</v>
      </c>
      <c r="D31" s="215" t="s">
        <v>4811</v>
      </c>
      <c r="E31" s="215" t="s">
        <v>4814</v>
      </c>
      <c r="F31" s="215" t="s">
        <v>4719</v>
      </c>
      <c r="G31" s="215"/>
      <c r="H31" s="212"/>
      <c r="I31" s="212"/>
      <c r="J31" s="212"/>
      <c r="K31" s="212"/>
      <c r="L31" s="212"/>
      <c r="M31" s="212"/>
      <c r="N31" s="212"/>
      <c r="O31" s="212"/>
      <c r="P31" s="212"/>
      <c r="Q31" s="212"/>
      <c r="R31" s="212"/>
      <c r="S31" s="212"/>
      <c r="T31" s="212"/>
      <c r="U31" s="212"/>
      <c r="V31" s="212"/>
      <c r="W31" s="212"/>
      <c r="X31" s="212"/>
      <c r="Y31" s="212"/>
      <c r="Z31" s="212"/>
    </row>
    <row r="32" ht="15.75" customHeight="1">
      <c r="A32" s="229">
        <v>112.0</v>
      </c>
      <c r="B32" s="230" t="s">
        <v>4838</v>
      </c>
      <c r="C32" s="231" t="s">
        <v>4816</v>
      </c>
      <c r="D32" s="231" t="s">
        <v>4811</v>
      </c>
      <c r="E32" s="231" t="s">
        <v>4817</v>
      </c>
      <c r="F32" s="231" t="s">
        <v>4823</v>
      </c>
      <c r="G32" s="231"/>
      <c r="H32" s="236" t="s">
        <v>4824</v>
      </c>
    </row>
    <row r="33" ht="15.75" customHeight="1">
      <c r="A33" s="229">
        <v>111.0</v>
      </c>
      <c r="B33" s="230" t="s">
        <v>4839</v>
      </c>
      <c r="C33" s="231" t="s">
        <v>4816</v>
      </c>
      <c r="D33" s="231" t="s">
        <v>4811</v>
      </c>
      <c r="E33" s="231" t="s">
        <v>4817</v>
      </c>
      <c r="F33" s="231" t="s">
        <v>4823</v>
      </c>
      <c r="G33" s="231"/>
    </row>
    <row r="34" ht="15.75" customHeight="1">
      <c r="A34" s="229">
        <v>110.0</v>
      </c>
      <c r="B34" s="230" t="s">
        <v>4840</v>
      </c>
      <c r="C34" s="231" t="s">
        <v>4816</v>
      </c>
      <c r="D34" s="231" t="s">
        <v>4811</v>
      </c>
      <c r="E34" s="231" t="s">
        <v>4817</v>
      </c>
      <c r="F34" s="231" t="s">
        <v>4823</v>
      </c>
      <c r="G34" s="231"/>
      <c r="H34" s="235" t="s">
        <v>4825</v>
      </c>
    </row>
    <row r="35" ht="15.75" customHeight="1">
      <c r="A35" s="229">
        <v>94.0</v>
      </c>
      <c r="B35" s="230" t="s">
        <v>4841</v>
      </c>
      <c r="C35" s="231" t="s">
        <v>4816</v>
      </c>
      <c r="D35" s="231" t="s">
        <v>4811</v>
      </c>
      <c r="E35" s="231" t="s">
        <v>4817</v>
      </c>
      <c r="F35" s="231" t="s">
        <v>4827</v>
      </c>
    </row>
    <row r="36" ht="15.75" customHeight="1">
      <c r="A36" s="229">
        <v>79.0</v>
      </c>
      <c r="B36" s="230" t="s">
        <v>4842</v>
      </c>
      <c r="C36" s="231" t="s">
        <v>4816</v>
      </c>
      <c r="D36" s="231" t="s">
        <v>4811</v>
      </c>
      <c r="E36" s="231" t="s">
        <v>4817</v>
      </c>
      <c r="F36" s="231" t="s">
        <v>4719</v>
      </c>
      <c r="G36" s="231"/>
    </row>
    <row r="37" ht="15.75" customHeight="1">
      <c r="A37" s="213">
        <v>261.0</v>
      </c>
      <c r="B37" s="214" t="s">
        <v>4843</v>
      </c>
      <c r="C37" s="215" t="s">
        <v>4811</v>
      </c>
      <c r="D37" s="215" t="s">
        <v>4816</v>
      </c>
      <c r="E37" s="215" t="s">
        <v>4812</v>
      </c>
      <c r="F37" s="215" t="s">
        <v>4844</v>
      </c>
      <c r="G37" s="215"/>
      <c r="H37" s="212"/>
      <c r="I37" s="212"/>
      <c r="J37" s="212"/>
      <c r="K37" s="212"/>
      <c r="L37" s="212"/>
      <c r="M37" s="212"/>
      <c r="N37" s="212"/>
      <c r="O37" s="212"/>
      <c r="P37" s="212"/>
      <c r="Q37" s="212"/>
      <c r="R37" s="212"/>
      <c r="S37" s="212"/>
      <c r="T37" s="212"/>
      <c r="U37" s="212"/>
      <c r="V37" s="212"/>
      <c r="W37" s="212"/>
      <c r="X37" s="212"/>
      <c r="Y37" s="212"/>
      <c r="Z37" s="212"/>
    </row>
    <row r="38" ht="15.75" customHeight="1">
      <c r="A38" s="237">
        <v>260.0</v>
      </c>
      <c r="B38" s="238" t="s">
        <v>4798</v>
      </c>
      <c r="C38" s="239" t="s">
        <v>4816</v>
      </c>
      <c r="D38" s="239" t="s">
        <v>4811</v>
      </c>
      <c r="E38" s="239" t="s">
        <v>4817</v>
      </c>
      <c r="F38" s="219" t="s">
        <v>4719</v>
      </c>
      <c r="G38" s="239"/>
      <c r="H38" s="240"/>
      <c r="J38" s="240"/>
      <c r="K38" s="240"/>
      <c r="L38" s="240"/>
      <c r="M38" s="240"/>
      <c r="N38" s="240"/>
      <c r="O38" s="240"/>
      <c r="P38" s="240"/>
      <c r="Q38" s="240"/>
      <c r="R38" s="240"/>
      <c r="S38" s="240"/>
      <c r="T38" s="240"/>
      <c r="U38" s="240"/>
      <c r="V38" s="240"/>
      <c r="W38" s="240"/>
      <c r="X38" s="240"/>
      <c r="Y38" s="240"/>
      <c r="Z38" s="240"/>
    </row>
    <row r="39" ht="15.75" customHeight="1">
      <c r="A39" s="213">
        <v>259.0</v>
      </c>
      <c r="B39" s="214" t="s">
        <v>4798</v>
      </c>
      <c r="C39" s="215" t="s">
        <v>4811</v>
      </c>
      <c r="D39" s="215" t="s">
        <v>4816</v>
      </c>
      <c r="E39" s="215" t="s">
        <v>4812</v>
      </c>
      <c r="F39" s="215" t="s">
        <v>4719</v>
      </c>
      <c r="G39" s="215"/>
      <c r="H39" s="222" t="s">
        <v>4719</v>
      </c>
      <c r="I39" s="212"/>
      <c r="J39" s="212"/>
      <c r="K39" s="212"/>
      <c r="L39" s="212"/>
      <c r="M39" s="212"/>
      <c r="N39" s="212"/>
      <c r="O39" s="212"/>
      <c r="P39" s="212"/>
      <c r="Q39" s="212"/>
      <c r="R39" s="212"/>
      <c r="S39" s="212"/>
      <c r="T39" s="212"/>
      <c r="U39" s="212"/>
      <c r="V39" s="212"/>
      <c r="W39" s="212"/>
      <c r="X39" s="212"/>
      <c r="Y39" s="212"/>
      <c r="Z39" s="212"/>
    </row>
    <row r="40" ht="15.75" customHeight="1">
      <c r="A40" s="213">
        <v>210.0</v>
      </c>
      <c r="B40" s="214" t="s">
        <v>4771</v>
      </c>
      <c r="C40" s="215" t="s">
        <v>4811</v>
      </c>
      <c r="D40" s="215" t="s">
        <v>4816</v>
      </c>
      <c r="E40" s="215" t="s">
        <v>4812</v>
      </c>
      <c r="F40" s="215" t="s">
        <v>4823</v>
      </c>
      <c r="G40" s="215"/>
      <c r="H40" s="212"/>
      <c r="I40" s="212"/>
      <c r="J40" s="212"/>
      <c r="K40" s="212"/>
      <c r="L40" s="212"/>
      <c r="M40" s="212"/>
      <c r="N40" s="212"/>
      <c r="O40" s="212"/>
      <c r="P40" s="212"/>
      <c r="Q40" s="212"/>
      <c r="R40" s="212"/>
      <c r="S40" s="212"/>
      <c r="T40" s="212"/>
      <c r="U40" s="212"/>
      <c r="V40" s="212"/>
      <c r="W40" s="212"/>
      <c r="X40" s="212"/>
      <c r="Y40" s="212"/>
      <c r="Z40" s="212"/>
    </row>
    <row r="41" ht="15.75" customHeight="1">
      <c r="A41" s="229">
        <v>90.0</v>
      </c>
      <c r="B41" s="230" t="s">
        <v>4845</v>
      </c>
      <c r="C41" s="231" t="s">
        <v>4816</v>
      </c>
      <c r="D41" s="231" t="s">
        <v>4811</v>
      </c>
      <c r="E41" s="231" t="s">
        <v>4817</v>
      </c>
      <c r="F41" s="231" t="s">
        <v>4846</v>
      </c>
      <c r="G41" s="231"/>
    </row>
    <row r="42" ht="15.75" customHeight="1">
      <c r="A42" s="229">
        <v>87.0</v>
      </c>
      <c r="B42" s="230" t="s">
        <v>4847</v>
      </c>
      <c r="C42" s="231" t="s">
        <v>4816</v>
      </c>
      <c r="D42" s="231" t="s">
        <v>4811</v>
      </c>
      <c r="E42" s="231" t="s">
        <v>4817</v>
      </c>
      <c r="F42" s="231" t="s">
        <v>4846</v>
      </c>
      <c r="G42" s="231"/>
    </row>
    <row r="43" ht="15.75" customHeight="1">
      <c r="A43" s="240">
        <v>201.0</v>
      </c>
      <c r="B43" s="241" t="s">
        <v>4848</v>
      </c>
      <c r="C43" s="240" t="s">
        <v>4816</v>
      </c>
      <c r="D43" s="240" t="s">
        <v>4811</v>
      </c>
      <c r="E43" s="240" t="s">
        <v>4817</v>
      </c>
      <c r="F43" s="231" t="s">
        <v>4823</v>
      </c>
      <c r="G43" s="240"/>
      <c r="H43" s="240"/>
      <c r="J43" s="240"/>
      <c r="K43" s="240"/>
      <c r="L43" s="240"/>
      <c r="M43" s="240"/>
      <c r="N43" s="240"/>
      <c r="O43" s="240"/>
      <c r="P43" s="240"/>
      <c r="Q43" s="240"/>
      <c r="R43" s="240"/>
      <c r="S43" s="240"/>
      <c r="T43" s="240"/>
      <c r="U43" s="240"/>
      <c r="V43" s="240"/>
      <c r="W43" s="240"/>
      <c r="X43" s="240"/>
      <c r="Y43" s="240"/>
      <c r="Z43" s="240"/>
    </row>
    <row r="44" ht="15.75" customHeight="1">
      <c r="A44" s="212">
        <v>280.0</v>
      </c>
      <c r="B44" s="242" t="s">
        <v>4849</v>
      </c>
      <c r="C44" s="212" t="s">
        <v>4811</v>
      </c>
      <c r="D44" s="212" t="s">
        <v>4811</v>
      </c>
      <c r="E44" s="212" t="s">
        <v>4814</v>
      </c>
      <c r="F44" s="212" t="s">
        <v>4819</v>
      </c>
      <c r="G44" s="212" t="s">
        <v>4850</v>
      </c>
      <c r="H44" s="212"/>
      <c r="I44" s="212"/>
      <c r="J44" s="212"/>
      <c r="K44" s="212"/>
      <c r="L44" s="212"/>
      <c r="M44" s="212"/>
      <c r="N44" s="212"/>
      <c r="O44" s="212"/>
      <c r="P44" s="212"/>
      <c r="Q44" s="212"/>
      <c r="R44" s="212"/>
      <c r="S44" s="212"/>
      <c r="T44" s="212"/>
      <c r="U44" s="212"/>
      <c r="V44" s="212"/>
      <c r="W44" s="212"/>
      <c r="X44" s="212"/>
      <c r="Y44" s="212"/>
      <c r="Z44" s="212"/>
    </row>
    <row r="45" ht="15.75" customHeight="1">
      <c r="A45" s="212">
        <v>214.0</v>
      </c>
      <c r="B45" s="242" t="s">
        <v>4851</v>
      </c>
      <c r="C45" s="212" t="s">
        <v>4811</v>
      </c>
      <c r="D45" s="212" t="s">
        <v>4811</v>
      </c>
      <c r="E45" s="212" t="s">
        <v>4814</v>
      </c>
      <c r="F45" s="215" t="s">
        <v>4719</v>
      </c>
      <c r="G45" s="212"/>
      <c r="H45" s="212"/>
      <c r="I45" s="212"/>
      <c r="J45" s="212"/>
      <c r="K45" s="212"/>
      <c r="L45" s="212"/>
      <c r="M45" s="212"/>
      <c r="N45" s="212"/>
      <c r="O45" s="212"/>
      <c r="P45" s="212"/>
      <c r="Q45" s="212"/>
      <c r="R45" s="212"/>
      <c r="S45" s="212"/>
      <c r="T45" s="212"/>
      <c r="U45" s="212"/>
      <c r="V45" s="212"/>
      <c r="W45" s="212"/>
      <c r="X45" s="212"/>
      <c r="Y45" s="212"/>
      <c r="Z45" s="212"/>
    </row>
    <row r="46" ht="15.75" customHeight="1">
      <c r="A46" s="212">
        <v>249.0</v>
      </c>
      <c r="B46" s="242" t="s">
        <v>4852</v>
      </c>
      <c r="C46" s="212" t="s">
        <v>4811</v>
      </c>
      <c r="D46" s="212" t="s">
        <v>4811</v>
      </c>
      <c r="E46" s="212" t="s">
        <v>4814</v>
      </c>
      <c r="F46" s="212" t="s">
        <v>4823</v>
      </c>
      <c r="G46" s="212"/>
      <c r="H46" s="212"/>
      <c r="I46" s="212"/>
      <c r="J46" s="212"/>
      <c r="K46" s="212"/>
      <c r="L46" s="212"/>
      <c r="M46" s="212"/>
      <c r="N46" s="212"/>
      <c r="O46" s="212"/>
      <c r="P46" s="212"/>
      <c r="Q46" s="212"/>
      <c r="R46" s="212"/>
      <c r="S46" s="212"/>
      <c r="T46" s="212"/>
      <c r="U46" s="212"/>
      <c r="V46" s="212"/>
      <c r="W46" s="212"/>
      <c r="X46" s="212"/>
      <c r="Y46" s="212"/>
      <c r="Z46" s="212"/>
    </row>
    <row r="47" ht="15.75" customHeight="1">
      <c r="A47" s="212">
        <v>250.0</v>
      </c>
      <c r="B47" s="242" t="s">
        <v>4853</v>
      </c>
      <c r="C47" s="212" t="s">
        <v>4811</v>
      </c>
      <c r="D47" s="212" t="s">
        <v>4811</v>
      </c>
      <c r="E47" s="212" t="s">
        <v>4814</v>
      </c>
      <c r="F47" s="212" t="s">
        <v>4823</v>
      </c>
      <c r="G47" s="212"/>
      <c r="H47" s="212"/>
      <c r="I47" s="212"/>
      <c r="J47" s="212"/>
      <c r="K47" s="212"/>
      <c r="L47" s="212"/>
      <c r="M47" s="212"/>
      <c r="N47" s="212"/>
      <c r="O47" s="212"/>
      <c r="P47" s="212"/>
      <c r="Q47" s="212"/>
      <c r="R47" s="212"/>
      <c r="S47" s="212"/>
      <c r="T47" s="212"/>
      <c r="U47" s="212"/>
      <c r="V47" s="212"/>
      <c r="W47" s="212"/>
      <c r="X47" s="212"/>
      <c r="Y47" s="212"/>
      <c r="Z47" s="212"/>
    </row>
    <row r="48" ht="15.75" customHeight="1">
      <c r="A48" s="212">
        <v>214.0</v>
      </c>
      <c r="B48" s="242" t="s">
        <v>4779</v>
      </c>
      <c r="C48" s="212" t="s">
        <v>4811</v>
      </c>
      <c r="D48" s="212" t="s">
        <v>4816</v>
      </c>
      <c r="E48" s="212" t="s">
        <v>4812</v>
      </c>
      <c r="F48" s="212" t="s">
        <v>4719</v>
      </c>
      <c r="G48" s="212"/>
      <c r="H48" s="212"/>
      <c r="I48" s="212"/>
      <c r="J48" s="212"/>
      <c r="K48" s="212"/>
      <c r="L48" s="212"/>
      <c r="M48" s="212"/>
      <c r="N48" s="212"/>
      <c r="O48" s="212"/>
      <c r="P48" s="212"/>
      <c r="Q48" s="212"/>
      <c r="R48" s="212"/>
      <c r="S48" s="212"/>
      <c r="T48" s="212"/>
      <c r="U48" s="212"/>
      <c r="V48" s="212"/>
      <c r="W48" s="212"/>
      <c r="X48" s="212"/>
      <c r="Y48" s="212"/>
      <c r="Z48" s="212"/>
    </row>
    <row r="49" ht="15.75" customHeight="1">
      <c r="A49" s="212">
        <v>291.0</v>
      </c>
      <c r="B49" s="242" t="s">
        <v>4854</v>
      </c>
      <c r="C49" s="212" t="s">
        <v>4811</v>
      </c>
      <c r="D49" s="212" t="s">
        <v>4811</v>
      </c>
      <c r="E49" s="212" t="s">
        <v>4814</v>
      </c>
      <c r="F49" s="212" t="s">
        <v>4719</v>
      </c>
      <c r="G49" s="212"/>
      <c r="H49" s="212"/>
      <c r="I49" s="212"/>
      <c r="J49" s="212"/>
      <c r="K49" s="212"/>
      <c r="L49" s="212"/>
      <c r="M49" s="212"/>
      <c r="N49" s="212"/>
      <c r="O49" s="212"/>
      <c r="P49" s="212"/>
      <c r="Q49" s="212"/>
      <c r="R49" s="212"/>
      <c r="S49" s="212"/>
      <c r="T49" s="212"/>
      <c r="U49" s="212"/>
      <c r="V49" s="212"/>
      <c r="W49" s="212"/>
      <c r="X49" s="212"/>
      <c r="Y49" s="212"/>
      <c r="Z49" s="212"/>
    </row>
    <row r="50" ht="15.75" customHeight="1">
      <c r="A50" s="228">
        <v>324.0</v>
      </c>
      <c r="B50" s="243" t="s">
        <v>4855</v>
      </c>
      <c r="C50" s="228" t="s">
        <v>4816</v>
      </c>
      <c r="D50" s="228" t="s">
        <v>4811</v>
      </c>
      <c r="E50" s="228" t="s">
        <v>4817</v>
      </c>
      <c r="F50" s="228" t="s">
        <v>4719</v>
      </c>
      <c r="G50" s="228"/>
      <c r="H50" s="228"/>
      <c r="I50" s="228"/>
      <c r="J50" s="228"/>
      <c r="K50" s="228"/>
      <c r="L50" s="228"/>
      <c r="M50" s="228"/>
      <c r="N50" s="228"/>
      <c r="O50" s="228"/>
      <c r="P50" s="228"/>
      <c r="Q50" s="228"/>
      <c r="R50" s="228"/>
      <c r="S50" s="228"/>
      <c r="T50" s="228"/>
      <c r="U50" s="228"/>
      <c r="V50" s="228"/>
      <c r="W50" s="228"/>
      <c r="X50" s="228"/>
      <c r="Y50" s="228"/>
      <c r="Z50" s="228"/>
    </row>
    <row r="51" ht="15.75" customHeight="1">
      <c r="A51" s="228">
        <v>325.0</v>
      </c>
      <c r="B51" s="243" t="s">
        <v>4856</v>
      </c>
      <c r="C51" s="228" t="s">
        <v>4811</v>
      </c>
      <c r="D51" s="228" t="s">
        <v>4816</v>
      </c>
      <c r="E51" s="228" t="s">
        <v>4812</v>
      </c>
      <c r="F51" s="228" t="s">
        <v>4857</v>
      </c>
      <c r="G51" s="228"/>
      <c r="H51" s="228"/>
      <c r="I51" s="228"/>
      <c r="J51" s="228"/>
      <c r="K51" s="228"/>
      <c r="L51" s="228"/>
      <c r="M51" s="228"/>
      <c r="N51" s="228"/>
      <c r="O51" s="228"/>
      <c r="P51" s="228"/>
      <c r="Q51" s="228"/>
      <c r="R51" s="228"/>
      <c r="S51" s="228"/>
      <c r="T51" s="228"/>
      <c r="U51" s="228"/>
      <c r="V51" s="228"/>
      <c r="W51" s="228"/>
      <c r="X51" s="228"/>
      <c r="Y51" s="228"/>
      <c r="Z51" s="228"/>
    </row>
    <row r="52" ht="15.75" customHeight="1">
      <c r="A52" s="228">
        <v>330.0</v>
      </c>
      <c r="B52" s="243" t="s">
        <v>4858</v>
      </c>
      <c r="C52" s="228" t="s">
        <v>4811</v>
      </c>
      <c r="D52" s="228" t="s">
        <v>4816</v>
      </c>
      <c r="E52" s="228" t="s">
        <v>4812</v>
      </c>
      <c r="F52" s="228" t="s">
        <v>4857</v>
      </c>
      <c r="G52" s="228"/>
      <c r="H52" s="228"/>
      <c r="I52" s="228"/>
      <c r="J52" s="228"/>
      <c r="K52" s="228"/>
      <c r="L52" s="228"/>
      <c r="M52" s="228"/>
      <c r="N52" s="228"/>
      <c r="O52" s="228"/>
      <c r="P52" s="228"/>
      <c r="Q52" s="228"/>
      <c r="R52" s="228"/>
      <c r="S52" s="228"/>
      <c r="T52" s="228"/>
      <c r="U52" s="228"/>
      <c r="V52" s="228"/>
      <c r="W52" s="228"/>
      <c r="X52" s="228"/>
      <c r="Y52" s="228"/>
      <c r="Z52" s="228"/>
    </row>
    <row r="53" ht="15.75" customHeight="1">
      <c r="A53" s="228">
        <v>351.0</v>
      </c>
      <c r="B53" s="243" t="s">
        <v>4859</v>
      </c>
      <c r="C53" s="228" t="s">
        <v>4816</v>
      </c>
      <c r="D53" s="228" t="s">
        <v>4811</v>
      </c>
      <c r="E53" s="228" t="s">
        <v>4817</v>
      </c>
      <c r="F53" s="228" t="s">
        <v>4719</v>
      </c>
      <c r="G53" s="228"/>
      <c r="H53" s="228"/>
      <c r="I53" s="228"/>
      <c r="J53" s="228"/>
      <c r="K53" s="228"/>
      <c r="L53" s="228"/>
      <c r="M53" s="228"/>
      <c r="N53" s="228"/>
      <c r="O53" s="228"/>
      <c r="P53" s="228"/>
      <c r="Q53" s="228"/>
      <c r="R53" s="228"/>
      <c r="S53" s="228"/>
      <c r="T53" s="228"/>
      <c r="U53" s="228"/>
      <c r="V53" s="228"/>
      <c r="W53" s="228"/>
      <c r="X53" s="228"/>
      <c r="Y53" s="228"/>
      <c r="Z53" s="228"/>
    </row>
    <row r="54" ht="15.75" customHeight="1">
      <c r="A54" s="228">
        <v>373.0</v>
      </c>
      <c r="B54" s="243" t="s">
        <v>4860</v>
      </c>
      <c r="C54" s="228" t="s">
        <v>4811</v>
      </c>
      <c r="D54" s="228" t="s">
        <v>4816</v>
      </c>
      <c r="E54" s="228" t="s">
        <v>4812</v>
      </c>
      <c r="F54" s="228" t="s">
        <v>4857</v>
      </c>
      <c r="G54" s="228"/>
      <c r="H54" s="228"/>
      <c r="I54" s="228"/>
      <c r="J54" s="228"/>
      <c r="K54" s="228"/>
      <c r="L54" s="228"/>
      <c r="M54" s="228"/>
      <c r="N54" s="228"/>
      <c r="O54" s="228"/>
      <c r="P54" s="228"/>
      <c r="Q54" s="228"/>
      <c r="R54" s="228"/>
      <c r="S54" s="228"/>
      <c r="T54" s="228"/>
      <c r="U54" s="228"/>
      <c r="V54" s="228"/>
      <c r="W54" s="228"/>
      <c r="X54" s="228"/>
      <c r="Y54" s="228"/>
      <c r="Z54" s="228"/>
    </row>
    <row r="55" ht="15.75" customHeight="1">
      <c r="A55" s="228">
        <v>201.0</v>
      </c>
      <c r="B55" s="243" t="s">
        <v>4848</v>
      </c>
      <c r="C55" s="228" t="s">
        <v>4811</v>
      </c>
      <c r="D55" s="228" t="s">
        <v>4811</v>
      </c>
      <c r="E55" s="228" t="s">
        <v>4817</v>
      </c>
      <c r="F55" s="228" t="s">
        <v>4826</v>
      </c>
      <c r="G55" s="228"/>
      <c r="H55" s="228"/>
      <c r="I55" s="228"/>
      <c r="J55" s="228"/>
      <c r="K55" s="228"/>
      <c r="L55" s="228"/>
      <c r="M55" s="228"/>
      <c r="N55" s="228"/>
      <c r="O55" s="228"/>
      <c r="P55" s="228"/>
      <c r="Q55" s="228"/>
      <c r="R55" s="228"/>
      <c r="S55" s="228"/>
      <c r="T55" s="228"/>
      <c r="U55" s="228"/>
      <c r="V55" s="228"/>
      <c r="W55" s="228"/>
      <c r="X55" s="228"/>
      <c r="Y55" s="228"/>
      <c r="Z55" s="228"/>
    </row>
    <row r="56" ht="15.75" customHeight="1">
      <c r="A56" s="228">
        <v>155.0</v>
      </c>
      <c r="B56" s="243" t="s">
        <v>4861</v>
      </c>
      <c r="C56" s="228" t="s">
        <v>4816</v>
      </c>
      <c r="D56" s="228" t="s">
        <v>4811</v>
      </c>
      <c r="E56" s="228" t="s">
        <v>4817</v>
      </c>
      <c r="F56" s="228" t="s">
        <v>4826</v>
      </c>
      <c r="G56" s="228" t="s">
        <v>4862</v>
      </c>
      <c r="H56" s="228"/>
      <c r="I56" s="228"/>
      <c r="J56" s="228"/>
      <c r="K56" s="228"/>
      <c r="L56" s="228"/>
      <c r="M56" s="228"/>
      <c r="N56" s="228"/>
      <c r="O56" s="228"/>
      <c r="P56" s="228"/>
      <c r="Q56" s="228"/>
      <c r="R56" s="228"/>
      <c r="S56" s="228"/>
      <c r="T56" s="228"/>
      <c r="U56" s="228"/>
      <c r="V56" s="228"/>
      <c r="W56" s="228"/>
      <c r="X56" s="228"/>
      <c r="Y56" s="228"/>
      <c r="Z56" s="228"/>
    </row>
    <row r="57" ht="15.75" customHeight="1">
      <c r="A57" s="228">
        <v>211.0</v>
      </c>
      <c r="B57" s="243" t="s">
        <v>4863</v>
      </c>
      <c r="C57" s="228" t="s">
        <v>4811</v>
      </c>
      <c r="D57" s="228" t="s">
        <v>4816</v>
      </c>
      <c r="E57" s="228" t="s">
        <v>4812</v>
      </c>
      <c r="F57" s="228" t="s">
        <v>4857</v>
      </c>
      <c r="G57" s="228"/>
      <c r="H57" s="228"/>
      <c r="I57" s="228"/>
      <c r="J57" s="228"/>
      <c r="K57" s="228"/>
      <c r="L57" s="228"/>
      <c r="M57" s="228"/>
      <c r="N57" s="228"/>
      <c r="O57" s="228"/>
      <c r="P57" s="228"/>
      <c r="Q57" s="228"/>
      <c r="R57" s="228"/>
      <c r="S57" s="228"/>
      <c r="T57" s="228"/>
      <c r="U57" s="228"/>
      <c r="V57" s="228"/>
      <c r="W57" s="228"/>
      <c r="X57" s="228"/>
      <c r="Y57" s="228"/>
      <c r="Z57" s="228"/>
    </row>
    <row r="58" ht="15.75" customHeight="1">
      <c r="A58" s="228">
        <v>232.0</v>
      </c>
      <c r="B58" s="243" t="s">
        <v>4864</v>
      </c>
      <c r="C58" s="228" t="s">
        <v>4811</v>
      </c>
      <c r="D58" s="228" t="s">
        <v>4811</v>
      </c>
      <c r="E58" s="228" t="s">
        <v>4814</v>
      </c>
      <c r="F58" s="228" t="s">
        <v>4823</v>
      </c>
      <c r="G58" s="228" t="s">
        <v>4865</v>
      </c>
      <c r="H58" s="228" t="s">
        <v>4866</v>
      </c>
      <c r="I58" s="228"/>
      <c r="J58" s="228"/>
      <c r="K58" s="228"/>
      <c r="L58" s="228"/>
      <c r="M58" s="228"/>
      <c r="N58" s="228"/>
      <c r="O58" s="228"/>
      <c r="P58" s="228"/>
      <c r="Q58" s="228"/>
      <c r="R58" s="228"/>
      <c r="S58" s="228"/>
      <c r="T58" s="228"/>
      <c r="U58" s="228"/>
      <c r="V58" s="228"/>
      <c r="W58" s="228"/>
      <c r="X58" s="228"/>
      <c r="Y58" s="228"/>
      <c r="Z58" s="228"/>
    </row>
    <row r="59" ht="15.75" customHeight="1">
      <c r="A59" s="228">
        <v>383.0</v>
      </c>
      <c r="B59" s="243" t="s">
        <v>4867</v>
      </c>
      <c r="C59" s="228" t="s">
        <v>4811</v>
      </c>
      <c r="D59" s="228" t="s">
        <v>4811</v>
      </c>
      <c r="E59" s="228" t="s">
        <v>4814</v>
      </c>
      <c r="F59" s="228" t="s">
        <v>4857</v>
      </c>
      <c r="G59" s="228"/>
      <c r="H59" s="228" t="s">
        <v>4866</v>
      </c>
      <c r="I59" s="228"/>
      <c r="J59" s="228"/>
      <c r="K59" s="228"/>
      <c r="L59" s="228"/>
      <c r="M59" s="228"/>
      <c r="N59" s="228"/>
      <c r="O59" s="228"/>
      <c r="P59" s="228"/>
      <c r="Q59" s="228"/>
      <c r="R59" s="228"/>
      <c r="S59" s="228"/>
      <c r="T59" s="228"/>
      <c r="U59" s="228"/>
      <c r="V59" s="228"/>
      <c r="W59" s="228"/>
      <c r="X59" s="228"/>
      <c r="Y59" s="228"/>
      <c r="Z59" s="228"/>
    </row>
    <row r="60" ht="15.75" customHeight="1">
      <c r="A60" s="228">
        <v>94.0</v>
      </c>
      <c r="B60" s="243" t="s">
        <v>4841</v>
      </c>
      <c r="C60" s="228" t="s">
        <v>4816</v>
      </c>
      <c r="D60" s="228" t="s">
        <v>4811</v>
      </c>
      <c r="E60" s="228" t="s">
        <v>4817</v>
      </c>
      <c r="F60" s="215" t="s">
        <v>4828</v>
      </c>
      <c r="G60" s="228"/>
      <c r="H60" s="228"/>
      <c r="I60" s="228"/>
      <c r="J60" s="228"/>
      <c r="K60" s="228"/>
      <c r="L60" s="228"/>
      <c r="M60" s="228"/>
      <c r="N60" s="228"/>
      <c r="O60" s="228"/>
      <c r="P60" s="228"/>
      <c r="Q60" s="228"/>
      <c r="R60" s="228"/>
      <c r="S60" s="228"/>
      <c r="T60" s="228"/>
      <c r="U60" s="228"/>
      <c r="V60" s="228"/>
      <c r="W60" s="228"/>
      <c r="X60" s="228"/>
      <c r="Y60" s="228"/>
      <c r="Z60" s="228"/>
    </row>
    <row r="61" ht="15.75" customHeight="1">
      <c r="A61" s="228">
        <v>200.0</v>
      </c>
      <c r="B61" s="243" t="s">
        <v>4864</v>
      </c>
      <c r="C61" s="228" t="s">
        <v>4816</v>
      </c>
      <c r="D61" s="228" t="s">
        <v>4811</v>
      </c>
      <c r="E61" s="228" t="s">
        <v>4817</v>
      </c>
      <c r="F61" s="228" t="s">
        <v>4719</v>
      </c>
      <c r="G61" s="228"/>
      <c r="H61" s="228"/>
      <c r="I61" s="228"/>
      <c r="J61" s="228"/>
      <c r="K61" s="228"/>
      <c r="L61" s="228"/>
      <c r="M61" s="228"/>
      <c r="N61" s="228"/>
      <c r="O61" s="228"/>
      <c r="P61" s="228"/>
      <c r="Q61" s="228"/>
      <c r="R61" s="228"/>
      <c r="S61" s="228"/>
      <c r="T61" s="228"/>
      <c r="U61" s="228"/>
      <c r="V61" s="228"/>
      <c r="W61" s="228"/>
      <c r="X61" s="228"/>
      <c r="Y61" s="228"/>
      <c r="Z61" s="228"/>
    </row>
    <row r="62" ht="15.75" customHeight="1">
      <c r="A62" s="228">
        <v>202.0</v>
      </c>
      <c r="B62" s="243" t="s">
        <v>4753</v>
      </c>
      <c r="C62" s="228" t="s">
        <v>4816</v>
      </c>
      <c r="D62" s="228" t="s">
        <v>4811</v>
      </c>
      <c r="E62" s="228" t="s">
        <v>4817</v>
      </c>
      <c r="F62" s="228" t="s">
        <v>4719</v>
      </c>
      <c r="G62" s="228"/>
      <c r="H62" s="228"/>
      <c r="I62" s="228"/>
      <c r="J62" s="228"/>
      <c r="K62" s="228"/>
      <c r="L62" s="228"/>
      <c r="M62" s="228"/>
      <c r="N62" s="228"/>
      <c r="O62" s="228"/>
      <c r="P62" s="228"/>
      <c r="Q62" s="228"/>
      <c r="R62" s="228"/>
      <c r="S62" s="228"/>
      <c r="T62" s="228"/>
      <c r="U62" s="228"/>
      <c r="V62" s="228"/>
      <c r="W62" s="228"/>
      <c r="X62" s="228"/>
      <c r="Y62" s="228"/>
      <c r="Z62" s="228"/>
    </row>
    <row r="63" ht="15.75" customHeight="1">
      <c r="A63" s="212"/>
      <c r="B63" s="24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row>
    <row r="64" ht="15.75" customHeight="1">
      <c r="A64" s="212"/>
      <c r="B64" s="24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row>
    <row r="65" ht="15.75" customHeight="1">
      <c r="A65" s="212"/>
      <c r="B65" s="24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row>
    <row r="66" ht="15.75" customHeight="1">
      <c r="A66" s="212"/>
      <c r="B66" s="24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row>
    <row r="67" ht="15.75" customHeight="1">
      <c r="A67" s="212"/>
      <c r="B67" s="24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row>
    <row r="68" ht="15.75" customHeight="1">
      <c r="A68" s="212"/>
      <c r="B68" s="24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row>
    <row r="69" ht="15.75" customHeight="1">
      <c r="A69" s="212"/>
      <c r="B69" s="24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row>
    <row r="70" ht="15.75" customHeight="1">
      <c r="A70" s="212"/>
      <c r="B70" s="24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row>
    <row r="71" ht="15.75" customHeight="1">
      <c r="A71" s="212"/>
      <c r="B71" s="24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row>
    <row r="72" ht="15.75" customHeight="1">
      <c r="A72" s="212"/>
      <c r="B72" s="24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row>
    <row r="73" ht="15.75" customHeight="1">
      <c r="A73" s="212"/>
      <c r="B73" s="24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row>
    <row r="74" ht="15.75" customHeight="1">
      <c r="A74" s="212"/>
      <c r="B74" s="24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row>
    <row r="75" ht="15.75" customHeight="1">
      <c r="A75" s="212"/>
      <c r="B75" s="24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row>
    <row r="76" ht="15.75" customHeight="1">
      <c r="A76" s="212"/>
      <c r="B76" s="24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row>
    <row r="77" ht="15.75" customHeight="1">
      <c r="A77" s="212"/>
      <c r="B77" s="24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row>
    <row r="78" ht="15.75" customHeight="1">
      <c r="A78" s="212"/>
      <c r="B78" s="24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row>
    <row r="79" ht="15.75" customHeight="1">
      <c r="A79" s="212"/>
      <c r="B79" s="24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row>
    <row r="80" ht="15.75" customHeight="1">
      <c r="A80" s="212"/>
      <c r="B80" s="24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row>
    <row r="81" ht="15.75" customHeight="1">
      <c r="A81" s="212"/>
      <c r="B81" s="24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row>
    <row r="82" ht="15.75" customHeight="1">
      <c r="A82" s="212"/>
      <c r="B82" s="24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row>
    <row r="83" ht="15.75" customHeight="1">
      <c r="A83" s="212"/>
      <c r="B83" s="24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row>
    <row r="84" ht="15.75" customHeight="1">
      <c r="A84" s="212"/>
      <c r="B84" s="24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row>
    <row r="85" ht="15.75" customHeight="1">
      <c r="A85" s="212"/>
      <c r="B85" s="24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row>
    <row r="86" ht="15.75" customHeight="1">
      <c r="A86" s="212"/>
      <c r="B86" s="24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row>
    <row r="87" ht="15.75" customHeight="1">
      <c r="A87" s="212"/>
      <c r="B87" s="24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row>
    <row r="88" ht="15.75" customHeight="1">
      <c r="A88" s="212"/>
      <c r="B88" s="24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row>
    <row r="89" ht="15.75" customHeight="1">
      <c r="A89" s="212"/>
      <c r="B89" s="24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row>
    <row r="90" ht="15.75" customHeight="1">
      <c r="A90" s="212"/>
      <c r="B90" s="24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row>
    <row r="91" ht="15.75" customHeight="1">
      <c r="A91" s="212"/>
      <c r="B91" s="24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row>
    <row r="92" ht="15.75" customHeight="1">
      <c r="A92" s="212"/>
      <c r="B92" s="24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row>
    <row r="93" ht="15.75" customHeight="1">
      <c r="A93" s="212"/>
      <c r="B93" s="24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row>
    <row r="94" ht="15.75" customHeight="1">
      <c r="A94" s="212"/>
      <c r="B94" s="24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row>
    <row r="95" ht="15.75" customHeight="1">
      <c r="A95" s="212"/>
      <c r="B95" s="24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row>
    <row r="96" ht="15.75" customHeight="1">
      <c r="A96" s="212"/>
      <c r="B96" s="24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row>
    <row r="97" ht="15.75" customHeight="1">
      <c r="A97" s="212"/>
      <c r="B97" s="24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row>
    <row r="98" ht="15.75" customHeight="1">
      <c r="A98" s="212"/>
      <c r="B98" s="24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row>
    <row r="99" ht="15.75" customHeight="1">
      <c r="A99" s="212"/>
      <c r="B99" s="24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row>
    <row r="100" ht="15.75" customHeight="1">
      <c r="A100" s="212"/>
      <c r="B100" s="24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row>
    <row r="101" ht="15.75" customHeight="1">
      <c r="A101" s="212"/>
      <c r="B101" s="24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row>
    <row r="102" ht="15.75" customHeight="1">
      <c r="A102" s="212"/>
      <c r="B102" s="24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row>
    <row r="103" ht="15.75" customHeight="1">
      <c r="A103" s="212"/>
      <c r="B103" s="24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row>
    <row r="104" ht="15.75" customHeight="1">
      <c r="A104" s="212"/>
      <c r="B104" s="24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row>
    <row r="105" ht="15.75" customHeight="1">
      <c r="A105" s="212"/>
      <c r="B105" s="24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row>
    <row r="106" ht="15.75" customHeight="1">
      <c r="A106" s="212"/>
      <c r="B106" s="24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row>
    <row r="107" ht="15.75" customHeight="1">
      <c r="A107" s="212"/>
      <c r="B107" s="24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row>
    <row r="108" ht="15.75" customHeight="1">
      <c r="A108" s="212"/>
      <c r="B108" s="24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row>
    <row r="109" ht="15.75" customHeight="1">
      <c r="A109" s="212"/>
      <c r="B109" s="24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row>
    <row r="110" ht="15.75" customHeight="1">
      <c r="A110" s="212"/>
      <c r="B110" s="24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row>
    <row r="111" ht="15.75" customHeight="1">
      <c r="A111" s="212"/>
      <c r="B111" s="24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row>
    <row r="112" ht="15.75" customHeight="1">
      <c r="A112" s="212"/>
      <c r="B112" s="24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row>
    <row r="113" ht="15.75" customHeight="1">
      <c r="A113" s="212"/>
      <c r="B113" s="24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row>
    <row r="114" ht="15.75" customHeight="1">
      <c r="A114" s="212"/>
      <c r="B114" s="24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row>
    <row r="115" ht="15.75" customHeight="1">
      <c r="A115" s="212"/>
      <c r="B115" s="24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row>
    <row r="116" ht="15.75" customHeight="1">
      <c r="A116" s="212"/>
      <c r="B116" s="24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row>
    <row r="117" ht="15.75" customHeight="1">
      <c r="A117" s="212"/>
      <c r="B117" s="24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row>
    <row r="118" ht="15.75" customHeight="1">
      <c r="A118" s="212"/>
      <c r="B118" s="24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row>
    <row r="119" ht="15.75" customHeight="1">
      <c r="A119" s="212"/>
      <c r="B119" s="24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row>
    <row r="120" ht="15.75" customHeight="1">
      <c r="A120" s="212"/>
      <c r="B120" s="24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row>
    <row r="121" ht="15.75" customHeight="1">
      <c r="A121" s="212"/>
      <c r="B121" s="24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row>
    <row r="122" ht="15.75" customHeight="1">
      <c r="A122" s="212"/>
      <c r="B122" s="24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row>
    <row r="123" ht="15.75" customHeight="1">
      <c r="A123" s="212"/>
      <c r="B123" s="24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row>
    <row r="124" ht="15.75" customHeight="1">
      <c r="A124" s="212"/>
      <c r="B124" s="24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row>
    <row r="125" ht="15.75" customHeight="1">
      <c r="A125" s="212"/>
      <c r="B125" s="24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row>
    <row r="126" ht="15.75" customHeight="1">
      <c r="A126" s="212"/>
      <c r="B126" s="24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row>
    <row r="127" ht="15.75" customHeight="1">
      <c r="A127" s="212"/>
      <c r="B127" s="24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row>
    <row r="128" ht="15.75" customHeight="1">
      <c r="A128" s="212"/>
      <c r="B128" s="24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row>
    <row r="129" ht="15.75" customHeight="1">
      <c r="A129" s="212"/>
      <c r="B129" s="24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row>
    <row r="130" ht="15.75" customHeight="1">
      <c r="A130" s="212"/>
      <c r="B130" s="24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row>
    <row r="131" ht="15.75" customHeight="1">
      <c r="A131" s="212"/>
      <c r="B131" s="24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row>
    <row r="132" ht="15.75" customHeight="1">
      <c r="A132" s="212"/>
      <c r="B132" s="24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row>
    <row r="133" ht="15.75" customHeight="1">
      <c r="A133" s="212"/>
      <c r="B133" s="24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row>
    <row r="134" ht="15.75" customHeight="1">
      <c r="A134" s="212"/>
      <c r="B134" s="24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row>
    <row r="135" ht="15.75" customHeight="1">
      <c r="A135" s="212"/>
      <c r="B135" s="24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row>
    <row r="136" ht="15.75" customHeight="1">
      <c r="A136" s="212"/>
      <c r="B136" s="24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row>
    <row r="137" ht="15.75" customHeight="1">
      <c r="A137" s="212"/>
      <c r="B137" s="24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row>
    <row r="138" ht="15.75" customHeight="1">
      <c r="A138" s="212"/>
      <c r="B138" s="24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row>
    <row r="139" ht="15.75" customHeight="1">
      <c r="A139" s="212"/>
      <c r="B139" s="24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row>
    <row r="140" ht="15.75" customHeight="1">
      <c r="A140" s="212"/>
      <c r="B140" s="24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row>
    <row r="141" ht="15.75" customHeight="1">
      <c r="A141" s="212"/>
      <c r="B141" s="24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row>
    <row r="142" ht="15.75" customHeight="1">
      <c r="A142" s="212"/>
      <c r="B142" s="24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row>
    <row r="143" ht="15.75" customHeight="1">
      <c r="A143" s="212"/>
      <c r="B143" s="24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row>
    <row r="144" ht="15.75" customHeight="1">
      <c r="A144" s="212"/>
      <c r="B144" s="24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row>
    <row r="145" ht="15.75" customHeight="1">
      <c r="A145" s="212"/>
      <c r="B145" s="24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row>
    <row r="146" ht="15.75" customHeight="1">
      <c r="A146" s="212"/>
      <c r="B146" s="24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row>
    <row r="147" ht="15.75" customHeight="1">
      <c r="A147" s="212"/>
      <c r="B147" s="24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row>
    <row r="148" ht="15.75" customHeight="1">
      <c r="A148" s="212"/>
      <c r="B148" s="24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row>
    <row r="149" ht="15.75" customHeight="1">
      <c r="A149" s="212"/>
      <c r="B149" s="24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row>
    <row r="150" ht="15.75" customHeight="1">
      <c r="A150" s="212"/>
      <c r="B150" s="24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row>
    <row r="151" ht="15.75" customHeight="1">
      <c r="A151" s="212"/>
      <c r="B151" s="24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row>
    <row r="152" ht="15.75" customHeight="1">
      <c r="A152" s="212"/>
      <c r="B152" s="24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row>
    <row r="153" ht="15.75" customHeight="1">
      <c r="A153" s="212"/>
      <c r="B153" s="24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row>
    <row r="154" ht="15.75" customHeight="1">
      <c r="A154" s="212"/>
      <c r="B154" s="24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row>
    <row r="155" ht="15.75" customHeight="1">
      <c r="A155" s="212"/>
      <c r="B155" s="24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row>
    <row r="156" ht="15.75" customHeight="1">
      <c r="A156" s="212"/>
      <c r="B156" s="24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row>
    <row r="157" ht="15.75" customHeight="1">
      <c r="A157" s="212"/>
      <c r="B157" s="24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row>
    <row r="158" ht="15.75" customHeight="1">
      <c r="A158" s="212"/>
      <c r="B158" s="24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row>
    <row r="159" ht="15.75" customHeight="1">
      <c r="A159" s="212"/>
      <c r="B159" s="24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row>
    <row r="160" ht="15.75" customHeight="1">
      <c r="A160" s="212"/>
      <c r="B160" s="24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row>
    <row r="161" ht="15.75" customHeight="1">
      <c r="A161" s="212"/>
      <c r="B161" s="24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row>
    <row r="162" ht="15.75" customHeight="1">
      <c r="A162" s="212"/>
      <c r="B162" s="24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row>
    <row r="163" ht="15.75" customHeight="1">
      <c r="A163" s="212"/>
      <c r="B163" s="24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row>
    <row r="164" ht="15.75" customHeight="1">
      <c r="A164" s="212"/>
      <c r="B164" s="24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row>
    <row r="165" ht="15.75" customHeight="1">
      <c r="A165" s="212"/>
      <c r="B165" s="24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row>
    <row r="166" ht="15.75" customHeight="1">
      <c r="A166" s="212"/>
      <c r="B166" s="24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row>
    <row r="167" ht="15.75" customHeight="1">
      <c r="A167" s="212"/>
      <c r="B167" s="24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row>
    <row r="168" ht="15.75" customHeight="1">
      <c r="A168" s="212"/>
      <c r="B168" s="24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row>
    <row r="169" ht="15.75" customHeight="1">
      <c r="A169" s="212"/>
      <c r="B169" s="24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row>
    <row r="170" ht="15.75" customHeight="1">
      <c r="A170" s="212"/>
      <c r="B170" s="24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row>
    <row r="171" ht="15.75" customHeight="1">
      <c r="A171" s="212"/>
      <c r="B171" s="24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row>
    <row r="172" ht="15.75" customHeight="1">
      <c r="A172" s="212"/>
      <c r="B172" s="24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row>
    <row r="173" ht="15.75" customHeight="1">
      <c r="A173" s="212"/>
      <c r="B173" s="24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row>
    <row r="174" ht="15.75" customHeight="1">
      <c r="A174" s="212"/>
      <c r="B174" s="24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row>
    <row r="175" ht="15.75" customHeight="1">
      <c r="A175" s="212"/>
      <c r="B175" s="24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row>
    <row r="176" ht="15.75" customHeight="1">
      <c r="A176" s="212"/>
      <c r="B176" s="24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row>
    <row r="177" ht="15.75" customHeight="1">
      <c r="A177" s="212"/>
      <c r="B177" s="24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row>
    <row r="178" ht="15.75" customHeight="1">
      <c r="A178" s="212"/>
      <c r="B178" s="24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row>
    <row r="179" ht="15.75" customHeight="1">
      <c r="A179" s="212"/>
      <c r="B179" s="24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row>
    <row r="180" ht="15.75" customHeight="1">
      <c r="A180" s="212"/>
      <c r="B180" s="24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row>
    <row r="181" ht="15.75" customHeight="1">
      <c r="A181" s="212"/>
      <c r="B181" s="24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row>
    <row r="182" ht="15.75" customHeight="1">
      <c r="A182" s="212"/>
      <c r="B182" s="24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row>
    <row r="183" ht="15.75" customHeight="1">
      <c r="A183" s="212"/>
      <c r="B183" s="24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row>
    <row r="184" ht="15.75" customHeight="1">
      <c r="A184" s="212"/>
      <c r="B184" s="24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row>
    <row r="185" ht="15.75" customHeight="1">
      <c r="A185" s="212"/>
      <c r="B185" s="24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row>
    <row r="186" ht="15.75" customHeight="1">
      <c r="A186" s="212"/>
      <c r="B186" s="24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row>
    <row r="187" ht="15.75" customHeight="1">
      <c r="A187" s="212"/>
      <c r="B187" s="24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row>
    <row r="188" ht="15.75" customHeight="1">
      <c r="A188" s="212"/>
      <c r="B188" s="24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row>
    <row r="189" ht="15.75" customHeight="1">
      <c r="A189" s="212"/>
      <c r="B189" s="24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row>
    <row r="190" ht="15.75" customHeight="1">
      <c r="A190" s="212"/>
      <c r="B190" s="24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row>
    <row r="191" ht="15.75" customHeight="1">
      <c r="A191" s="212"/>
      <c r="B191" s="24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row>
    <row r="192" ht="15.75" customHeight="1">
      <c r="A192" s="212"/>
      <c r="B192" s="24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row>
    <row r="193" ht="15.75" customHeight="1">
      <c r="A193" s="212"/>
      <c r="B193" s="24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row>
    <row r="194" ht="15.75" customHeight="1">
      <c r="A194" s="212"/>
      <c r="B194" s="24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row>
    <row r="195" ht="15.75" customHeight="1">
      <c r="A195" s="212"/>
      <c r="B195" s="24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row>
    <row r="196" ht="15.75" customHeight="1">
      <c r="A196" s="212"/>
      <c r="B196" s="24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row>
    <row r="197" ht="15.75" customHeight="1">
      <c r="A197" s="212"/>
      <c r="B197" s="24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row>
    <row r="198" ht="15.75" customHeight="1">
      <c r="A198" s="212"/>
      <c r="B198" s="24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row>
    <row r="199" ht="15.75" customHeight="1">
      <c r="A199" s="212"/>
      <c r="B199" s="24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row>
    <row r="200" ht="15.75" customHeight="1">
      <c r="A200" s="212"/>
      <c r="B200" s="24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row>
    <row r="201" ht="15.75" customHeight="1">
      <c r="A201" s="212"/>
      <c r="B201" s="24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row>
    <row r="202" ht="15.75" customHeight="1">
      <c r="A202" s="212"/>
      <c r="B202" s="24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row>
    <row r="203" ht="15.75" customHeight="1">
      <c r="A203" s="212"/>
      <c r="B203" s="24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row>
    <row r="204" ht="15.75" customHeight="1">
      <c r="A204" s="212"/>
      <c r="B204" s="24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row>
    <row r="205" ht="15.75" customHeight="1">
      <c r="A205" s="212"/>
      <c r="B205" s="24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row>
    <row r="206" ht="15.75" customHeight="1">
      <c r="A206" s="212"/>
      <c r="B206" s="24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row>
    <row r="207" ht="15.75" customHeight="1">
      <c r="A207" s="212"/>
      <c r="B207" s="24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row>
    <row r="208" ht="15.75" customHeight="1">
      <c r="A208" s="212"/>
      <c r="B208" s="24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row>
    <row r="209" ht="15.75" customHeight="1">
      <c r="A209" s="212"/>
      <c r="B209" s="24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row>
    <row r="210" ht="15.75" customHeight="1">
      <c r="A210" s="212"/>
      <c r="B210" s="24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row>
    <row r="211" ht="15.75" customHeight="1">
      <c r="A211" s="212"/>
      <c r="B211" s="24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row>
    <row r="212" ht="15.75" customHeight="1">
      <c r="A212" s="212"/>
      <c r="B212" s="24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row>
    <row r="213" ht="15.75" customHeight="1">
      <c r="A213" s="212"/>
      <c r="B213" s="24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row>
    <row r="214" ht="15.75" customHeight="1">
      <c r="A214" s="212"/>
      <c r="B214" s="24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row>
    <row r="215" ht="15.75" customHeight="1">
      <c r="A215" s="212"/>
      <c r="B215" s="24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row>
    <row r="216" ht="15.75" customHeight="1">
      <c r="A216" s="212"/>
      <c r="B216" s="24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row>
    <row r="217" ht="15.75" customHeight="1">
      <c r="A217" s="212"/>
      <c r="B217" s="24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row>
    <row r="218" ht="15.75" customHeight="1">
      <c r="A218" s="212"/>
      <c r="B218" s="24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row>
    <row r="219" ht="15.75" customHeight="1">
      <c r="A219" s="212"/>
      <c r="B219" s="24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row>
    <row r="220" ht="15.75" customHeight="1">
      <c r="A220" s="212"/>
      <c r="B220" s="24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row>
    <row r="221" ht="15.75" customHeight="1">
      <c r="A221" s="212"/>
      <c r="B221" s="24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row>
    <row r="222" ht="15.75" customHeight="1">
      <c r="A222" s="212"/>
      <c r="B222" s="24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row>
    <row r="223" ht="15.75" customHeight="1">
      <c r="A223" s="212"/>
      <c r="B223" s="24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row>
    <row r="224" ht="15.75" customHeight="1">
      <c r="A224" s="212"/>
      <c r="B224" s="24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row>
    <row r="225" ht="15.75" customHeight="1">
      <c r="A225" s="212"/>
      <c r="B225" s="24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row>
    <row r="226" ht="15.75" customHeight="1">
      <c r="A226" s="212"/>
      <c r="B226" s="24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row>
    <row r="227" ht="15.75" customHeight="1">
      <c r="A227" s="212"/>
      <c r="B227" s="24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row>
    <row r="228" ht="15.75" customHeight="1">
      <c r="A228" s="212"/>
      <c r="B228" s="24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row>
    <row r="229" ht="15.75" customHeight="1">
      <c r="A229" s="212"/>
      <c r="B229" s="24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row>
    <row r="230" ht="15.75" customHeight="1">
      <c r="A230" s="212"/>
      <c r="B230" s="24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row>
    <row r="231" ht="15.75" customHeight="1">
      <c r="A231" s="212"/>
      <c r="B231" s="24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row>
    <row r="232" ht="15.75" customHeight="1">
      <c r="A232" s="212"/>
      <c r="B232" s="24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row>
    <row r="233" ht="15.75" customHeight="1">
      <c r="A233" s="212"/>
      <c r="B233" s="24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row>
    <row r="234" ht="15.75" customHeight="1">
      <c r="A234" s="212"/>
      <c r="B234" s="24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row>
    <row r="235" ht="15.75" customHeight="1">
      <c r="A235" s="212"/>
      <c r="B235" s="24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row>
    <row r="236" ht="15.75" customHeight="1">
      <c r="A236" s="212"/>
      <c r="B236" s="24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row>
    <row r="237" ht="15.75" customHeight="1">
      <c r="A237" s="212"/>
      <c r="B237" s="24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row>
    <row r="238" ht="15.75" customHeight="1">
      <c r="A238" s="212"/>
      <c r="B238" s="24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row>
    <row r="239" ht="15.75" customHeight="1">
      <c r="A239" s="212"/>
      <c r="B239" s="24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row>
    <row r="240" ht="15.75" customHeight="1">
      <c r="A240" s="212"/>
      <c r="B240" s="24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row>
    <row r="241" ht="15.75" customHeight="1">
      <c r="A241" s="212"/>
      <c r="B241" s="24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row>
    <row r="242" ht="15.75" customHeight="1">
      <c r="A242" s="212"/>
      <c r="B242" s="24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row>
    <row r="243" ht="15.75" customHeight="1">
      <c r="A243" s="212"/>
      <c r="B243" s="24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row>
    <row r="244" ht="15.75" customHeight="1">
      <c r="A244" s="212"/>
      <c r="B244" s="24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row>
    <row r="245" ht="15.75" customHeight="1">
      <c r="A245" s="212"/>
      <c r="B245" s="24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row>
    <row r="246" ht="15.75" customHeight="1">
      <c r="A246" s="212"/>
      <c r="B246" s="24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c r="Z246" s="212"/>
    </row>
    <row r="247" ht="15.75" customHeight="1">
      <c r="A247" s="212"/>
      <c r="B247" s="24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c r="Z247" s="212"/>
    </row>
    <row r="248" ht="15.75" customHeight="1">
      <c r="A248" s="212"/>
      <c r="B248" s="24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c r="Z248" s="212"/>
    </row>
    <row r="249" ht="15.75" customHeight="1">
      <c r="A249" s="212"/>
      <c r="B249" s="24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c r="Z249" s="212"/>
    </row>
    <row r="250" ht="15.75" customHeight="1">
      <c r="A250" s="212"/>
      <c r="B250" s="24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c r="Z250" s="212"/>
    </row>
    <row r="251" ht="15.75" customHeight="1">
      <c r="A251" s="212"/>
      <c r="B251" s="24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c r="Z251" s="212"/>
    </row>
    <row r="252" ht="15.75" customHeight="1">
      <c r="A252" s="212"/>
      <c r="B252" s="24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c r="Z252" s="212"/>
    </row>
    <row r="253" ht="15.75" customHeight="1">
      <c r="A253" s="212"/>
      <c r="B253" s="24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c r="Z253" s="212"/>
    </row>
    <row r="254" ht="15.75" customHeight="1">
      <c r="A254" s="212"/>
      <c r="B254" s="24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c r="Z254" s="212"/>
    </row>
    <row r="255" ht="15.75" customHeight="1">
      <c r="A255" s="212"/>
      <c r="B255" s="24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c r="Z255" s="212"/>
    </row>
    <row r="256" ht="15.75" customHeight="1">
      <c r="A256" s="212"/>
      <c r="B256" s="24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c r="Z256" s="212"/>
    </row>
    <row r="257" ht="15.75" customHeight="1">
      <c r="A257" s="212"/>
      <c r="B257" s="24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row>
    <row r="258" ht="15.75" customHeight="1">
      <c r="A258" s="212"/>
      <c r="B258" s="24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c r="Z258" s="212"/>
    </row>
    <row r="259" ht="15.75" customHeight="1">
      <c r="A259" s="212"/>
      <c r="B259" s="24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c r="Z259" s="212"/>
    </row>
    <row r="260" ht="15.75" customHeight="1">
      <c r="A260" s="212"/>
      <c r="B260" s="24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c r="Z260" s="212"/>
    </row>
    <row r="261" ht="15.75" customHeight="1">
      <c r="A261" s="212"/>
      <c r="B261" s="24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c r="Z261" s="212"/>
    </row>
    <row r="262" ht="15.75" customHeight="1">
      <c r="A262" s="212"/>
      <c r="B262" s="24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c r="Z262" s="212"/>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244" t="s">
        <v>4868</v>
      </c>
      <c r="B1" s="244" t="s">
        <v>4869</v>
      </c>
      <c r="C1" s="244" t="s">
        <v>4870</v>
      </c>
      <c r="D1" s="244" t="s">
        <v>4871</v>
      </c>
      <c r="E1" s="244" t="s">
        <v>4872</v>
      </c>
      <c r="F1" s="244" t="s">
        <v>4809</v>
      </c>
      <c r="G1" s="244" t="s">
        <v>4873</v>
      </c>
      <c r="H1" s="244"/>
      <c r="I1" s="245" t="s">
        <v>4874</v>
      </c>
      <c r="J1" s="245" t="s">
        <v>4875</v>
      </c>
      <c r="K1" s="245" t="s">
        <v>4876</v>
      </c>
      <c r="L1" s="245"/>
      <c r="M1" s="245"/>
      <c r="N1" s="245"/>
      <c r="O1" s="245"/>
      <c r="P1" s="245"/>
      <c r="Q1" s="245"/>
      <c r="R1" s="245"/>
      <c r="S1" s="245"/>
      <c r="T1" s="245"/>
      <c r="U1" s="245"/>
      <c r="V1" s="245"/>
      <c r="W1" s="245"/>
      <c r="X1" s="245"/>
      <c r="Y1" s="245"/>
      <c r="Z1" s="245"/>
      <c r="AA1" s="245"/>
      <c r="AB1" s="245"/>
      <c r="AC1" s="245"/>
      <c r="AD1" s="245"/>
    </row>
    <row r="2">
      <c r="A2" s="246" t="s">
        <v>4877</v>
      </c>
      <c r="B2" s="246" t="s">
        <v>4878</v>
      </c>
      <c r="C2" s="246" t="s">
        <v>4879</v>
      </c>
      <c r="D2" s="246" t="s">
        <v>4880</v>
      </c>
      <c r="E2" s="246" t="s">
        <v>4881</v>
      </c>
      <c r="F2" s="246"/>
      <c r="G2" s="246" t="s">
        <v>4881</v>
      </c>
      <c r="H2" s="246"/>
      <c r="I2" s="247"/>
      <c r="J2" s="247"/>
      <c r="K2" s="247"/>
      <c r="L2" s="247"/>
      <c r="M2" s="247"/>
      <c r="N2" s="247"/>
      <c r="O2" s="247"/>
      <c r="P2" s="247"/>
      <c r="Q2" s="247"/>
      <c r="R2" s="247"/>
      <c r="S2" s="247"/>
      <c r="T2" s="247"/>
      <c r="U2" s="247"/>
      <c r="V2" s="247"/>
      <c r="W2" s="247"/>
      <c r="X2" s="247"/>
      <c r="Y2" s="247"/>
      <c r="Z2" s="247"/>
      <c r="AA2" s="247"/>
      <c r="AB2" s="247"/>
      <c r="AC2" s="247"/>
      <c r="AD2" s="247"/>
    </row>
    <row r="3">
      <c r="A3" s="246" t="s">
        <v>4877</v>
      </c>
      <c r="B3" s="246" t="s">
        <v>4882</v>
      </c>
      <c r="C3" s="246" t="s">
        <v>4883</v>
      </c>
      <c r="D3" s="246" t="s">
        <v>4884</v>
      </c>
      <c r="E3" s="246" t="s">
        <v>4881</v>
      </c>
      <c r="F3" s="246"/>
      <c r="G3" s="246" t="s">
        <v>4881</v>
      </c>
      <c r="H3" s="246"/>
      <c r="I3" s="247"/>
      <c r="J3" s="247"/>
      <c r="K3" s="247"/>
      <c r="L3" s="247"/>
      <c r="M3" s="247"/>
      <c r="N3" s="247"/>
      <c r="O3" s="247"/>
      <c r="P3" s="247"/>
      <c r="Q3" s="247"/>
      <c r="R3" s="247"/>
      <c r="S3" s="247"/>
      <c r="T3" s="247"/>
      <c r="U3" s="247"/>
      <c r="V3" s="247"/>
      <c r="W3" s="247"/>
      <c r="X3" s="247"/>
      <c r="Y3" s="247"/>
      <c r="Z3" s="247"/>
      <c r="AA3" s="247"/>
      <c r="AB3" s="247"/>
      <c r="AC3" s="247"/>
      <c r="AD3" s="247"/>
    </row>
    <row r="4">
      <c r="A4" s="246" t="s">
        <v>4877</v>
      </c>
      <c r="B4" s="246" t="s">
        <v>4885</v>
      </c>
      <c r="C4" s="246" t="s">
        <v>4886</v>
      </c>
      <c r="D4" s="246" t="s">
        <v>4887</v>
      </c>
      <c r="E4" s="246" t="s">
        <v>10</v>
      </c>
      <c r="F4" s="246"/>
      <c r="G4" s="246" t="s">
        <v>4881</v>
      </c>
      <c r="H4" s="246"/>
      <c r="I4" s="247"/>
      <c r="J4" s="247"/>
      <c r="K4" s="247"/>
      <c r="L4" s="247"/>
      <c r="M4" s="247"/>
      <c r="N4" s="247"/>
      <c r="O4" s="247"/>
      <c r="P4" s="247"/>
      <c r="Q4" s="247"/>
      <c r="R4" s="247"/>
      <c r="S4" s="247"/>
      <c r="T4" s="247"/>
      <c r="U4" s="247"/>
      <c r="V4" s="247"/>
      <c r="W4" s="247"/>
      <c r="X4" s="247"/>
      <c r="Y4" s="247"/>
      <c r="Z4" s="247"/>
      <c r="AA4" s="247"/>
      <c r="AB4" s="247"/>
      <c r="AC4" s="247"/>
      <c r="AD4" s="247"/>
    </row>
    <row r="5">
      <c r="A5" s="246"/>
      <c r="B5" s="246"/>
      <c r="C5" s="246"/>
      <c r="D5" s="246"/>
      <c r="E5" s="246"/>
      <c r="F5" s="246"/>
      <c r="G5" s="246"/>
      <c r="H5" s="246"/>
      <c r="I5" s="247"/>
      <c r="J5" s="247"/>
      <c r="K5" s="247"/>
      <c r="L5" s="247"/>
      <c r="M5" s="247"/>
      <c r="N5" s="247"/>
      <c r="O5" s="247"/>
      <c r="P5" s="247"/>
      <c r="Q5" s="247"/>
      <c r="R5" s="247"/>
      <c r="S5" s="247"/>
      <c r="T5" s="247"/>
      <c r="U5" s="247"/>
      <c r="V5" s="247"/>
      <c r="W5" s="247"/>
      <c r="X5" s="247"/>
      <c r="Y5" s="247"/>
      <c r="Z5" s="247"/>
      <c r="AA5" s="247"/>
      <c r="AB5" s="247"/>
      <c r="AC5" s="247"/>
      <c r="AD5" s="247"/>
    </row>
    <row r="6">
      <c r="A6" s="246" t="s">
        <v>4888</v>
      </c>
      <c r="B6" s="246" t="s">
        <v>4878</v>
      </c>
      <c r="C6" s="246" t="s">
        <v>4889</v>
      </c>
      <c r="D6" s="246" t="s">
        <v>4880</v>
      </c>
      <c r="E6" s="246" t="s">
        <v>4890</v>
      </c>
      <c r="F6" s="246" t="s">
        <v>4891</v>
      </c>
      <c r="G6" s="246" t="s">
        <v>4881</v>
      </c>
      <c r="H6" s="246"/>
      <c r="I6" s="247"/>
      <c r="J6" s="247"/>
      <c r="K6" s="247"/>
      <c r="L6" s="247"/>
      <c r="M6" s="247"/>
      <c r="N6" s="247"/>
      <c r="O6" s="247"/>
      <c r="P6" s="247"/>
      <c r="Q6" s="247"/>
      <c r="R6" s="247"/>
      <c r="S6" s="247"/>
      <c r="T6" s="247"/>
      <c r="U6" s="247"/>
      <c r="V6" s="247"/>
      <c r="W6" s="247"/>
      <c r="X6" s="247"/>
      <c r="Y6" s="247"/>
      <c r="Z6" s="247"/>
      <c r="AA6" s="247"/>
      <c r="AB6" s="247"/>
      <c r="AC6" s="247"/>
      <c r="AD6" s="247"/>
    </row>
    <row r="7">
      <c r="A7" s="246" t="s">
        <v>4888</v>
      </c>
      <c r="B7" s="246" t="s">
        <v>4878</v>
      </c>
      <c r="C7" s="246" t="s">
        <v>4889</v>
      </c>
      <c r="D7" s="246" t="s">
        <v>4884</v>
      </c>
      <c r="E7" s="246" t="s">
        <v>4892</v>
      </c>
      <c r="F7" s="246"/>
      <c r="G7" s="246" t="s">
        <v>4881</v>
      </c>
      <c r="H7" s="246"/>
      <c r="I7" s="247"/>
      <c r="J7" s="247"/>
      <c r="K7" s="247"/>
      <c r="L7" s="247"/>
      <c r="M7" s="247"/>
      <c r="N7" s="247"/>
      <c r="O7" s="247"/>
      <c r="P7" s="247"/>
      <c r="Q7" s="247"/>
      <c r="R7" s="247"/>
      <c r="S7" s="247"/>
      <c r="T7" s="247"/>
      <c r="U7" s="247"/>
      <c r="V7" s="247"/>
      <c r="W7" s="247"/>
      <c r="X7" s="247"/>
      <c r="Y7" s="247"/>
      <c r="Z7" s="247"/>
      <c r="AA7" s="247"/>
      <c r="AB7" s="247"/>
      <c r="AC7" s="247"/>
      <c r="AD7" s="247"/>
    </row>
    <row r="8">
      <c r="A8" s="246" t="s">
        <v>4888</v>
      </c>
      <c r="B8" s="246" t="s">
        <v>4878</v>
      </c>
      <c r="C8" s="246" t="s">
        <v>4889</v>
      </c>
      <c r="D8" s="246" t="s">
        <v>4887</v>
      </c>
      <c r="E8" s="246" t="s">
        <v>4892</v>
      </c>
      <c r="F8" s="246"/>
      <c r="G8" s="246" t="s">
        <v>4881</v>
      </c>
      <c r="H8" s="246"/>
      <c r="I8" s="247"/>
      <c r="J8" s="247"/>
      <c r="K8" s="247"/>
      <c r="L8" s="247"/>
      <c r="M8" s="247"/>
      <c r="N8" s="247"/>
      <c r="O8" s="247"/>
      <c r="P8" s="247"/>
      <c r="Q8" s="247"/>
      <c r="R8" s="247"/>
      <c r="S8" s="247"/>
      <c r="T8" s="247"/>
      <c r="U8" s="247"/>
      <c r="V8" s="247"/>
      <c r="W8" s="247"/>
      <c r="X8" s="247"/>
      <c r="Y8" s="247"/>
      <c r="Z8" s="247"/>
      <c r="AA8" s="247"/>
      <c r="AB8" s="247"/>
      <c r="AC8" s="247"/>
      <c r="AD8" s="247"/>
    </row>
    <row r="9">
      <c r="A9" s="246"/>
      <c r="B9" s="246"/>
      <c r="C9" s="246"/>
      <c r="D9" s="246"/>
      <c r="E9" s="246"/>
      <c r="F9" s="246"/>
      <c r="G9" s="246"/>
      <c r="H9" s="246"/>
      <c r="I9" s="247"/>
      <c r="J9" s="247"/>
      <c r="K9" s="247"/>
      <c r="L9" s="247"/>
      <c r="M9" s="247"/>
      <c r="N9" s="247"/>
      <c r="O9" s="247"/>
      <c r="P9" s="247"/>
      <c r="Q9" s="247"/>
      <c r="R9" s="247"/>
      <c r="S9" s="247"/>
      <c r="T9" s="247"/>
      <c r="U9" s="247"/>
      <c r="V9" s="247"/>
      <c r="W9" s="247"/>
      <c r="X9" s="247"/>
      <c r="Y9" s="247"/>
      <c r="Z9" s="247"/>
      <c r="AA9" s="247"/>
      <c r="AB9" s="247"/>
      <c r="AC9" s="247"/>
      <c r="AD9" s="247"/>
    </row>
    <row r="10">
      <c r="A10" s="246" t="s">
        <v>4893</v>
      </c>
      <c r="B10" s="246" t="s">
        <v>4879</v>
      </c>
      <c r="C10" s="246" t="s">
        <v>4889</v>
      </c>
      <c r="D10" s="246" t="s">
        <v>4880</v>
      </c>
      <c r="E10" s="246" t="s">
        <v>4892</v>
      </c>
      <c r="F10" s="246"/>
      <c r="G10" s="246" t="s">
        <v>4881</v>
      </c>
      <c r="H10" s="246"/>
      <c r="I10" s="247"/>
      <c r="J10" s="247"/>
      <c r="K10" s="247"/>
      <c r="L10" s="247"/>
      <c r="M10" s="247"/>
      <c r="N10" s="247"/>
      <c r="O10" s="247"/>
      <c r="P10" s="247"/>
      <c r="Q10" s="247"/>
      <c r="R10" s="247"/>
      <c r="S10" s="247"/>
      <c r="T10" s="247"/>
      <c r="U10" s="247"/>
      <c r="V10" s="247"/>
      <c r="W10" s="247"/>
      <c r="X10" s="247"/>
      <c r="Y10" s="247"/>
      <c r="Z10" s="247"/>
      <c r="AA10" s="247"/>
      <c r="AB10" s="247"/>
      <c r="AC10" s="247"/>
      <c r="AD10" s="247"/>
    </row>
    <row r="11">
      <c r="A11" s="246" t="s">
        <v>4893</v>
      </c>
      <c r="B11" s="246" t="s">
        <v>4879</v>
      </c>
      <c r="C11" s="246" t="s">
        <v>4889</v>
      </c>
      <c r="D11" s="246" t="s">
        <v>4884</v>
      </c>
      <c r="E11" s="246" t="s">
        <v>4892</v>
      </c>
      <c r="F11" s="246"/>
      <c r="G11" s="246" t="s">
        <v>4881</v>
      </c>
      <c r="H11" s="246"/>
      <c r="I11" s="247"/>
      <c r="J11" s="247"/>
      <c r="K11" s="247"/>
      <c r="L11" s="247"/>
      <c r="M11" s="247"/>
      <c r="N11" s="247"/>
      <c r="O11" s="247"/>
      <c r="P11" s="247"/>
      <c r="Q11" s="247"/>
      <c r="R11" s="247"/>
      <c r="S11" s="247"/>
      <c r="T11" s="247"/>
      <c r="U11" s="247"/>
      <c r="V11" s="247"/>
      <c r="W11" s="247"/>
      <c r="X11" s="247"/>
      <c r="Y11" s="247"/>
      <c r="Z11" s="247"/>
      <c r="AA11" s="247"/>
      <c r="AB11" s="247"/>
      <c r="AC11" s="247"/>
      <c r="AD11" s="247"/>
    </row>
    <row r="12">
      <c r="A12" s="246" t="s">
        <v>4893</v>
      </c>
      <c r="B12" s="246" t="s">
        <v>4879</v>
      </c>
      <c r="C12" s="246" t="s">
        <v>4889</v>
      </c>
      <c r="D12" s="246" t="s">
        <v>4887</v>
      </c>
      <c r="E12" s="246" t="s">
        <v>4892</v>
      </c>
      <c r="F12" s="246"/>
      <c r="G12" s="246" t="s">
        <v>4881</v>
      </c>
      <c r="H12" s="246"/>
      <c r="I12" s="247"/>
      <c r="J12" s="247"/>
      <c r="K12" s="247"/>
      <c r="L12" s="247"/>
      <c r="M12" s="247"/>
      <c r="N12" s="247"/>
      <c r="O12" s="247"/>
      <c r="P12" s="248" t="s">
        <v>4894</v>
      </c>
      <c r="Q12" s="244" t="s">
        <v>4869</v>
      </c>
      <c r="R12" s="244" t="s">
        <v>4870</v>
      </c>
      <c r="S12" s="247"/>
      <c r="T12" s="247"/>
      <c r="U12" s="247"/>
      <c r="V12" s="247"/>
      <c r="W12" s="247"/>
      <c r="X12" s="247"/>
      <c r="Y12" s="247"/>
      <c r="Z12" s="247"/>
      <c r="AA12" s="247"/>
      <c r="AB12" s="247"/>
      <c r="AC12" s="247"/>
      <c r="AD12" s="247"/>
    </row>
    <row r="13">
      <c r="A13" s="246"/>
      <c r="B13" s="246"/>
      <c r="C13" s="246"/>
      <c r="D13" s="246"/>
      <c r="E13" s="246"/>
      <c r="F13" s="246"/>
      <c r="G13" s="246"/>
      <c r="H13" s="246"/>
      <c r="I13" s="247"/>
      <c r="J13" s="247"/>
      <c r="K13" s="247"/>
      <c r="L13" s="247"/>
      <c r="M13" s="247"/>
      <c r="N13" s="247"/>
      <c r="O13" s="247"/>
      <c r="P13" s="246" t="s">
        <v>4877</v>
      </c>
      <c r="Q13" s="246" t="s">
        <v>4878</v>
      </c>
      <c r="R13" s="246" t="s">
        <v>4879</v>
      </c>
      <c r="S13" s="247"/>
      <c r="T13" s="247"/>
      <c r="U13" s="247"/>
      <c r="V13" s="247"/>
      <c r="W13" s="247"/>
      <c r="X13" s="247"/>
      <c r="Y13" s="247"/>
      <c r="Z13" s="247"/>
      <c r="AA13" s="247"/>
      <c r="AB13" s="247"/>
      <c r="AC13" s="247"/>
      <c r="AD13" s="247"/>
    </row>
    <row r="14">
      <c r="A14" s="246" t="s">
        <v>4895</v>
      </c>
      <c r="B14" s="246" t="s">
        <v>4879</v>
      </c>
      <c r="C14" s="246" t="s">
        <v>4896</v>
      </c>
      <c r="D14" s="246" t="s">
        <v>4880</v>
      </c>
      <c r="E14" s="246" t="s">
        <v>10</v>
      </c>
      <c r="F14" s="246"/>
      <c r="G14" s="246" t="s">
        <v>4881</v>
      </c>
      <c r="H14" s="246"/>
      <c r="I14" s="247"/>
      <c r="J14" s="247"/>
      <c r="K14" s="247"/>
      <c r="L14" s="247"/>
      <c r="M14" s="247"/>
      <c r="N14" s="247"/>
      <c r="O14" s="247"/>
      <c r="P14" s="246" t="s">
        <v>4888</v>
      </c>
      <c r="Q14" s="246" t="s">
        <v>4878</v>
      </c>
      <c r="R14" s="246" t="s">
        <v>4889</v>
      </c>
      <c r="S14" s="246"/>
      <c r="T14" s="247"/>
      <c r="U14" s="247"/>
      <c r="V14" s="247"/>
      <c r="W14" s="247"/>
      <c r="X14" s="247"/>
      <c r="Y14" s="247"/>
      <c r="Z14" s="247"/>
      <c r="AA14" s="247"/>
      <c r="AB14" s="247"/>
      <c r="AC14" s="247"/>
      <c r="AD14" s="247"/>
    </row>
    <row r="15">
      <c r="A15" s="246" t="s">
        <v>4897</v>
      </c>
      <c r="B15" s="246" t="s">
        <v>4879</v>
      </c>
      <c r="C15" s="246" t="s">
        <v>4896</v>
      </c>
      <c r="D15" s="246" t="s">
        <v>4884</v>
      </c>
      <c r="E15" s="246" t="s">
        <v>4881</v>
      </c>
      <c r="F15" s="246"/>
      <c r="G15" s="246" t="s">
        <v>4881</v>
      </c>
      <c r="H15" s="246"/>
      <c r="I15" s="247"/>
      <c r="J15" s="247"/>
      <c r="K15" s="247"/>
      <c r="L15" s="247"/>
      <c r="M15" s="247"/>
      <c r="N15" s="247"/>
      <c r="O15" s="247"/>
      <c r="P15" s="246" t="s">
        <v>4893</v>
      </c>
      <c r="Q15" s="246" t="s">
        <v>4879</v>
      </c>
      <c r="R15" s="246" t="s">
        <v>4889</v>
      </c>
      <c r="S15" s="247"/>
      <c r="T15" s="247"/>
      <c r="U15" s="247"/>
      <c r="V15" s="247"/>
      <c r="W15" s="247"/>
      <c r="X15" s="247"/>
      <c r="Y15" s="247"/>
      <c r="Z15" s="247"/>
      <c r="AA15" s="247"/>
      <c r="AB15" s="247"/>
      <c r="AC15" s="247"/>
      <c r="AD15" s="247"/>
    </row>
    <row r="16">
      <c r="A16" s="246" t="s">
        <v>4898</v>
      </c>
      <c r="B16" s="246" t="s">
        <v>4879</v>
      </c>
      <c r="C16" s="246" t="s">
        <v>4896</v>
      </c>
      <c r="D16" s="246" t="s">
        <v>4887</v>
      </c>
      <c r="E16" s="246" t="s">
        <v>10</v>
      </c>
      <c r="F16" s="246"/>
      <c r="G16" s="246" t="s">
        <v>4881</v>
      </c>
      <c r="H16" s="246"/>
      <c r="I16" s="247"/>
      <c r="J16" s="247"/>
      <c r="K16" s="247"/>
      <c r="L16" s="247"/>
      <c r="M16" s="247"/>
      <c r="N16" s="247"/>
      <c r="O16" s="247"/>
      <c r="P16" s="246" t="s">
        <v>4895</v>
      </c>
      <c r="Q16" s="246" t="s">
        <v>4879</v>
      </c>
      <c r="R16" s="246" t="s">
        <v>4896</v>
      </c>
      <c r="S16" s="247"/>
      <c r="T16" s="247"/>
      <c r="U16" s="247"/>
      <c r="V16" s="247"/>
      <c r="W16" s="247"/>
      <c r="X16" s="247"/>
      <c r="Y16" s="247"/>
      <c r="Z16" s="247"/>
      <c r="AA16" s="247"/>
      <c r="AB16" s="247"/>
      <c r="AC16" s="247"/>
      <c r="AD16" s="247"/>
    </row>
    <row r="17">
      <c r="A17" s="246"/>
      <c r="B17" s="246"/>
      <c r="C17" s="246"/>
      <c r="D17" s="246"/>
      <c r="E17" s="246"/>
      <c r="F17" s="246"/>
      <c r="G17" s="246"/>
      <c r="H17" s="246"/>
      <c r="I17" s="247"/>
      <c r="J17" s="247"/>
      <c r="K17" s="247"/>
      <c r="L17" s="247"/>
      <c r="M17" s="247"/>
      <c r="N17" s="247"/>
      <c r="O17" s="247"/>
      <c r="P17" s="246" t="s">
        <v>4899</v>
      </c>
      <c r="Q17" s="246" t="s">
        <v>4889</v>
      </c>
      <c r="R17" s="246" t="s">
        <v>4900</v>
      </c>
      <c r="S17" s="247"/>
      <c r="T17" s="247"/>
      <c r="U17" s="247"/>
      <c r="V17" s="247"/>
      <c r="W17" s="247"/>
      <c r="X17" s="247"/>
      <c r="Y17" s="247"/>
      <c r="Z17" s="247"/>
      <c r="AA17" s="247"/>
      <c r="AB17" s="247"/>
      <c r="AC17" s="247"/>
      <c r="AD17" s="247"/>
    </row>
    <row r="18">
      <c r="A18" s="246" t="s">
        <v>4899</v>
      </c>
      <c r="B18" s="246" t="s">
        <v>4889</v>
      </c>
      <c r="C18" s="246" t="s">
        <v>4900</v>
      </c>
      <c r="D18" s="246" t="s">
        <v>4880</v>
      </c>
      <c r="E18" s="246" t="s">
        <v>4892</v>
      </c>
      <c r="F18" s="246"/>
      <c r="G18" s="247" t="s">
        <v>4881</v>
      </c>
      <c r="H18" s="246"/>
      <c r="I18" s="247"/>
      <c r="J18" s="247"/>
      <c r="K18" s="247"/>
      <c r="L18" s="247"/>
      <c r="M18" s="247"/>
      <c r="N18" s="247"/>
      <c r="O18" s="247"/>
      <c r="P18" s="246" t="s">
        <v>4901</v>
      </c>
      <c r="Q18" s="246" t="s">
        <v>4900</v>
      </c>
      <c r="R18" s="246" t="s">
        <v>4889</v>
      </c>
      <c r="S18" s="247"/>
      <c r="T18" s="247"/>
      <c r="U18" s="247"/>
      <c r="V18" s="247"/>
      <c r="W18" s="247"/>
      <c r="X18" s="247"/>
      <c r="Y18" s="247"/>
      <c r="Z18" s="247"/>
      <c r="AA18" s="247"/>
      <c r="AB18" s="247"/>
      <c r="AC18" s="247"/>
      <c r="AD18" s="247"/>
    </row>
    <row r="19">
      <c r="A19" s="246" t="s">
        <v>4899</v>
      </c>
      <c r="B19" s="246" t="s">
        <v>4889</v>
      </c>
      <c r="C19" s="246" t="s">
        <v>4900</v>
      </c>
      <c r="D19" s="246" t="s">
        <v>4884</v>
      </c>
      <c r="E19" s="246" t="s">
        <v>4892</v>
      </c>
      <c r="F19" s="246"/>
      <c r="G19" s="247" t="s">
        <v>4881</v>
      </c>
      <c r="H19" s="246"/>
      <c r="I19" s="247"/>
      <c r="J19" s="247"/>
      <c r="K19" s="247"/>
      <c r="L19" s="247"/>
      <c r="M19" s="247"/>
      <c r="N19" s="247"/>
      <c r="O19" s="247"/>
      <c r="P19" s="246" t="s">
        <v>4902</v>
      </c>
      <c r="Q19" s="246" t="s">
        <v>4889</v>
      </c>
      <c r="R19" s="246" t="s">
        <v>4903</v>
      </c>
      <c r="S19" s="247"/>
      <c r="T19" s="247"/>
      <c r="U19" s="247"/>
      <c r="V19" s="247"/>
      <c r="W19" s="247"/>
      <c r="X19" s="247"/>
      <c r="Y19" s="247"/>
      <c r="Z19" s="247"/>
      <c r="AA19" s="247"/>
      <c r="AB19" s="247"/>
      <c r="AC19" s="247"/>
      <c r="AD19" s="247"/>
    </row>
    <row r="20">
      <c r="A20" s="246" t="s">
        <v>4899</v>
      </c>
      <c r="B20" s="246" t="s">
        <v>4889</v>
      </c>
      <c r="C20" s="246" t="s">
        <v>4900</v>
      </c>
      <c r="D20" s="246" t="s">
        <v>4887</v>
      </c>
      <c r="E20" s="246" t="s">
        <v>4892</v>
      </c>
      <c r="F20" s="246"/>
      <c r="G20" s="247" t="s">
        <v>4881</v>
      </c>
      <c r="H20" s="246"/>
      <c r="I20" s="247"/>
      <c r="J20" s="247"/>
      <c r="K20" s="247"/>
      <c r="L20" s="247"/>
      <c r="M20" s="247"/>
      <c r="N20" s="247"/>
      <c r="O20" s="247"/>
      <c r="P20" s="246" t="s">
        <v>4904</v>
      </c>
      <c r="Q20" s="246" t="s">
        <v>4903</v>
      </c>
      <c r="R20" s="246" t="s">
        <v>4889</v>
      </c>
      <c r="S20" s="247"/>
      <c r="T20" s="247"/>
      <c r="U20" s="247"/>
      <c r="V20" s="247"/>
      <c r="W20" s="247"/>
      <c r="X20" s="247"/>
      <c r="Y20" s="247"/>
      <c r="Z20" s="247"/>
      <c r="AA20" s="247"/>
      <c r="AB20" s="247"/>
      <c r="AC20" s="247"/>
      <c r="AD20" s="247"/>
    </row>
    <row r="21" ht="15.75" customHeight="1">
      <c r="A21" s="246"/>
      <c r="B21" s="246"/>
      <c r="C21" s="246"/>
      <c r="D21" s="246"/>
      <c r="E21" s="246"/>
      <c r="F21" s="246"/>
      <c r="G21" s="246"/>
      <c r="H21" s="246"/>
      <c r="I21" s="247"/>
      <c r="J21" s="247"/>
      <c r="K21" s="247"/>
      <c r="L21" s="247"/>
      <c r="M21" s="247"/>
      <c r="N21" s="247"/>
      <c r="O21" s="247"/>
      <c r="P21" s="246" t="s">
        <v>4905</v>
      </c>
      <c r="Q21" s="246" t="s">
        <v>4889</v>
      </c>
      <c r="R21" s="246" t="s">
        <v>4896</v>
      </c>
      <c r="S21" s="247"/>
      <c r="T21" s="247"/>
      <c r="U21" s="247"/>
      <c r="V21" s="247"/>
      <c r="W21" s="247"/>
      <c r="X21" s="247"/>
      <c r="Y21" s="247"/>
      <c r="Z21" s="247"/>
      <c r="AA21" s="247"/>
      <c r="AB21" s="247"/>
      <c r="AC21" s="247"/>
      <c r="AD21" s="247"/>
    </row>
    <row r="22" ht="15.75" customHeight="1">
      <c r="A22" s="246" t="s">
        <v>4901</v>
      </c>
      <c r="B22" s="246" t="s">
        <v>4900</v>
      </c>
      <c r="C22" s="246" t="s">
        <v>4889</v>
      </c>
      <c r="D22" s="246" t="s">
        <v>4880</v>
      </c>
      <c r="E22" s="246" t="s">
        <v>4892</v>
      </c>
      <c r="F22" s="246"/>
      <c r="G22" s="247" t="s">
        <v>4881</v>
      </c>
      <c r="H22" s="246"/>
      <c r="I22" s="247"/>
      <c r="J22" s="247"/>
      <c r="K22" s="247"/>
      <c r="L22" s="247"/>
      <c r="M22" s="247"/>
      <c r="N22" s="247"/>
      <c r="O22" s="247"/>
      <c r="P22" s="246" t="s">
        <v>4906</v>
      </c>
      <c r="Q22" s="246" t="s">
        <v>4879</v>
      </c>
      <c r="R22" s="246" t="s">
        <v>4878</v>
      </c>
      <c r="S22" s="247"/>
      <c r="T22" s="247"/>
      <c r="U22" s="247"/>
      <c r="V22" s="247"/>
      <c r="W22" s="247"/>
      <c r="X22" s="247"/>
      <c r="Y22" s="247"/>
      <c r="Z22" s="247"/>
      <c r="AA22" s="247"/>
      <c r="AB22" s="247"/>
      <c r="AC22" s="247"/>
      <c r="AD22" s="247"/>
    </row>
    <row r="23" ht="15.75" customHeight="1">
      <c r="A23" s="246" t="s">
        <v>4901</v>
      </c>
      <c r="B23" s="246" t="s">
        <v>4900</v>
      </c>
      <c r="C23" s="246" t="s">
        <v>4889</v>
      </c>
      <c r="D23" s="246" t="s">
        <v>4884</v>
      </c>
      <c r="E23" s="246" t="s">
        <v>4892</v>
      </c>
      <c r="F23" s="246"/>
      <c r="G23" s="247" t="s">
        <v>4881</v>
      </c>
      <c r="H23" s="246"/>
      <c r="I23" s="247"/>
      <c r="J23" s="247"/>
      <c r="K23" s="247"/>
      <c r="L23" s="247"/>
      <c r="M23" s="247"/>
      <c r="N23" s="247"/>
      <c r="O23" s="247"/>
      <c r="P23" s="246" t="s">
        <v>4907</v>
      </c>
      <c r="Q23" s="246" t="s">
        <v>4879</v>
      </c>
      <c r="R23" s="246" t="s">
        <v>4878</v>
      </c>
      <c r="S23" s="247"/>
      <c r="T23" s="247"/>
      <c r="U23" s="247"/>
      <c r="V23" s="247"/>
      <c r="W23" s="247"/>
      <c r="X23" s="247"/>
      <c r="Y23" s="247"/>
      <c r="Z23" s="247"/>
      <c r="AA23" s="247"/>
      <c r="AB23" s="247"/>
      <c r="AC23" s="247"/>
      <c r="AD23" s="247"/>
    </row>
    <row r="24" ht="15.75" customHeight="1">
      <c r="A24" s="246" t="s">
        <v>4901</v>
      </c>
      <c r="B24" s="246" t="s">
        <v>4900</v>
      </c>
      <c r="C24" s="246" t="s">
        <v>4889</v>
      </c>
      <c r="D24" s="246" t="s">
        <v>4887</v>
      </c>
      <c r="E24" s="246" t="s">
        <v>4892</v>
      </c>
      <c r="F24" s="246"/>
      <c r="G24" s="247" t="s">
        <v>4881</v>
      </c>
      <c r="H24" s="246"/>
      <c r="I24" s="247"/>
      <c r="J24" s="247"/>
      <c r="K24" s="247"/>
      <c r="L24" s="247"/>
      <c r="M24" s="247"/>
      <c r="N24" s="247"/>
      <c r="O24" s="247"/>
      <c r="P24" s="249" t="s">
        <v>4908</v>
      </c>
      <c r="Q24" s="246" t="s">
        <v>4889</v>
      </c>
      <c r="R24" s="246" t="s">
        <v>4878</v>
      </c>
      <c r="S24" s="247"/>
      <c r="T24" s="247"/>
      <c r="U24" s="247"/>
      <c r="V24" s="247"/>
      <c r="W24" s="247"/>
      <c r="X24" s="247"/>
      <c r="Y24" s="247"/>
      <c r="Z24" s="247"/>
      <c r="AA24" s="247"/>
      <c r="AB24" s="247"/>
      <c r="AC24" s="247"/>
      <c r="AD24" s="247"/>
    </row>
    <row r="25" ht="15.75" customHeight="1">
      <c r="A25" s="246"/>
      <c r="B25" s="246"/>
      <c r="C25" s="246"/>
      <c r="D25" s="246"/>
      <c r="E25" s="246"/>
      <c r="F25" s="246"/>
      <c r="G25" s="246"/>
      <c r="H25" s="246"/>
      <c r="I25" s="247"/>
      <c r="J25" s="247"/>
      <c r="K25" s="247"/>
      <c r="L25" s="247"/>
      <c r="M25" s="247"/>
      <c r="N25" s="247"/>
      <c r="O25" s="247"/>
      <c r="P25" s="246" t="s">
        <v>4909</v>
      </c>
      <c r="Q25" s="246" t="s">
        <v>4903</v>
      </c>
      <c r="R25" s="246" t="s">
        <v>4879</v>
      </c>
      <c r="S25" s="247"/>
      <c r="T25" s="247"/>
      <c r="U25" s="247"/>
      <c r="V25" s="247"/>
      <c r="W25" s="247"/>
      <c r="X25" s="247"/>
      <c r="Y25" s="247"/>
      <c r="Z25" s="247"/>
      <c r="AA25" s="247"/>
      <c r="AB25" s="247"/>
      <c r="AC25" s="247"/>
      <c r="AD25" s="247"/>
    </row>
    <row r="26" ht="15.75" customHeight="1">
      <c r="A26" s="246" t="s">
        <v>4902</v>
      </c>
      <c r="B26" s="246" t="s">
        <v>4889</v>
      </c>
      <c r="C26" s="246" t="s">
        <v>4903</v>
      </c>
      <c r="D26" s="246" t="s">
        <v>4880</v>
      </c>
      <c r="E26" s="246" t="s">
        <v>4892</v>
      </c>
      <c r="F26" s="246"/>
      <c r="G26" s="247" t="s">
        <v>4881</v>
      </c>
      <c r="H26" s="246"/>
      <c r="I26" s="247"/>
      <c r="J26" s="247"/>
      <c r="K26" s="247"/>
      <c r="L26" s="247"/>
      <c r="M26" s="247"/>
      <c r="N26" s="247"/>
      <c r="O26" s="247"/>
      <c r="P26" s="246" t="s">
        <v>4910</v>
      </c>
      <c r="Q26" s="246" t="s">
        <v>4896</v>
      </c>
      <c r="R26" s="246" t="s">
        <v>4879</v>
      </c>
      <c r="S26" s="247"/>
      <c r="T26" s="247"/>
      <c r="U26" s="247"/>
      <c r="V26" s="247"/>
      <c r="W26" s="247"/>
      <c r="X26" s="247"/>
      <c r="Y26" s="247"/>
      <c r="Z26" s="247"/>
      <c r="AA26" s="247"/>
      <c r="AB26" s="247"/>
      <c r="AC26" s="247"/>
      <c r="AD26" s="247"/>
    </row>
    <row r="27" ht="15.75" customHeight="1">
      <c r="A27" s="246" t="s">
        <v>4902</v>
      </c>
      <c r="B27" s="246" t="s">
        <v>4889</v>
      </c>
      <c r="C27" s="246" t="s">
        <v>4903</v>
      </c>
      <c r="D27" s="246" t="s">
        <v>4884</v>
      </c>
      <c r="E27" s="246" t="s">
        <v>4892</v>
      </c>
      <c r="F27" s="246"/>
      <c r="G27" s="247" t="s">
        <v>4881</v>
      </c>
      <c r="H27" s="246"/>
      <c r="I27" s="247"/>
      <c r="J27" s="247"/>
      <c r="K27" s="247"/>
      <c r="L27" s="247"/>
      <c r="M27" s="247"/>
      <c r="N27" s="247"/>
      <c r="O27" s="247"/>
      <c r="P27" s="246" t="s">
        <v>4911</v>
      </c>
      <c r="Q27" s="246" t="s">
        <v>4896</v>
      </c>
      <c r="R27" s="246" t="s">
        <v>4889</v>
      </c>
      <c r="S27" s="247"/>
      <c r="T27" s="247"/>
      <c r="U27" s="247"/>
      <c r="V27" s="247"/>
      <c r="W27" s="247"/>
      <c r="X27" s="247"/>
      <c r="Y27" s="247"/>
      <c r="Z27" s="247"/>
      <c r="AA27" s="247"/>
      <c r="AB27" s="247"/>
      <c r="AC27" s="247"/>
      <c r="AD27" s="247"/>
    </row>
    <row r="28" ht="15.75" customHeight="1">
      <c r="A28" s="246" t="s">
        <v>4902</v>
      </c>
      <c r="B28" s="246" t="s">
        <v>4889</v>
      </c>
      <c r="C28" s="246" t="s">
        <v>4903</v>
      </c>
      <c r="D28" s="246" t="s">
        <v>4887</v>
      </c>
      <c r="E28" s="246" t="s">
        <v>4892</v>
      </c>
      <c r="F28" s="246"/>
      <c r="G28" s="247" t="s">
        <v>4881</v>
      </c>
      <c r="H28" s="246"/>
      <c r="I28" s="247"/>
      <c r="J28" s="247"/>
      <c r="K28" s="247"/>
      <c r="L28" s="247"/>
      <c r="M28" s="247"/>
      <c r="N28" s="247"/>
      <c r="O28" s="247"/>
      <c r="P28" s="246" t="s">
        <v>4912</v>
      </c>
      <c r="Q28" s="246" t="s">
        <v>4903</v>
      </c>
      <c r="R28" s="246" t="s">
        <v>4889</v>
      </c>
      <c r="S28" s="247"/>
      <c r="T28" s="247"/>
      <c r="U28" s="247"/>
      <c r="V28" s="247"/>
      <c r="W28" s="247"/>
      <c r="X28" s="247"/>
      <c r="Y28" s="247"/>
      <c r="Z28" s="247"/>
      <c r="AA28" s="247"/>
      <c r="AB28" s="247"/>
      <c r="AC28" s="247"/>
      <c r="AD28" s="247"/>
    </row>
    <row r="29" ht="15.75" customHeight="1">
      <c r="A29" s="246"/>
      <c r="B29" s="246"/>
      <c r="C29" s="246"/>
      <c r="D29" s="246"/>
      <c r="E29" s="246"/>
      <c r="F29" s="246"/>
      <c r="G29" s="246"/>
      <c r="H29" s="246"/>
      <c r="I29" s="247"/>
      <c r="J29" s="247"/>
      <c r="K29" s="247"/>
      <c r="L29" s="247"/>
      <c r="M29" s="247"/>
      <c r="N29" s="247"/>
      <c r="O29" s="247"/>
      <c r="P29" s="246" t="s">
        <v>4913</v>
      </c>
      <c r="Q29" s="246" t="s">
        <v>4889</v>
      </c>
      <c r="R29" s="246" t="s">
        <v>4903</v>
      </c>
      <c r="S29" s="247"/>
      <c r="T29" s="247"/>
      <c r="U29" s="247"/>
      <c r="V29" s="247"/>
      <c r="W29" s="247"/>
      <c r="X29" s="247"/>
      <c r="Y29" s="247"/>
      <c r="Z29" s="247"/>
      <c r="AA29" s="247"/>
      <c r="AB29" s="247"/>
      <c r="AC29" s="247"/>
      <c r="AD29" s="247"/>
    </row>
    <row r="30" ht="15.75" customHeight="1">
      <c r="A30" s="246" t="s">
        <v>4904</v>
      </c>
      <c r="B30" s="246" t="s">
        <v>4903</v>
      </c>
      <c r="C30" s="246" t="s">
        <v>4889</v>
      </c>
      <c r="D30" s="246" t="s">
        <v>4880</v>
      </c>
      <c r="E30" s="246" t="s">
        <v>4892</v>
      </c>
      <c r="F30" s="246"/>
      <c r="G30" s="247" t="s">
        <v>4881</v>
      </c>
      <c r="H30" s="246"/>
      <c r="I30" s="247"/>
      <c r="J30" s="247"/>
      <c r="K30" s="247"/>
      <c r="L30" s="247"/>
      <c r="M30" s="247"/>
      <c r="N30" s="247"/>
      <c r="O30" s="247"/>
      <c r="S30" s="247"/>
      <c r="T30" s="247"/>
      <c r="U30" s="247"/>
      <c r="V30" s="247"/>
      <c r="W30" s="247"/>
      <c r="X30" s="247"/>
      <c r="Y30" s="247"/>
      <c r="Z30" s="247"/>
      <c r="AA30" s="247"/>
      <c r="AB30" s="247"/>
      <c r="AC30" s="247"/>
      <c r="AD30" s="247"/>
    </row>
    <row r="31" ht="15.75" customHeight="1">
      <c r="A31" s="246" t="s">
        <v>4904</v>
      </c>
      <c r="B31" s="246" t="s">
        <v>4903</v>
      </c>
      <c r="C31" s="246" t="s">
        <v>4889</v>
      </c>
      <c r="D31" s="246" t="s">
        <v>4884</v>
      </c>
      <c r="E31" s="246" t="s">
        <v>4892</v>
      </c>
      <c r="F31" s="246"/>
      <c r="G31" s="247" t="s">
        <v>4881</v>
      </c>
      <c r="H31" s="246"/>
      <c r="I31" s="247"/>
      <c r="J31" s="247"/>
      <c r="K31" s="247"/>
      <c r="L31" s="247"/>
      <c r="M31" s="247"/>
      <c r="N31" s="247"/>
      <c r="O31" s="247"/>
      <c r="P31" s="247"/>
      <c r="Q31" s="247"/>
      <c r="R31" s="247"/>
      <c r="S31" s="247"/>
      <c r="T31" s="247"/>
      <c r="U31" s="247"/>
      <c r="V31" s="247"/>
      <c r="W31" s="247"/>
      <c r="X31" s="247"/>
      <c r="Y31" s="247"/>
      <c r="Z31" s="247"/>
      <c r="AA31" s="247"/>
      <c r="AB31" s="247"/>
      <c r="AC31" s="247"/>
      <c r="AD31" s="247"/>
    </row>
    <row r="32" ht="15.75" customHeight="1">
      <c r="A32" s="246" t="s">
        <v>4904</v>
      </c>
      <c r="B32" s="246" t="s">
        <v>4903</v>
      </c>
      <c r="C32" s="246" t="s">
        <v>4889</v>
      </c>
      <c r="D32" s="246" t="s">
        <v>4887</v>
      </c>
      <c r="E32" s="246" t="s">
        <v>4892</v>
      </c>
      <c r="F32" s="246"/>
      <c r="G32" s="247" t="s">
        <v>4881</v>
      </c>
      <c r="H32" s="246"/>
      <c r="I32" s="247"/>
      <c r="J32" s="247"/>
      <c r="K32" s="247"/>
      <c r="L32" s="247"/>
      <c r="M32" s="247"/>
      <c r="N32" s="247"/>
      <c r="O32" s="247"/>
      <c r="P32" s="247"/>
      <c r="Q32" s="247"/>
      <c r="R32" s="247"/>
      <c r="S32" s="247"/>
      <c r="T32" s="247"/>
      <c r="U32" s="247"/>
      <c r="V32" s="247"/>
      <c r="W32" s="247"/>
      <c r="X32" s="247"/>
      <c r="Y32" s="247"/>
      <c r="Z32" s="247"/>
      <c r="AA32" s="247"/>
      <c r="AB32" s="247"/>
      <c r="AC32" s="247"/>
      <c r="AD32" s="247"/>
    </row>
    <row r="33" ht="15.75" customHeight="1">
      <c r="A33" s="246"/>
      <c r="B33" s="246"/>
      <c r="C33" s="246"/>
      <c r="D33" s="246"/>
      <c r="E33" s="246"/>
      <c r="F33" s="246"/>
      <c r="G33" s="246"/>
      <c r="H33" s="246"/>
      <c r="I33" s="247"/>
      <c r="J33" s="247"/>
      <c r="K33" s="247"/>
      <c r="L33" s="247"/>
      <c r="M33" s="247"/>
      <c r="N33" s="247"/>
      <c r="O33" s="247"/>
      <c r="P33" s="247"/>
      <c r="Q33" s="247"/>
      <c r="R33" s="247"/>
      <c r="S33" s="247"/>
      <c r="T33" s="247"/>
      <c r="U33" s="247"/>
      <c r="V33" s="247"/>
      <c r="W33" s="247"/>
      <c r="X33" s="247"/>
      <c r="Y33" s="247"/>
      <c r="Z33" s="247"/>
      <c r="AA33" s="247"/>
      <c r="AB33" s="247"/>
      <c r="AC33" s="247"/>
      <c r="AD33" s="247"/>
    </row>
    <row r="34" ht="15.75" customHeight="1">
      <c r="A34" s="246" t="s">
        <v>4905</v>
      </c>
      <c r="B34" s="246" t="s">
        <v>4889</v>
      </c>
      <c r="C34" s="246" t="s">
        <v>4896</v>
      </c>
      <c r="D34" s="246" t="s">
        <v>4880</v>
      </c>
      <c r="E34" s="247" t="s">
        <v>4890</v>
      </c>
      <c r="F34" s="246" t="s">
        <v>4891</v>
      </c>
      <c r="G34" s="247" t="s">
        <v>4881</v>
      </c>
      <c r="H34" s="246"/>
      <c r="I34" s="247"/>
      <c r="J34" s="247"/>
      <c r="K34" s="247"/>
      <c r="L34" s="247"/>
      <c r="M34" s="247"/>
      <c r="N34" s="247"/>
      <c r="O34" s="247"/>
      <c r="P34" s="247"/>
      <c r="Q34" s="247"/>
      <c r="R34" s="247"/>
      <c r="S34" s="247"/>
      <c r="T34" s="247"/>
      <c r="U34" s="247"/>
      <c r="V34" s="247"/>
      <c r="W34" s="247"/>
      <c r="X34" s="247"/>
      <c r="Y34" s="247"/>
      <c r="Z34" s="247"/>
      <c r="AA34" s="247"/>
      <c r="AB34" s="247"/>
      <c r="AC34" s="247"/>
      <c r="AD34" s="247"/>
    </row>
    <row r="35" ht="15.75" customHeight="1">
      <c r="A35" s="246" t="s">
        <v>4905</v>
      </c>
      <c r="B35" s="246" t="s">
        <v>4889</v>
      </c>
      <c r="C35" s="246" t="s">
        <v>4896</v>
      </c>
      <c r="D35" s="246" t="s">
        <v>4884</v>
      </c>
      <c r="E35" s="247" t="s">
        <v>10</v>
      </c>
      <c r="F35" s="247"/>
      <c r="G35" s="247" t="s">
        <v>4881</v>
      </c>
      <c r="H35" s="246"/>
      <c r="I35" s="247"/>
      <c r="J35" s="247"/>
      <c r="K35" s="247"/>
      <c r="L35" s="247"/>
      <c r="M35" s="247"/>
      <c r="N35" s="247"/>
      <c r="O35" s="247"/>
      <c r="P35" s="247"/>
      <c r="Q35" s="247"/>
      <c r="R35" s="247"/>
      <c r="S35" s="247"/>
      <c r="T35" s="247"/>
      <c r="U35" s="247"/>
      <c r="V35" s="247"/>
      <c r="W35" s="247"/>
      <c r="X35" s="247"/>
      <c r="Y35" s="247"/>
      <c r="Z35" s="247"/>
      <c r="AA35" s="247"/>
      <c r="AB35" s="247"/>
      <c r="AC35" s="247"/>
      <c r="AD35" s="247"/>
    </row>
    <row r="36" ht="15.75" customHeight="1">
      <c r="A36" s="246" t="s">
        <v>4905</v>
      </c>
      <c r="B36" s="246" t="s">
        <v>4889</v>
      </c>
      <c r="C36" s="246" t="s">
        <v>4896</v>
      </c>
      <c r="D36" s="246" t="s">
        <v>4887</v>
      </c>
      <c r="E36" s="247" t="s">
        <v>10</v>
      </c>
      <c r="F36" s="247"/>
      <c r="G36" s="247" t="s">
        <v>4881</v>
      </c>
      <c r="H36" s="246"/>
      <c r="I36" s="247"/>
      <c r="J36" s="247"/>
      <c r="K36" s="247"/>
      <c r="L36" s="247"/>
      <c r="M36" s="247"/>
      <c r="N36" s="247"/>
      <c r="O36" s="247"/>
      <c r="P36" s="247"/>
      <c r="Q36" s="247"/>
      <c r="R36" s="247"/>
      <c r="S36" s="247"/>
      <c r="T36" s="247"/>
      <c r="U36" s="247"/>
      <c r="V36" s="247"/>
      <c r="W36" s="247"/>
      <c r="X36" s="247"/>
      <c r="Y36" s="247"/>
      <c r="Z36" s="247"/>
      <c r="AA36" s="247"/>
      <c r="AB36" s="247"/>
      <c r="AC36" s="247"/>
      <c r="AD36" s="247"/>
    </row>
    <row r="37" ht="15.7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c r="AA37" s="247"/>
      <c r="AB37" s="247"/>
      <c r="AC37" s="247"/>
      <c r="AD37" s="247"/>
    </row>
    <row r="38" ht="15.75" customHeight="1">
      <c r="A38" s="246" t="s">
        <v>4906</v>
      </c>
      <c r="B38" s="246" t="s">
        <v>4879</v>
      </c>
      <c r="C38" s="246" t="s">
        <v>4878</v>
      </c>
      <c r="D38" s="246" t="s">
        <v>4880</v>
      </c>
      <c r="E38" s="247" t="s">
        <v>4881</v>
      </c>
      <c r="F38" s="247"/>
      <c r="G38" s="246" t="s">
        <v>4881</v>
      </c>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row>
    <row r="39" ht="15.75" customHeight="1">
      <c r="A39" s="246" t="s">
        <v>4906</v>
      </c>
      <c r="B39" s="246" t="s">
        <v>4879</v>
      </c>
      <c r="C39" s="246" t="s">
        <v>4878</v>
      </c>
      <c r="D39" s="246" t="s">
        <v>4884</v>
      </c>
      <c r="E39" s="247" t="s">
        <v>4881</v>
      </c>
      <c r="F39" s="247"/>
      <c r="G39" s="246" t="s">
        <v>4881</v>
      </c>
      <c r="H39" s="247"/>
      <c r="I39" s="247"/>
      <c r="J39" s="247"/>
      <c r="K39" s="247"/>
      <c r="L39" s="247"/>
      <c r="M39" s="247"/>
      <c r="N39" s="247"/>
      <c r="O39" s="247"/>
      <c r="P39" s="247"/>
      <c r="Q39" s="247"/>
      <c r="R39" s="247"/>
      <c r="S39" s="247"/>
      <c r="T39" s="247"/>
      <c r="U39" s="247"/>
      <c r="V39" s="247"/>
      <c r="W39" s="247"/>
      <c r="X39" s="247"/>
      <c r="Y39" s="247"/>
      <c r="Z39" s="247"/>
      <c r="AA39" s="247"/>
      <c r="AB39" s="247"/>
      <c r="AC39" s="247"/>
      <c r="AD39" s="247"/>
    </row>
    <row r="40" ht="15.75" customHeight="1">
      <c r="A40" s="246" t="s">
        <v>4906</v>
      </c>
      <c r="B40" s="246" t="s">
        <v>4879</v>
      </c>
      <c r="C40" s="246" t="s">
        <v>4878</v>
      </c>
      <c r="D40" s="246" t="s">
        <v>4887</v>
      </c>
      <c r="E40" s="247" t="s">
        <v>4881</v>
      </c>
      <c r="F40" s="247"/>
      <c r="G40" s="246" t="s">
        <v>4881</v>
      </c>
      <c r="H40" s="247"/>
      <c r="I40" s="247"/>
      <c r="J40" s="247"/>
      <c r="K40" s="247"/>
      <c r="L40" s="247"/>
      <c r="M40" s="247"/>
      <c r="N40" s="247"/>
      <c r="O40" s="247"/>
      <c r="P40" s="247"/>
      <c r="Q40" s="247"/>
      <c r="R40" s="247"/>
      <c r="S40" s="247"/>
      <c r="T40" s="247"/>
      <c r="U40" s="247"/>
      <c r="V40" s="247"/>
      <c r="W40" s="247"/>
      <c r="X40" s="247"/>
      <c r="Y40" s="247"/>
      <c r="Z40" s="247"/>
      <c r="AA40" s="247"/>
      <c r="AB40" s="247"/>
      <c r="AC40" s="247"/>
      <c r="AD40" s="247"/>
    </row>
    <row r="41" ht="15.75" customHeight="1">
      <c r="A41" s="246"/>
      <c r="B41" s="246"/>
      <c r="C41" s="246"/>
      <c r="D41" s="247"/>
      <c r="E41" s="247"/>
      <c r="F41" s="247"/>
      <c r="G41" s="247"/>
      <c r="H41" s="247"/>
      <c r="I41" s="247"/>
      <c r="J41" s="247"/>
      <c r="K41" s="247"/>
      <c r="L41" s="247"/>
      <c r="M41" s="247"/>
      <c r="N41" s="247"/>
      <c r="O41" s="247"/>
      <c r="P41" s="247"/>
      <c r="Q41" s="247"/>
      <c r="R41" s="247"/>
      <c r="S41" s="247"/>
      <c r="T41" s="247"/>
      <c r="U41" s="247"/>
      <c r="V41" s="247"/>
      <c r="W41" s="247"/>
      <c r="X41" s="247"/>
      <c r="Y41" s="247"/>
      <c r="Z41" s="247"/>
      <c r="AA41" s="247"/>
      <c r="AB41" s="247"/>
      <c r="AC41" s="247"/>
      <c r="AD41" s="247"/>
    </row>
    <row r="42" ht="15.75" customHeight="1">
      <c r="A42" s="246" t="s">
        <v>4907</v>
      </c>
      <c r="B42" s="246" t="s">
        <v>4889</v>
      </c>
      <c r="C42" s="246" t="s">
        <v>4879</v>
      </c>
      <c r="D42" s="246" t="s">
        <v>4880</v>
      </c>
      <c r="E42" s="247" t="s">
        <v>4881</v>
      </c>
      <c r="F42" s="247"/>
      <c r="G42" s="246" t="s">
        <v>4881</v>
      </c>
      <c r="H42" s="247"/>
      <c r="I42" s="247"/>
      <c r="J42" s="247"/>
      <c r="K42" s="247"/>
      <c r="L42" s="247"/>
      <c r="M42" s="247"/>
      <c r="N42" s="247"/>
      <c r="O42" s="247"/>
      <c r="P42" s="247"/>
      <c r="Q42" s="247"/>
      <c r="R42" s="247"/>
      <c r="S42" s="247"/>
      <c r="T42" s="247"/>
      <c r="U42" s="247"/>
      <c r="V42" s="247"/>
      <c r="W42" s="247"/>
      <c r="X42" s="247"/>
      <c r="Y42" s="247"/>
      <c r="Z42" s="247"/>
      <c r="AA42" s="247"/>
      <c r="AB42" s="247"/>
      <c r="AC42" s="247"/>
      <c r="AD42" s="247"/>
    </row>
    <row r="43" ht="15.75" customHeight="1">
      <c r="A43" s="246" t="s">
        <v>4907</v>
      </c>
      <c r="B43" s="246" t="s">
        <v>4889</v>
      </c>
      <c r="C43" s="246" t="s">
        <v>4879</v>
      </c>
      <c r="D43" s="246" t="s">
        <v>4884</v>
      </c>
      <c r="E43" s="247" t="s">
        <v>4881</v>
      </c>
      <c r="F43" s="247"/>
      <c r="G43" s="246" t="s">
        <v>4881</v>
      </c>
      <c r="H43" s="247"/>
      <c r="I43" s="247"/>
      <c r="J43" s="247"/>
      <c r="K43" s="247"/>
      <c r="L43" s="247"/>
      <c r="M43" s="247"/>
      <c r="N43" s="247"/>
      <c r="O43" s="247"/>
      <c r="P43" s="247"/>
      <c r="Q43" s="247"/>
      <c r="R43" s="247"/>
      <c r="S43" s="247"/>
      <c r="T43" s="247"/>
      <c r="U43" s="247"/>
      <c r="V43" s="247"/>
      <c r="W43" s="247"/>
      <c r="X43" s="247"/>
      <c r="Y43" s="247"/>
      <c r="Z43" s="247"/>
      <c r="AA43" s="247"/>
      <c r="AB43" s="247"/>
      <c r="AC43" s="247"/>
      <c r="AD43" s="247"/>
    </row>
    <row r="44" ht="15.75" customHeight="1">
      <c r="A44" s="246" t="s">
        <v>4907</v>
      </c>
      <c r="B44" s="246" t="s">
        <v>4889</v>
      </c>
      <c r="C44" s="246" t="s">
        <v>4879</v>
      </c>
      <c r="D44" s="246" t="s">
        <v>4887</v>
      </c>
      <c r="E44" s="247" t="s">
        <v>4881</v>
      </c>
      <c r="F44" s="247"/>
      <c r="G44" s="246" t="s">
        <v>4881</v>
      </c>
      <c r="H44" s="247"/>
      <c r="I44" s="247"/>
      <c r="J44" s="247"/>
      <c r="K44" s="247"/>
      <c r="L44" s="247"/>
      <c r="M44" s="247"/>
      <c r="N44" s="247"/>
      <c r="O44" s="247"/>
      <c r="P44" s="247"/>
      <c r="Q44" s="247"/>
      <c r="R44" s="247"/>
      <c r="S44" s="247"/>
      <c r="T44" s="247"/>
      <c r="U44" s="247"/>
      <c r="V44" s="247"/>
      <c r="W44" s="247"/>
      <c r="X44" s="247"/>
      <c r="Y44" s="247"/>
      <c r="Z44" s="247"/>
      <c r="AA44" s="247"/>
      <c r="AB44" s="247"/>
      <c r="AC44" s="247"/>
      <c r="AD44" s="247"/>
    </row>
    <row r="45" ht="15.75" customHeight="1">
      <c r="A45" s="246"/>
      <c r="B45" s="246"/>
      <c r="C45" s="246"/>
      <c r="D45" s="247"/>
      <c r="E45" s="247"/>
      <c r="F45" s="247"/>
      <c r="G45" s="247"/>
      <c r="H45" s="247"/>
      <c r="I45" s="247"/>
      <c r="J45" s="247"/>
      <c r="K45" s="247"/>
      <c r="L45" s="247"/>
      <c r="M45" s="247"/>
      <c r="N45" s="247"/>
      <c r="O45" s="247"/>
      <c r="P45" s="247"/>
      <c r="Q45" s="247"/>
      <c r="R45" s="247"/>
      <c r="S45" s="247"/>
      <c r="T45" s="247"/>
      <c r="U45" s="247"/>
      <c r="V45" s="247"/>
      <c r="W45" s="247"/>
      <c r="X45" s="247"/>
      <c r="Y45" s="247"/>
      <c r="Z45" s="247"/>
      <c r="AA45" s="247"/>
      <c r="AB45" s="247"/>
      <c r="AC45" s="247"/>
      <c r="AD45" s="247"/>
    </row>
    <row r="46" ht="15.75" customHeight="1">
      <c r="A46" s="246"/>
      <c r="B46" s="246"/>
      <c r="C46" s="246"/>
      <c r="D46" s="247"/>
      <c r="E46" s="247"/>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row>
    <row r="47" ht="15.75" customHeight="1">
      <c r="A47" s="249" t="s">
        <v>4908</v>
      </c>
      <c r="B47" s="246" t="s">
        <v>4889</v>
      </c>
      <c r="C47" s="246" t="s">
        <v>4878</v>
      </c>
      <c r="D47" s="246" t="s">
        <v>4880</v>
      </c>
      <c r="E47" s="247" t="s">
        <v>4890</v>
      </c>
      <c r="F47" s="246" t="s">
        <v>4891</v>
      </c>
      <c r="G47" s="246" t="s">
        <v>4881</v>
      </c>
      <c r="H47" s="247"/>
      <c r="I47" s="247"/>
      <c r="J47" s="247"/>
      <c r="K47" s="247"/>
      <c r="L47" s="247"/>
      <c r="M47" s="247"/>
      <c r="N47" s="247"/>
      <c r="O47" s="247"/>
      <c r="P47" s="247"/>
      <c r="Q47" s="247"/>
      <c r="R47" s="247"/>
      <c r="S47" s="247"/>
      <c r="T47" s="247"/>
      <c r="U47" s="247"/>
      <c r="V47" s="247"/>
      <c r="W47" s="247"/>
      <c r="X47" s="247"/>
      <c r="Y47" s="247"/>
      <c r="Z47" s="247"/>
      <c r="AA47" s="247"/>
      <c r="AB47" s="247"/>
      <c r="AC47" s="247"/>
      <c r="AD47" s="247"/>
    </row>
    <row r="48" ht="15.75" customHeight="1">
      <c r="A48" s="249" t="s">
        <v>4908</v>
      </c>
      <c r="B48" s="246" t="s">
        <v>4889</v>
      </c>
      <c r="C48" s="246" t="s">
        <v>4878</v>
      </c>
      <c r="D48" s="246" t="s">
        <v>4884</v>
      </c>
      <c r="E48" s="247" t="s">
        <v>4881</v>
      </c>
      <c r="F48" s="247"/>
      <c r="G48" s="246" t="s">
        <v>4881</v>
      </c>
      <c r="H48" s="247"/>
      <c r="I48" s="247"/>
      <c r="J48" s="247"/>
      <c r="K48" s="247"/>
      <c r="L48" s="247"/>
      <c r="M48" s="247"/>
      <c r="N48" s="247"/>
      <c r="O48" s="247"/>
      <c r="P48" s="247"/>
      <c r="Q48" s="247"/>
      <c r="R48" s="247"/>
      <c r="S48" s="247"/>
      <c r="T48" s="247"/>
      <c r="U48" s="247"/>
      <c r="V48" s="247"/>
      <c r="W48" s="247"/>
      <c r="X48" s="247"/>
      <c r="Y48" s="247"/>
      <c r="Z48" s="247"/>
      <c r="AA48" s="247"/>
      <c r="AB48" s="247"/>
      <c r="AC48" s="247"/>
      <c r="AD48" s="247"/>
    </row>
    <row r="49" ht="15.75" customHeight="1">
      <c r="A49" s="249" t="s">
        <v>4908</v>
      </c>
      <c r="B49" s="246" t="s">
        <v>4889</v>
      </c>
      <c r="C49" s="246" t="s">
        <v>4878</v>
      </c>
      <c r="D49" s="246" t="s">
        <v>4887</v>
      </c>
      <c r="E49" s="247" t="s">
        <v>4881</v>
      </c>
      <c r="F49" s="247"/>
      <c r="G49" s="246" t="s">
        <v>4881</v>
      </c>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row>
    <row r="50" ht="15.75" customHeight="1">
      <c r="A50" s="246"/>
      <c r="B50" s="246"/>
      <c r="C50" s="246"/>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row>
    <row r="51" ht="15.75" customHeight="1">
      <c r="A51" s="246" t="s">
        <v>4909</v>
      </c>
      <c r="B51" s="246" t="s">
        <v>4903</v>
      </c>
      <c r="C51" s="246" t="s">
        <v>4879</v>
      </c>
      <c r="D51" s="246" t="s">
        <v>4880</v>
      </c>
      <c r="E51" s="247" t="s">
        <v>4881</v>
      </c>
      <c r="F51" s="247"/>
      <c r="G51" s="247" t="s">
        <v>4881</v>
      </c>
      <c r="H51" s="247"/>
      <c r="I51" s="247"/>
      <c r="J51" s="247"/>
      <c r="K51" s="247"/>
      <c r="L51" s="247"/>
      <c r="M51" s="247"/>
      <c r="N51" s="247"/>
      <c r="O51" s="247"/>
      <c r="P51" s="247"/>
      <c r="Q51" s="247"/>
      <c r="R51" s="247"/>
      <c r="S51" s="247"/>
      <c r="T51" s="247"/>
      <c r="U51" s="247"/>
      <c r="V51" s="247"/>
      <c r="W51" s="247"/>
      <c r="X51" s="247"/>
      <c r="Y51" s="247"/>
      <c r="Z51" s="247"/>
      <c r="AA51" s="247"/>
      <c r="AB51" s="247"/>
      <c r="AC51" s="247"/>
      <c r="AD51" s="247"/>
    </row>
    <row r="52" ht="15.75" customHeight="1">
      <c r="A52" s="246" t="s">
        <v>4909</v>
      </c>
      <c r="B52" s="246" t="s">
        <v>4903</v>
      </c>
      <c r="C52" s="246" t="s">
        <v>4879</v>
      </c>
      <c r="D52" s="246" t="s">
        <v>4884</v>
      </c>
      <c r="E52" s="247" t="s">
        <v>4881</v>
      </c>
      <c r="F52" s="247"/>
      <c r="G52" s="247" t="s">
        <v>4881</v>
      </c>
      <c r="H52" s="247"/>
      <c r="I52" s="247"/>
      <c r="J52" s="247"/>
      <c r="K52" s="247"/>
      <c r="L52" s="247"/>
      <c r="M52" s="247"/>
      <c r="N52" s="247"/>
      <c r="O52" s="247"/>
      <c r="P52" s="247"/>
      <c r="Q52" s="247"/>
      <c r="R52" s="247"/>
      <c r="S52" s="247"/>
      <c r="T52" s="247"/>
      <c r="U52" s="247"/>
      <c r="V52" s="247"/>
      <c r="W52" s="247"/>
      <c r="X52" s="247"/>
      <c r="Y52" s="247"/>
      <c r="Z52" s="247"/>
      <c r="AA52" s="247"/>
      <c r="AB52" s="247"/>
      <c r="AC52" s="247"/>
      <c r="AD52" s="247"/>
    </row>
    <row r="53" ht="15.75" customHeight="1">
      <c r="A53" s="246" t="s">
        <v>4909</v>
      </c>
      <c r="B53" s="246" t="s">
        <v>4903</v>
      </c>
      <c r="C53" s="246" t="s">
        <v>4879</v>
      </c>
      <c r="D53" s="246" t="s">
        <v>4887</v>
      </c>
      <c r="E53" s="247" t="s">
        <v>4881</v>
      </c>
      <c r="F53" s="247"/>
      <c r="G53" s="247" t="s">
        <v>4881</v>
      </c>
      <c r="H53" s="247"/>
      <c r="I53" s="247"/>
      <c r="J53" s="247"/>
      <c r="K53" s="247"/>
      <c r="L53" s="247"/>
      <c r="M53" s="247"/>
      <c r="N53" s="247"/>
      <c r="O53" s="247"/>
      <c r="P53" s="247"/>
      <c r="Q53" s="247"/>
      <c r="R53" s="247"/>
      <c r="S53" s="247"/>
      <c r="T53" s="247"/>
      <c r="U53" s="247"/>
      <c r="V53" s="247"/>
      <c r="W53" s="247"/>
      <c r="X53" s="247"/>
      <c r="Y53" s="247"/>
      <c r="Z53" s="247"/>
      <c r="AA53" s="247"/>
      <c r="AB53" s="247"/>
      <c r="AC53" s="247"/>
      <c r="AD53" s="247"/>
    </row>
    <row r="54" ht="15.7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c r="AA54" s="247"/>
      <c r="AB54" s="247"/>
      <c r="AC54" s="247"/>
      <c r="AD54" s="247"/>
    </row>
    <row r="55" ht="15.7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c r="AA55" s="247"/>
      <c r="AB55" s="247"/>
      <c r="AC55" s="247"/>
      <c r="AD55" s="247"/>
    </row>
    <row r="56" ht="15.75" customHeight="1">
      <c r="A56" s="246" t="s">
        <v>4910</v>
      </c>
      <c r="B56" s="246" t="s">
        <v>4896</v>
      </c>
      <c r="C56" s="246" t="s">
        <v>4879</v>
      </c>
      <c r="D56" s="246" t="s">
        <v>4880</v>
      </c>
      <c r="E56" s="247" t="s">
        <v>4890</v>
      </c>
      <c r="F56" s="246" t="s">
        <v>4891</v>
      </c>
      <c r="G56" s="247" t="s">
        <v>4881</v>
      </c>
      <c r="H56" s="247"/>
      <c r="I56" s="247"/>
      <c r="J56" s="247"/>
      <c r="K56" s="247"/>
      <c r="L56" s="247"/>
      <c r="M56" s="247"/>
      <c r="N56" s="247"/>
      <c r="O56" s="247"/>
      <c r="P56" s="247"/>
      <c r="Q56" s="247"/>
      <c r="R56" s="247"/>
      <c r="S56" s="247"/>
      <c r="T56" s="247"/>
      <c r="U56" s="247"/>
      <c r="V56" s="247"/>
      <c r="W56" s="247"/>
      <c r="X56" s="247"/>
      <c r="Y56" s="247"/>
      <c r="Z56" s="247"/>
      <c r="AA56" s="247"/>
      <c r="AB56" s="247"/>
      <c r="AC56" s="247"/>
      <c r="AD56" s="247"/>
    </row>
    <row r="57" ht="15.75" customHeight="1">
      <c r="A57" s="246" t="s">
        <v>4910</v>
      </c>
      <c r="B57" s="246" t="s">
        <v>4896</v>
      </c>
      <c r="C57" s="246" t="s">
        <v>4879</v>
      </c>
      <c r="D57" s="246" t="s">
        <v>4884</v>
      </c>
      <c r="E57" s="247" t="s">
        <v>4881</v>
      </c>
      <c r="F57" s="247"/>
      <c r="G57" s="247" t="s">
        <v>4881</v>
      </c>
      <c r="H57" s="247"/>
      <c r="I57" s="247"/>
      <c r="J57" s="247"/>
      <c r="K57" s="247"/>
      <c r="L57" s="247"/>
      <c r="M57" s="247"/>
      <c r="N57" s="247"/>
      <c r="O57" s="247"/>
      <c r="P57" s="247"/>
      <c r="Q57" s="247"/>
      <c r="R57" s="247"/>
      <c r="S57" s="247"/>
      <c r="T57" s="247"/>
      <c r="U57" s="247"/>
      <c r="V57" s="247"/>
      <c r="W57" s="247"/>
      <c r="X57" s="247"/>
      <c r="Y57" s="247"/>
      <c r="Z57" s="247"/>
      <c r="AA57" s="247"/>
      <c r="AB57" s="247"/>
      <c r="AC57" s="247"/>
      <c r="AD57" s="247"/>
    </row>
    <row r="58" ht="15.75" customHeight="1">
      <c r="A58" s="246" t="s">
        <v>4910</v>
      </c>
      <c r="B58" s="246" t="s">
        <v>4896</v>
      </c>
      <c r="C58" s="246" t="s">
        <v>4879</v>
      </c>
      <c r="D58" s="246" t="s">
        <v>4887</v>
      </c>
      <c r="E58" s="247" t="s">
        <v>4881</v>
      </c>
      <c r="F58" s="247"/>
      <c r="G58" s="247" t="s">
        <v>4881</v>
      </c>
      <c r="H58" s="247"/>
      <c r="I58" s="247"/>
      <c r="J58" s="247"/>
      <c r="K58" s="247"/>
      <c r="L58" s="247"/>
      <c r="M58" s="247"/>
      <c r="N58" s="247"/>
      <c r="O58" s="247"/>
      <c r="P58" s="247"/>
      <c r="Q58" s="247"/>
      <c r="R58" s="247"/>
      <c r="S58" s="247"/>
      <c r="T58" s="247"/>
      <c r="U58" s="247"/>
      <c r="V58" s="247"/>
      <c r="W58" s="247"/>
      <c r="X58" s="247"/>
      <c r="Y58" s="247"/>
      <c r="Z58" s="247"/>
      <c r="AA58" s="247"/>
      <c r="AB58" s="247"/>
      <c r="AC58" s="247"/>
      <c r="AD58" s="247"/>
    </row>
    <row r="59" ht="15.75" customHeight="1">
      <c r="A59" s="246"/>
      <c r="B59" s="246"/>
      <c r="C59" s="246"/>
      <c r="D59" s="247"/>
      <c r="E59" s="247"/>
      <c r="F59" s="247"/>
      <c r="G59" s="247"/>
      <c r="H59" s="247"/>
      <c r="I59" s="247"/>
      <c r="J59" s="247"/>
      <c r="K59" s="247"/>
      <c r="L59" s="247"/>
      <c r="M59" s="247"/>
      <c r="N59" s="247"/>
      <c r="O59" s="247"/>
      <c r="P59" s="247"/>
      <c r="Q59" s="247"/>
      <c r="R59" s="247"/>
      <c r="S59" s="247"/>
      <c r="T59" s="247"/>
      <c r="U59" s="247"/>
      <c r="V59" s="247"/>
      <c r="W59" s="247"/>
      <c r="X59" s="247"/>
      <c r="Y59" s="247"/>
      <c r="Z59" s="247"/>
      <c r="AA59" s="247"/>
      <c r="AB59" s="247"/>
      <c r="AC59" s="247"/>
      <c r="AD59" s="247"/>
    </row>
    <row r="60" ht="15.75" customHeight="1">
      <c r="A60" s="246" t="s">
        <v>4911</v>
      </c>
      <c r="B60" s="246" t="s">
        <v>4896</v>
      </c>
      <c r="C60" s="246" t="s">
        <v>4889</v>
      </c>
      <c r="D60" s="246" t="s">
        <v>4880</v>
      </c>
      <c r="E60" s="246" t="s">
        <v>4890</v>
      </c>
      <c r="F60" s="246" t="s">
        <v>4914</v>
      </c>
      <c r="G60" s="247" t="s">
        <v>4881</v>
      </c>
      <c r="H60" s="247"/>
      <c r="I60" s="247"/>
      <c r="J60" s="247"/>
      <c r="K60" s="247"/>
      <c r="L60" s="247"/>
      <c r="M60" s="247"/>
      <c r="N60" s="247"/>
      <c r="O60" s="247"/>
      <c r="P60" s="247"/>
      <c r="Q60" s="247"/>
      <c r="R60" s="247"/>
      <c r="S60" s="247"/>
      <c r="T60" s="247"/>
      <c r="U60" s="247"/>
      <c r="V60" s="247"/>
      <c r="W60" s="247"/>
      <c r="X60" s="247"/>
      <c r="Y60" s="247"/>
      <c r="Z60" s="247"/>
      <c r="AA60" s="247"/>
      <c r="AB60" s="247"/>
      <c r="AC60" s="247"/>
      <c r="AD60" s="247"/>
    </row>
    <row r="61" ht="15.75" customHeight="1">
      <c r="A61" s="246" t="s">
        <v>4911</v>
      </c>
      <c r="B61" s="246" t="s">
        <v>4896</v>
      </c>
      <c r="C61" s="246" t="s">
        <v>4889</v>
      </c>
      <c r="D61" s="246" t="s">
        <v>4884</v>
      </c>
      <c r="E61" s="246" t="s">
        <v>4881</v>
      </c>
      <c r="F61" s="246"/>
      <c r="G61" s="247" t="s">
        <v>4881</v>
      </c>
      <c r="H61" s="247"/>
      <c r="I61" s="247"/>
      <c r="J61" s="247"/>
      <c r="K61" s="247"/>
      <c r="L61" s="247"/>
      <c r="M61" s="247"/>
      <c r="N61" s="247"/>
      <c r="O61" s="247"/>
      <c r="P61" s="247"/>
      <c r="Q61" s="247"/>
      <c r="R61" s="247"/>
      <c r="S61" s="247"/>
      <c r="T61" s="247"/>
      <c r="U61" s="247"/>
      <c r="V61" s="247"/>
      <c r="W61" s="247"/>
      <c r="X61" s="247"/>
      <c r="Y61" s="247"/>
      <c r="Z61" s="247"/>
      <c r="AA61" s="247"/>
      <c r="AB61" s="247"/>
      <c r="AC61" s="247"/>
      <c r="AD61" s="247"/>
    </row>
    <row r="62" ht="15.75" customHeight="1">
      <c r="A62" s="246" t="s">
        <v>4911</v>
      </c>
      <c r="B62" s="246" t="s">
        <v>4896</v>
      </c>
      <c r="C62" s="246" t="s">
        <v>4889</v>
      </c>
      <c r="D62" s="246" t="s">
        <v>4887</v>
      </c>
      <c r="E62" s="246" t="s">
        <v>4881</v>
      </c>
      <c r="F62" s="246"/>
      <c r="G62" s="247" t="s">
        <v>4881</v>
      </c>
      <c r="H62" s="247"/>
      <c r="I62" s="247"/>
      <c r="J62" s="247"/>
      <c r="K62" s="247"/>
      <c r="L62" s="247"/>
      <c r="M62" s="247"/>
      <c r="N62" s="247"/>
      <c r="O62" s="247"/>
      <c r="P62" s="247"/>
      <c r="Q62" s="247"/>
      <c r="R62" s="247"/>
      <c r="S62" s="247"/>
      <c r="T62" s="247"/>
      <c r="U62" s="247"/>
      <c r="V62" s="247"/>
      <c r="W62" s="247"/>
      <c r="X62" s="247"/>
      <c r="Y62" s="247"/>
      <c r="Z62" s="247"/>
      <c r="AA62" s="247"/>
      <c r="AB62" s="247"/>
      <c r="AC62" s="247"/>
      <c r="AD62" s="247"/>
    </row>
    <row r="63" ht="15.75" customHeight="1">
      <c r="A63" s="246"/>
      <c r="B63" s="246"/>
      <c r="C63" s="246"/>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row>
    <row r="64" ht="15.75" customHeight="1">
      <c r="A64" s="246" t="s">
        <v>4915</v>
      </c>
      <c r="B64" s="246" t="s">
        <v>4896</v>
      </c>
      <c r="C64" s="246" t="s">
        <v>4903</v>
      </c>
      <c r="D64" s="246" t="s">
        <v>4880</v>
      </c>
      <c r="E64" s="247" t="s">
        <v>4890</v>
      </c>
      <c r="F64" s="246" t="s">
        <v>4914</v>
      </c>
      <c r="G64" s="247" t="s">
        <v>4881</v>
      </c>
      <c r="H64" s="247"/>
      <c r="I64" s="247"/>
      <c r="J64" s="247"/>
      <c r="K64" s="247"/>
      <c r="L64" s="247"/>
      <c r="M64" s="247"/>
      <c r="N64" s="247"/>
      <c r="O64" s="247"/>
      <c r="P64" s="247"/>
      <c r="Q64" s="247"/>
      <c r="R64" s="247"/>
      <c r="S64" s="247"/>
      <c r="T64" s="247"/>
      <c r="U64" s="247"/>
      <c r="V64" s="247"/>
      <c r="W64" s="247"/>
      <c r="X64" s="247"/>
      <c r="Y64" s="247"/>
      <c r="Z64" s="247"/>
      <c r="AA64" s="247"/>
      <c r="AB64" s="247"/>
      <c r="AC64" s="247"/>
      <c r="AD64" s="247"/>
    </row>
    <row r="65" ht="15.75" customHeight="1">
      <c r="A65" s="246" t="s">
        <v>4915</v>
      </c>
      <c r="B65" s="246" t="s">
        <v>4896</v>
      </c>
      <c r="C65" s="246" t="s">
        <v>4903</v>
      </c>
      <c r="D65" s="246" t="s">
        <v>4884</v>
      </c>
      <c r="E65" s="247" t="s">
        <v>4890</v>
      </c>
      <c r="F65" s="247"/>
      <c r="G65" s="247" t="s">
        <v>4881</v>
      </c>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row>
    <row r="66" ht="15.75" customHeight="1">
      <c r="A66" s="246" t="s">
        <v>4915</v>
      </c>
      <c r="B66" s="246" t="s">
        <v>4896</v>
      </c>
      <c r="C66" s="246" t="s">
        <v>4903</v>
      </c>
      <c r="D66" s="246" t="s">
        <v>4887</v>
      </c>
      <c r="E66" s="247" t="s">
        <v>4881</v>
      </c>
      <c r="F66" s="247"/>
      <c r="G66" s="247" t="s">
        <v>4881</v>
      </c>
      <c r="H66" s="247"/>
      <c r="I66" s="247"/>
      <c r="J66" s="247"/>
      <c r="K66" s="247"/>
      <c r="L66" s="247"/>
      <c r="M66" s="247"/>
      <c r="N66" s="247"/>
      <c r="O66" s="247"/>
      <c r="P66" s="247"/>
      <c r="Q66" s="247"/>
      <c r="R66" s="247"/>
      <c r="S66" s="247"/>
      <c r="T66" s="247"/>
      <c r="U66" s="247"/>
      <c r="V66" s="247"/>
      <c r="W66" s="247"/>
      <c r="X66" s="247"/>
      <c r="Y66" s="247"/>
      <c r="Z66" s="247"/>
      <c r="AA66" s="247"/>
      <c r="AB66" s="247"/>
      <c r="AC66" s="247"/>
      <c r="AD66" s="247"/>
    </row>
    <row r="67" ht="15.7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c r="AA67" s="247"/>
      <c r="AB67" s="247"/>
      <c r="AC67" s="247"/>
      <c r="AD67" s="247"/>
    </row>
    <row r="68" ht="15.75" customHeight="1">
      <c r="A68" s="246" t="s">
        <v>4916</v>
      </c>
      <c r="B68" s="246" t="s">
        <v>4903</v>
      </c>
      <c r="C68" s="246" t="s">
        <v>4896</v>
      </c>
      <c r="D68" s="246" t="s">
        <v>4880</v>
      </c>
      <c r="E68" s="247" t="s">
        <v>4890</v>
      </c>
      <c r="F68" s="247" t="s">
        <v>4917</v>
      </c>
      <c r="G68" s="247" t="s">
        <v>4918</v>
      </c>
      <c r="H68" s="247"/>
      <c r="I68" s="247"/>
      <c r="J68" s="247"/>
      <c r="K68" s="247"/>
      <c r="L68" s="247"/>
      <c r="M68" s="247"/>
      <c r="N68" s="247"/>
      <c r="O68" s="247"/>
      <c r="P68" s="247"/>
      <c r="Q68" s="247"/>
      <c r="R68" s="247"/>
      <c r="S68" s="247"/>
      <c r="T68" s="247"/>
      <c r="U68" s="247"/>
      <c r="V68" s="247"/>
      <c r="W68" s="247"/>
      <c r="X68" s="247"/>
      <c r="Y68" s="247"/>
      <c r="Z68" s="247"/>
      <c r="AA68" s="247"/>
      <c r="AB68" s="247"/>
      <c r="AC68" s="247"/>
      <c r="AD68" s="247"/>
    </row>
    <row r="69" ht="15.75" customHeight="1">
      <c r="A69" s="246" t="s">
        <v>4916</v>
      </c>
      <c r="B69" s="246" t="s">
        <v>4903</v>
      </c>
      <c r="C69" s="246" t="s">
        <v>4896</v>
      </c>
      <c r="D69" s="246" t="s">
        <v>4884</v>
      </c>
      <c r="E69" s="247" t="s">
        <v>4918</v>
      </c>
      <c r="F69" s="247"/>
      <c r="G69" s="247" t="s">
        <v>4918</v>
      </c>
      <c r="H69" s="247"/>
      <c r="I69" s="247"/>
      <c r="J69" s="247"/>
      <c r="K69" s="247"/>
      <c r="L69" s="247"/>
      <c r="M69" s="247"/>
      <c r="N69" s="247"/>
      <c r="O69" s="247"/>
      <c r="P69" s="247"/>
      <c r="Q69" s="247"/>
      <c r="R69" s="247"/>
      <c r="S69" s="247"/>
      <c r="T69" s="247"/>
      <c r="U69" s="247"/>
      <c r="V69" s="247"/>
      <c r="W69" s="247"/>
      <c r="X69" s="247"/>
      <c r="Y69" s="247"/>
      <c r="Z69" s="247"/>
      <c r="AA69" s="247"/>
      <c r="AB69" s="247"/>
      <c r="AC69" s="247"/>
      <c r="AD69" s="247"/>
    </row>
    <row r="70" ht="15.75" customHeight="1">
      <c r="A70" s="246" t="s">
        <v>4916</v>
      </c>
      <c r="B70" s="246" t="s">
        <v>4903</v>
      </c>
      <c r="C70" s="246" t="s">
        <v>4896</v>
      </c>
      <c r="D70" s="246" t="s">
        <v>4887</v>
      </c>
      <c r="E70" s="247" t="s">
        <v>4918</v>
      </c>
      <c r="F70" s="247"/>
      <c r="G70" s="247" t="s">
        <v>4918</v>
      </c>
      <c r="H70" s="247"/>
      <c r="I70" s="247"/>
      <c r="J70" s="247"/>
      <c r="K70" s="247"/>
      <c r="L70" s="247"/>
      <c r="M70" s="247"/>
      <c r="N70" s="247"/>
      <c r="O70" s="247"/>
      <c r="P70" s="247"/>
      <c r="Q70" s="247"/>
      <c r="R70" s="247"/>
      <c r="S70" s="247"/>
      <c r="T70" s="247"/>
      <c r="U70" s="247"/>
      <c r="V70" s="247"/>
      <c r="W70" s="247"/>
      <c r="X70" s="247"/>
      <c r="Y70" s="247"/>
      <c r="Z70" s="247"/>
      <c r="AA70" s="247"/>
      <c r="AB70" s="247"/>
      <c r="AC70" s="247"/>
      <c r="AD70" s="247"/>
    </row>
    <row r="71" ht="15.7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c r="AA71" s="247"/>
      <c r="AB71" s="247"/>
      <c r="AC71" s="247"/>
      <c r="AD71" s="247"/>
    </row>
    <row r="72" ht="15.75" customHeight="1">
      <c r="A72" s="246" t="s">
        <v>4912</v>
      </c>
      <c r="B72" s="246" t="s">
        <v>4903</v>
      </c>
      <c r="C72" s="246" t="s">
        <v>4889</v>
      </c>
      <c r="D72" s="246" t="s">
        <v>4880</v>
      </c>
      <c r="E72" s="247" t="s">
        <v>4881</v>
      </c>
      <c r="F72" s="247"/>
      <c r="G72" s="247" t="s">
        <v>4881</v>
      </c>
      <c r="H72" s="247"/>
      <c r="I72" s="247"/>
      <c r="J72" s="247"/>
      <c r="K72" s="247"/>
      <c r="L72" s="247"/>
      <c r="M72" s="247"/>
      <c r="N72" s="247"/>
      <c r="O72" s="247"/>
      <c r="P72" s="247"/>
      <c r="Q72" s="247"/>
      <c r="R72" s="247"/>
      <c r="S72" s="247"/>
      <c r="T72" s="247"/>
      <c r="U72" s="247"/>
      <c r="V72" s="247"/>
      <c r="W72" s="247"/>
      <c r="X72" s="247"/>
      <c r="Y72" s="247"/>
      <c r="Z72" s="247"/>
      <c r="AA72" s="247"/>
      <c r="AB72" s="247"/>
      <c r="AC72" s="247"/>
      <c r="AD72" s="247"/>
    </row>
    <row r="73" ht="15.75" customHeight="1">
      <c r="A73" s="246" t="s">
        <v>4912</v>
      </c>
      <c r="B73" s="246" t="s">
        <v>4903</v>
      </c>
      <c r="C73" s="246" t="s">
        <v>4889</v>
      </c>
      <c r="D73" s="246" t="s">
        <v>4884</v>
      </c>
      <c r="E73" s="247" t="s">
        <v>4881</v>
      </c>
      <c r="F73" s="247"/>
      <c r="G73" s="247" t="s">
        <v>4881</v>
      </c>
      <c r="H73" s="247"/>
      <c r="I73" s="247"/>
      <c r="J73" s="247"/>
      <c r="K73" s="247"/>
      <c r="L73" s="247"/>
      <c r="M73" s="247"/>
      <c r="N73" s="247"/>
      <c r="O73" s="247"/>
      <c r="P73" s="247"/>
      <c r="Q73" s="247"/>
      <c r="R73" s="247"/>
      <c r="S73" s="247"/>
      <c r="T73" s="247"/>
      <c r="U73" s="247"/>
      <c r="V73" s="247"/>
      <c r="W73" s="247"/>
      <c r="X73" s="247"/>
      <c r="Y73" s="247"/>
      <c r="Z73" s="247"/>
      <c r="AA73" s="247"/>
      <c r="AB73" s="247"/>
      <c r="AC73" s="247"/>
      <c r="AD73" s="247"/>
    </row>
    <row r="74" ht="15.75" customHeight="1">
      <c r="A74" s="246" t="s">
        <v>4912</v>
      </c>
      <c r="B74" s="246" t="s">
        <v>4903</v>
      </c>
      <c r="C74" s="246" t="s">
        <v>4889</v>
      </c>
      <c r="D74" s="246" t="s">
        <v>4887</v>
      </c>
      <c r="E74" s="247" t="s">
        <v>4890</v>
      </c>
      <c r="F74" s="247" t="s">
        <v>4919</v>
      </c>
      <c r="G74" s="247" t="s">
        <v>4881</v>
      </c>
      <c r="H74" s="247"/>
      <c r="I74" s="247"/>
      <c r="J74" s="247"/>
      <c r="K74" s="247"/>
      <c r="L74" s="247"/>
      <c r="M74" s="247"/>
      <c r="N74" s="247"/>
      <c r="O74" s="247"/>
      <c r="P74" s="247"/>
      <c r="Q74" s="247"/>
      <c r="R74" s="247"/>
      <c r="S74" s="247"/>
      <c r="T74" s="247"/>
      <c r="U74" s="247"/>
      <c r="V74" s="247"/>
      <c r="W74" s="247"/>
      <c r="X74" s="247"/>
      <c r="Y74" s="247"/>
      <c r="Z74" s="247"/>
      <c r="AA74" s="247"/>
      <c r="AB74" s="247"/>
      <c r="AC74" s="247"/>
      <c r="AD74" s="247"/>
    </row>
    <row r="75" ht="15.7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c r="AA75" s="247"/>
      <c r="AB75" s="247"/>
      <c r="AC75" s="247"/>
      <c r="AD75" s="247"/>
    </row>
    <row r="76" ht="15.75" customHeight="1">
      <c r="A76" s="246" t="s">
        <v>4913</v>
      </c>
      <c r="B76" s="246" t="s">
        <v>4889</v>
      </c>
      <c r="C76" s="246" t="s">
        <v>4903</v>
      </c>
      <c r="D76" s="246" t="s">
        <v>4880</v>
      </c>
      <c r="E76" s="247" t="s">
        <v>4881</v>
      </c>
      <c r="F76" s="247"/>
      <c r="G76" s="247" t="s">
        <v>4881</v>
      </c>
      <c r="H76" s="247"/>
      <c r="I76" s="247"/>
      <c r="J76" s="247"/>
      <c r="K76" s="247"/>
      <c r="L76" s="247"/>
      <c r="M76" s="247"/>
      <c r="N76" s="247"/>
      <c r="O76" s="247"/>
      <c r="P76" s="247"/>
      <c r="Q76" s="247"/>
      <c r="R76" s="247"/>
      <c r="S76" s="247"/>
      <c r="T76" s="247"/>
      <c r="U76" s="247"/>
      <c r="V76" s="247"/>
      <c r="W76" s="247"/>
      <c r="X76" s="247"/>
      <c r="Y76" s="247"/>
      <c r="Z76" s="247"/>
      <c r="AA76" s="247"/>
      <c r="AB76" s="247"/>
      <c r="AC76" s="247"/>
      <c r="AD76" s="247"/>
    </row>
    <row r="77" ht="15.75" customHeight="1">
      <c r="A77" s="246" t="s">
        <v>4913</v>
      </c>
      <c r="B77" s="246" t="s">
        <v>4889</v>
      </c>
      <c r="C77" s="246" t="s">
        <v>4903</v>
      </c>
      <c r="D77" s="246" t="s">
        <v>4884</v>
      </c>
      <c r="E77" s="247" t="s">
        <v>4890</v>
      </c>
      <c r="F77" s="247" t="s">
        <v>4919</v>
      </c>
      <c r="G77" s="247" t="s">
        <v>4881</v>
      </c>
      <c r="H77" s="247"/>
      <c r="I77" s="247"/>
      <c r="J77" s="247"/>
      <c r="K77" s="247"/>
      <c r="L77" s="247"/>
      <c r="M77" s="247"/>
      <c r="N77" s="247"/>
      <c r="O77" s="247"/>
      <c r="P77" s="247"/>
      <c r="Q77" s="247"/>
      <c r="R77" s="247"/>
      <c r="S77" s="247"/>
      <c r="T77" s="247"/>
      <c r="U77" s="247"/>
      <c r="V77" s="247"/>
      <c r="W77" s="247"/>
      <c r="X77" s="247"/>
      <c r="Y77" s="247"/>
      <c r="Z77" s="247"/>
      <c r="AA77" s="247"/>
      <c r="AB77" s="247"/>
      <c r="AC77" s="247"/>
      <c r="AD77" s="247"/>
    </row>
    <row r="78" ht="15.75" customHeight="1">
      <c r="A78" s="246" t="s">
        <v>4913</v>
      </c>
      <c r="B78" s="246" t="s">
        <v>4889</v>
      </c>
      <c r="C78" s="246" t="s">
        <v>4903</v>
      </c>
      <c r="D78" s="246" t="s">
        <v>4887</v>
      </c>
      <c r="E78" s="247" t="s">
        <v>4881</v>
      </c>
      <c r="F78" s="247"/>
      <c r="G78" s="247" t="s">
        <v>4881</v>
      </c>
      <c r="H78" s="247"/>
      <c r="I78" s="247"/>
      <c r="J78" s="247"/>
      <c r="K78" s="247"/>
      <c r="L78" s="247"/>
      <c r="M78" s="247"/>
      <c r="N78" s="247"/>
      <c r="O78" s="247"/>
      <c r="P78" s="247"/>
      <c r="Q78" s="247"/>
      <c r="R78" s="247"/>
      <c r="S78" s="247"/>
      <c r="T78" s="247"/>
      <c r="U78" s="247"/>
      <c r="V78" s="247"/>
      <c r="W78" s="247"/>
      <c r="X78" s="247"/>
      <c r="Y78" s="247"/>
      <c r="Z78" s="247"/>
      <c r="AA78" s="247"/>
      <c r="AB78" s="247"/>
      <c r="AC78" s="247"/>
      <c r="AD78" s="247"/>
    </row>
    <row r="79" ht="15.7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c r="AA79" s="247"/>
      <c r="AB79" s="247"/>
      <c r="AC79" s="247"/>
      <c r="AD79" s="247"/>
    </row>
    <row r="80" ht="15.75" customHeight="1">
      <c r="A80" s="250" t="s">
        <v>4920</v>
      </c>
      <c r="B80" s="250" t="s">
        <v>4896</v>
      </c>
      <c r="C80" s="250" t="s">
        <v>4921</v>
      </c>
      <c r="D80" s="246" t="s">
        <v>4880</v>
      </c>
      <c r="E80" s="247" t="s">
        <v>4890</v>
      </c>
      <c r="F80" s="247" t="s">
        <v>4922</v>
      </c>
      <c r="G80" s="247" t="s">
        <v>4923</v>
      </c>
      <c r="H80" s="247" t="s">
        <v>4924</v>
      </c>
      <c r="I80" s="247"/>
      <c r="J80" s="247"/>
      <c r="K80" s="247"/>
      <c r="L80" s="247"/>
      <c r="M80" s="247"/>
      <c r="N80" s="247"/>
      <c r="O80" s="247"/>
      <c r="P80" s="247"/>
      <c r="Q80" s="247"/>
      <c r="R80" s="247"/>
      <c r="S80" s="247"/>
      <c r="T80" s="247"/>
      <c r="U80" s="247"/>
      <c r="V80" s="247"/>
      <c r="W80" s="247"/>
      <c r="X80" s="247"/>
      <c r="Y80" s="247"/>
      <c r="Z80" s="247"/>
      <c r="AA80" s="247"/>
      <c r="AB80" s="247"/>
      <c r="AC80" s="247"/>
      <c r="AD80" s="247"/>
    </row>
    <row r="81" ht="15.75" customHeight="1">
      <c r="A81" s="250" t="s">
        <v>4920</v>
      </c>
      <c r="B81" s="250" t="s">
        <v>4896</v>
      </c>
      <c r="C81" s="250" t="s">
        <v>4921</v>
      </c>
      <c r="D81" s="246" t="s">
        <v>4884</v>
      </c>
      <c r="E81" s="247" t="s">
        <v>4890</v>
      </c>
      <c r="F81" s="247" t="s">
        <v>4922</v>
      </c>
      <c r="G81" s="247" t="s">
        <v>4923</v>
      </c>
      <c r="H81" s="247" t="s">
        <v>4925</v>
      </c>
      <c r="I81" s="247"/>
      <c r="J81" s="247"/>
      <c r="K81" s="247"/>
      <c r="L81" s="247"/>
      <c r="M81" s="247"/>
      <c r="N81" s="247"/>
      <c r="O81" s="247"/>
      <c r="P81" s="247"/>
      <c r="Q81" s="247"/>
      <c r="R81" s="247"/>
      <c r="S81" s="247"/>
      <c r="T81" s="247"/>
      <c r="U81" s="247"/>
      <c r="V81" s="247"/>
      <c r="W81" s="247"/>
      <c r="X81" s="247"/>
      <c r="Y81" s="247"/>
      <c r="Z81" s="247"/>
      <c r="AA81" s="247"/>
      <c r="AB81" s="247"/>
      <c r="AC81" s="247"/>
      <c r="AD81" s="247"/>
    </row>
    <row r="82" ht="15.75" customHeight="1">
      <c r="A82" s="250" t="s">
        <v>4920</v>
      </c>
      <c r="B82" s="250" t="s">
        <v>4896</v>
      </c>
      <c r="C82" s="250" t="s">
        <v>4921</v>
      </c>
      <c r="D82" s="246" t="s">
        <v>4887</v>
      </c>
      <c r="E82" s="247" t="s">
        <v>4890</v>
      </c>
      <c r="F82" s="247" t="s">
        <v>4922</v>
      </c>
      <c r="G82" s="247" t="s">
        <v>4923</v>
      </c>
      <c r="H82" s="247"/>
      <c r="I82" s="247"/>
      <c r="J82" s="247"/>
      <c r="K82" s="247"/>
      <c r="L82" s="247"/>
      <c r="M82" s="247"/>
      <c r="N82" s="247"/>
      <c r="O82" s="247"/>
      <c r="P82" s="247"/>
      <c r="Q82" s="247"/>
      <c r="R82" s="247"/>
      <c r="S82" s="247"/>
      <c r="T82" s="247"/>
      <c r="U82" s="247"/>
      <c r="V82" s="247"/>
      <c r="W82" s="247"/>
      <c r="X82" s="247"/>
      <c r="Y82" s="247"/>
      <c r="Z82" s="247"/>
      <c r="AA82" s="247"/>
      <c r="AB82" s="247"/>
      <c r="AC82" s="247"/>
      <c r="AD82" s="247"/>
    </row>
    <row r="83" ht="15.75" customHeight="1">
      <c r="A83" s="250"/>
      <c r="B83" s="250"/>
      <c r="C83" s="250"/>
      <c r="D83" s="247"/>
      <c r="E83" s="247"/>
      <c r="F83" s="247"/>
      <c r="G83" s="247"/>
      <c r="H83" s="247"/>
      <c r="I83" s="247"/>
      <c r="J83" s="247"/>
      <c r="K83" s="247"/>
      <c r="L83" s="247"/>
      <c r="M83" s="247"/>
      <c r="N83" s="247"/>
      <c r="O83" s="247"/>
      <c r="P83" s="247"/>
      <c r="Q83" s="247"/>
      <c r="R83" s="247"/>
      <c r="S83" s="247"/>
      <c r="T83" s="247"/>
      <c r="U83" s="247"/>
      <c r="V83" s="247"/>
      <c r="W83" s="247"/>
      <c r="X83" s="247"/>
      <c r="Y83" s="247"/>
      <c r="Z83" s="247"/>
      <c r="AA83" s="247"/>
      <c r="AB83" s="247"/>
      <c r="AC83" s="247"/>
      <c r="AD83" s="247"/>
    </row>
    <row r="84" ht="15.75" customHeight="1">
      <c r="A84" s="247" t="s">
        <v>4926</v>
      </c>
      <c r="B84" s="250" t="s">
        <v>4903</v>
      </c>
      <c r="C84" s="250" t="s">
        <v>4927</v>
      </c>
      <c r="D84" s="246" t="s">
        <v>4880</v>
      </c>
      <c r="E84" s="247" t="s">
        <v>4928</v>
      </c>
      <c r="F84" s="247"/>
      <c r="G84" s="247" t="s">
        <v>4923</v>
      </c>
      <c r="H84" s="247"/>
      <c r="I84" s="247"/>
      <c r="J84" s="247"/>
      <c r="K84" s="247"/>
      <c r="L84" s="247"/>
      <c r="M84" s="247"/>
      <c r="N84" s="247"/>
      <c r="O84" s="247"/>
      <c r="P84" s="247"/>
      <c r="Q84" s="247"/>
      <c r="R84" s="247"/>
      <c r="S84" s="247"/>
      <c r="T84" s="247"/>
      <c r="U84" s="247"/>
      <c r="V84" s="247"/>
      <c r="W84" s="247"/>
      <c r="X84" s="247"/>
      <c r="Y84" s="247"/>
      <c r="Z84" s="247"/>
      <c r="AA84" s="247"/>
      <c r="AB84" s="247"/>
      <c r="AC84" s="247"/>
      <c r="AD84" s="247"/>
    </row>
    <row r="85" ht="15.75" customHeight="1">
      <c r="A85" s="247" t="s">
        <v>4926</v>
      </c>
      <c r="B85" s="250" t="s">
        <v>4903</v>
      </c>
      <c r="C85" s="250" t="s">
        <v>4927</v>
      </c>
      <c r="D85" s="246" t="s">
        <v>4884</v>
      </c>
      <c r="E85" s="247" t="s">
        <v>4928</v>
      </c>
      <c r="F85" s="247"/>
      <c r="G85" s="247" t="s">
        <v>4923</v>
      </c>
      <c r="H85" s="247"/>
      <c r="I85" s="247"/>
      <c r="J85" s="247"/>
      <c r="K85" s="247"/>
      <c r="L85" s="247"/>
      <c r="M85" s="247"/>
      <c r="N85" s="247"/>
      <c r="O85" s="247"/>
      <c r="P85" s="247"/>
      <c r="Q85" s="247"/>
      <c r="R85" s="247"/>
      <c r="S85" s="247"/>
      <c r="T85" s="247"/>
      <c r="U85" s="247"/>
      <c r="V85" s="247"/>
      <c r="W85" s="247"/>
      <c r="X85" s="247"/>
      <c r="Y85" s="247"/>
      <c r="Z85" s="247"/>
      <c r="AA85" s="247"/>
      <c r="AB85" s="247"/>
      <c r="AC85" s="247"/>
      <c r="AD85" s="247"/>
    </row>
    <row r="86" ht="15.75" customHeight="1">
      <c r="A86" s="247" t="s">
        <v>4926</v>
      </c>
      <c r="B86" s="250" t="s">
        <v>4903</v>
      </c>
      <c r="C86" s="250" t="s">
        <v>4927</v>
      </c>
      <c r="D86" s="246" t="s">
        <v>4887</v>
      </c>
      <c r="E86" s="247" t="s">
        <v>4928</v>
      </c>
      <c r="F86" s="247"/>
      <c r="G86" s="247" t="s">
        <v>4923</v>
      </c>
      <c r="H86" s="247"/>
      <c r="I86" s="247"/>
      <c r="J86" s="247"/>
      <c r="K86" s="247"/>
      <c r="L86" s="247"/>
      <c r="M86" s="247"/>
      <c r="N86" s="247"/>
      <c r="O86" s="247"/>
      <c r="P86" s="247"/>
      <c r="Q86" s="247"/>
      <c r="R86" s="247"/>
      <c r="S86" s="247"/>
      <c r="T86" s="247"/>
      <c r="U86" s="247"/>
      <c r="V86" s="247"/>
      <c r="W86" s="247"/>
      <c r="X86" s="247"/>
      <c r="Y86" s="247"/>
      <c r="Z86" s="247"/>
      <c r="AA86" s="247"/>
      <c r="AB86" s="247"/>
      <c r="AC86" s="247"/>
      <c r="AD86" s="247"/>
    </row>
    <row r="87" ht="15.75" customHeight="1">
      <c r="A87" s="250"/>
      <c r="B87" s="250"/>
      <c r="C87" s="250"/>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c r="AD87" s="247"/>
    </row>
    <row r="88" ht="15.75" customHeight="1">
      <c r="A88" s="247" t="s">
        <v>4929</v>
      </c>
      <c r="B88" s="250" t="s">
        <v>4903</v>
      </c>
      <c r="C88" s="250" t="s">
        <v>4921</v>
      </c>
      <c r="D88" s="246" t="s">
        <v>4880</v>
      </c>
      <c r="E88" s="247" t="s">
        <v>4930</v>
      </c>
      <c r="F88" s="247"/>
      <c r="G88" s="247" t="s">
        <v>4923</v>
      </c>
      <c r="H88" s="247"/>
      <c r="I88" s="247"/>
      <c r="J88" s="247"/>
      <c r="K88" s="247"/>
      <c r="L88" s="247"/>
      <c r="M88" s="247"/>
      <c r="N88" s="247"/>
      <c r="O88" s="247"/>
      <c r="P88" s="247"/>
      <c r="Q88" s="247"/>
      <c r="R88" s="247"/>
      <c r="S88" s="247"/>
      <c r="T88" s="247"/>
      <c r="U88" s="247"/>
      <c r="V88" s="247"/>
      <c r="W88" s="247"/>
      <c r="X88" s="247"/>
      <c r="Y88" s="247"/>
      <c r="Z88" s="247"/>
      <c r="AA88" s="247"/>
      <c r="AB88" s="247"/>
      <c r="AC88" s="247"/>
      <c r="AD88" s="247"/>
    </row>
    <row r="89" ht="15.75" customHeight="1">
      <c r="A89" s="247" t="s">
        <v>4929</v>
      </c>
      <c r="B89" s="250" t="s">
        <v>4903</v>
      </c>
      <c r="C89" s="250" t="s">
        <v>4921</v>
      </c>
      <c r="D89" s="246" t="s">
        <v>4884</v>
      </c>
      <c r="E89" s="247" t="s">
        <v>4930</v>
      </c>
      <c r="F89" s="247"/>
      <c r="G89" s="247" t="s">
        <v>4923</v>
      </c>
      <c r="H89" s="247"/>
      <c r="I89" s="247"/>
      <c r="J89" s="247"/>
      <c r="K89" s="247"/>
      <c r="L89" s="247"/>
      <c r="M89" s="247"/>
      <c r="N89" s="247"/>
      <c r="O89" s="247"/>
      <c r="P89" s="247"/>
      <c r="Q89" s="247"/>
      <c r="R89" s="247"/>
      <c r="S89" s="247"/>
      <c r="T89" s="247"/>
      <c r="U89" s="247"/>
      <c r="V89" s="247"/>
      <c r="W89" s="247"/>
      <c r="X89" s="247"/>
      <c r="Y89" s="247"/>
      <c r="Z89" s="247"/>
      <c r="AA89" s="247"/>
      <c r="AB89" s="247"/>
      <c r="AC89" s="247"/>
      <c r="AD89" s="247"/>
    </row>
    <row r="90" ht="15.75" customHeight="1">
      <c r="A90" s="247" t="s">
        <v>4929</v>
      </c>
      <c r="B90" s="250" t="s">
        <v>4903</v>
      </c>
      <c r="C90" s="250" t="s">
        <v>4921</v>
      </c>
      <c r="D90" s="246" t="s">
        <v>4887</v>
      </c>
      <c r="E90" s="247" t="s">
        <v>4930</v>
      </c>
      <c r="F90" s="247"/>
      <c r="G90" s="247" t="s">
        <v>4923</v>
      </c>
      <c r="H90" s="247"/>
      <c r="I90" s="247"/>
      <c r="J90" s="247"/>
      <c r="K90" s="247"/>
      <c r="L90" s="247"/>
      <c r="M90" s="247"/>
      <c r="N90" s="247"/>
      <c r="O90" s="247"/>
      <c r="P90" s="247"/>
      <c r="Q90" s="247"/>
      <c r="R90" s="247"/>
      <c r="S90" s="247"/>
      <c r="T90" s="247"/>
      <c r="U90" s="247"/>
      <c r="V90" s="247"/>
      <c r="W90" s="247"/>
      <c r="X90" s="247"/>
      <c r="Y90" s="247"/>
      <c r="Z90" s="247"/>
      <c r="AA90" s="247"/>
      <c r="AB90" s="247"/>
      <c r="AC90" s="247"/>
      <c r="AD90" s="247"/>
    </row>
    <row r="91" ht="15.75" customHeight="1">
      <c r="A91" s="250"/>
      <c r="B91" s="250"/>
      <c r="C91" s="250"/>
      <c r="D91" s="247"/>
      <c r="E91" s="247"/>
      <c r="F91" s="247"/>
      <c r="G91" s="247"/>
      <c r="H91" s="247"/>
      <c r="I91" s="247"/>
      <c r="J91" s="247"/>
      <c r="K91" s="247"/>
      <c r="L91" s="247"/>
      <c r="M91" s="247"/>
      <c r="N91" s="247"/>
      <c r="O91" s="247"/>
      <c r="P91" s="247"/>
      <c r="Q91" s="247"/>
      <c r="R91" s="247"/>
      <c r="S91" s="247"/>
      <c r="T91" s="247"/>
      <c r="U91" s="247"/>
      <c r="V91" s="247"/>
      <c r="W91" s="247"/>
      <c r="X91" s="247"/>
      <c r="Y91" s="247"/>
      <c r="Z91" s="247"/>
      <c r="AA91" s="247"/>
      <c r="AB91" s="247"/>
      <c r="AC91" s="247"/>
      <c r="AD91" s="247"/>
    </row>
    <row r="92" ht="15.75" customHeight="1">
      <c r="A92" s="250" t="s">
        <v>4931</v>
      </c>
      <c r="B92" s="250" t="s">
        <v>4879</v>
      </c>
      <c r="C92" s="250" t="s">
        <v>4927</v>
      </c>
      <c r="D92" s="246" t="s">
        <v>4880</v>
      </c>
      <c r="E92" s="247"/>
      <c r="F92" s="247"/>
      <c r="G92" s="247" t="s">
        <v>4928</v>
      </c>
      <c r="H92" s="247"/>
      <c r="I92" s="247"/>
      <c r="J92" s="247"/>
      <c r="K92" s="247"/>
      <c r="L92" s="247"/>
      <c r="M92" s="247"/>
      <c r="N92" s="247"/>
      <c r="O92" s="247"/>
      <c r="P92" s="247"/>
      <c r="Q92" s="247"/>
      <c r="R92" s="247"/>
      <c r="S92" s="247"/>
      <c r="T92" s="247"/>
      <c r="U92" s="247"/>
      <c r="V92" s="247"/>
      <c r="W92" s="247"/>
      <c r="X92" s="247"/>
      <c r="Y92" s="247"/>
      <c r="Z92" s="247"/>
      <c r="AA92" s="247"/>
      <c r="AB92" s="247"/>
      <c r="AC92" s="247"/>
      <c r="AD92" s="247"/>
    </row>
    <row r="93" ht="15.75" customHeight="1">
      <c r="A93" s="250" t="s">
        <v>4931</v>
      </c>
      <c r="B93" s="250" t="s">
        <v>4879</v>
      </c>
      <c r="C93" s="250" t="s">
        <v>4927</v>
      </c>
      <c r="D93" s="246" t="s">
        <v>4884</v>
      </c>
      <c r="E93" s="247"/>
      <c r="F93" s="247"/>
      <c r="G93" s="247" t="s">
        <v>4928</v>
      </c>
      <c r="H93" s="247"/>
      <c r="I93" s="247"/>
      <c r="J93" s="247"/>
      <c r="K93" s="247"/>
      <c r="L93" s="247"/>
      <c r="M93" s="247"/>
      <c r="N93" s="247"/>
      <c r="O93" s="247"/>
      <c r="P93" s="247"/>
      <c r="Q93" s="247"/>
      <c r="R93" s="247"/>
      <c r="S93" s="247"/>
      <c r="T93" s="247"/>
      <c r="U93" s="247"/>
      <c r="V93" s="247"/>
      <c r="W93" s="247"/>
      <c r="X93" s="247"/>
      <c r="Y93" s="247"/>
      <c r="Z93" s="247"/>
      <c r="AA93" s="247"/>
      <c r="AB93" s="247"/>
      <c r="AC93" s="247"/>
      <c r="AD93" s="247"/>
    </row>
    <row r="94" ht="15.75" customHeight="1">
      <c r="A94" s="250" t="s">
        <v>4931</v>
      </c>
      <c r="B94" s="250" t="s">
        <v>4879</v>
      </c>
      <c r="C94" s="250" t="s">
        <v>4927</v>
      </c>
      <c r="D94" s="246" t="s">
        <v>4887</v>
      </c>
      <c r="E94" s="247"/>
      <c r="F94" s="247"/>
      <c r="G94" s="247" t="s">
        <v>4928</v>
      </c>
      <c r="H94" s="247"/>
      <c r="I94" s="247"/>
      <c r="J94" s="247"/>
      <c r="K94" s="247"/>
      <c r="L94" s="247"/>
      <c r="M94" s="247"/>
      <c r="N94" s="247"/>
      <c r="O94" s="247"/>
      <c r="P94" s="247"/>
      <c r="Q94" s="247"/>
      <c r="R94" s="247"/>
      <c r="S94" s="247"/>
      <c r="T94" s="247"/>
      <c r="U94" s="247"/>
      <c r="V94" s="247"/>
      <c r="W94" s="247"/>
      <c r="X94" s="247"/>
      <c r="Y94" s="247"/>
      <c r="Z94" s="247"/>
      <c r="AA94" s="247"/>
      <c r="AB94" s="247"/>
      <c r="AC94" s="247"/>
      <c r="AD94" s="247"/>
    </row>
    <row r="95" ht="15.75" customHeight="1">
      <c r="A95" s="250"/>
      <c r="B95" s="250"/>
      <c r="C95" s="250"/>
      <c r="D95" s="247"/>
      <c r="E95" s="247"/>
      <c r="F95" s="247"/>
      <c r="G95" s="247"/>
      <c r="H95" s="247"/>
      <c r="I95" s="247"/>
      <c r="J95" s="247"/>
      <c r="K95" s="247"/>
      <c r="L95" s="247"/>
      <c r="M95" s="247"/>
      <c r="N95" s="247"/>
      <c r="O95" s="247"/>
      <c r="P95" s="247"/>
      <c r="Q95" s="247"/>
      <c r="R95" s="247"/>
      <c r="S95" s="247"/>
      <c r="T95" s="247"/>
      <c r="U95" s="247"/>
      <c r="V95" s="247"/>
      <c r="W95" s="247"/>
      <c r="X95" s="247"/>
      <c r="Y95" s="247"/>
      <c r="Z95" s="247"/>
      <c r="AA95" s="247"/>
      <c r="AB95" s="247"/>
      <c r="AC95" s="247"/>
      <c r="AD95" s="247"/>
    </row>
    <row r="96" ht="15.75" customHeight="1">
      <c r="A96" s="250"/>
      <c r="B96" s="250"/>
      <c r="C96" s="250"/>
      <c r="D96" s="247"/>
      <c r="E96" s="247"/>
      <c r="F96" s="247"/>
      <c r="G96" s="247"/>
      <c r="H96" s="247"/>
      <c r="I96" s="247"/>
      <c r="J96" s="247"/>
      <c r="K96" s="247"/>
      <c r="L96" s="247"/>
      <c r="M96" s="247"/>
      <c r="N96" s="247"/>
      <c r="O96" s="247"/>
      <c r="P96" s="247"/>
      <c r="Q96" s="247"/>
      <c r="R96" s="247"/>
      <c r="S96" s="247"/>
      <c r="T96" s="247"/>
      <c r="U96" s="247"/>
      <c r="V96" s="247"/>
      <c r="W96" s="247"/>
      <c r="X96" s="247"/>
      <c r="Y96" s="247"/>
      <c r="Z96" s="247"/>
      <c r="AA96" s="247"/>
      <c r="AB96" s="247"/>
      <c r="AC96" s="247"/>
      <c r="AD96" s="247"/>
    </row>
    <row r="97" ht="15.75" customHeight="1">
      <c r="A97" s="250" t="s">
        <v>4932</v>
      </c>
      <c r="B97" s="250" t="s">
        <v>4878</v>
      </c>
      <c r="C97" s="250" t="s">
        <v>4933</v>
      </c>
      <c r="D97" s="246" t="s">
        <v>4880</v>
      </c>
      <c r="E97" s="247"/>
      <c r="F97" s="247"/>
      <c r="G97" s="247" t="s">
        <v>4928</v>
      </c>
      <c r="H97" s="247"/>
      <c r="I97" s="247"/>
      <c r="J97" s="247"/>
      <c r="K97" s="247"/>
      <c r="L97" s="247"/>
      <c r="M97" s="247"/>
      <c r="N97" s="247"/>
      <c r="O97" s="247"/>
      <c r="P97" s="247"/>
      <c r="Q97" s="247"/>
      <c r="R97" s="247"/>
      <c r="S97" s="247"/>
      <c r="T97" s="247"/>
      <c r="U97" s="247"/>
      <c r="V97" s="247"/>
      <c r="W97" s="247"/>
      <c r="X97" s="247"/>
      <c r="Y97" s="247"/>
      <c r="Z97" s="247"/>
      <c r="AA97" s="247"/>
      <c r="AB97" s="247"/>
      <c r="AC97" s="247"/>
      <c r="AD97" s="247"/>
    </row>
    <row r="98" ht="15.75" customHeight="1">
      <c r="A98" s="250" t="s">
        <v>4932</v>
      </c>
      <c r="B98" s="250" t="s">
        <v>4878</v>
      </c>
      <c r="C98" s="250" t="s">
        <v>4933</v>
      </c>
      <c r="D98" s="246" t="s">
        <v>4884</v>
      </c>
      <c r="E98" s="247"/>
      <c r="F98" s="247"/>
      <c r="G98" s="247" t="s">
        <v>4928</v>
      </c>
      <c r="H98" s="247"/>
      <c r="I98" s="247"/>
      <c r="J98" s="247"/>
      <c r="K98" s="247"/>
      <c r="L98" s="247"/>
      <c r="M98" s="247"/>
      <c r="N98" s="247"/>
      <c r="O98" s="247"/>
      <c r="P98" s="247"/>
      <c r="Q98" s="247"/>
      <c r="R98" s="247"/>
      <c r="S98" s="247"/>
      <c r="T98" s="247"/>
      <c r="U98" s="247"/>
      <c r="V98" s="247"/>
      <c r="W98" s="247"/>
      <c r="X98" s="247"/>
      <c r="Y98" s="247"/>
      <c r="Z98" s="247"/>
      <c r="AA98" s="247"/>
      <c r="AB98" s="247"/>
      <c r="AC98" s="247"/>
      <c r="AD98" s="247"/>
    </row>
    <row r="99" ht="15.75" customHeight="1">
      <c r="A99" s="250" t="s">
        <v>4932</v>
      </c>
      <c r="B99" s="250" t="s">
        <v>4878</v>
      </c>
      <c r="C99" s="250" t="s">
        <v>4933</v>
      </c>
      <c r="D99" s="246" t="s">
        <v>4887</v>
      </c>
      <c r="E99" s="247"/>
      <c r="F99" s="247"/>
      <c r="G99" s="247" t="s">
        <v>4928</v>
      </c>
      <c r="H99" s="247"/>
      <c r="I99" s="247"/>
      <c r="J99" s="247"/>
      <c r="K99" s="247"/>
      <c r="L99" s="247"/>
      <c r="M99" s="247"/>
      <c r="N99" s="247"/>
      <c r="O99" s="247"/>
      <c r="P99" s="247"/>
      <c r="Q99" s="247"/>
      <c r="R99" s="247"/>
      <c r="S99" s="247"/>
      <c r="T99" s="247"/>
      <c r="U99" s="247"/>
      <c r="V99" s="247"/>
      <c r="W99" s="247"/>
      <c r="X99" s="247"/>
      <c r="Y99" s="247"/>
      <c r="Z99" s="247"/>
      <c r="AA99" s="247"/>
      <c r="AB99" s="247"/>
      <c r="AC99" s="247"/>
      <c r="AD99" s="247"/>
    </row>
    <row r="100" ht="15.75" customHeight="1">
      <c r="A100" s="250"/>
      <c r="B100" s="250"/>
      <c r="C100" s="250"/>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c r="AA100" s="247"/>
      <c r="AB100" s="247"/>
      <c r="AC100" s="247"/>
      <c r="AD100" s="247"/>
    </row>
    <row r="101" ht="15.75" customHeight="1">
      <c r="A101" s="250"/>
      <c r="B101" s="250"/>
      <c r="C101" s="250"/>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c r="AA101" s="247"/>
      <c r="AB101" s="247"/>
      <c r="AC101" s="247"/>
      <c r="AD101" s="247"/>
    </row>
    <row r="102" ht="15.75" customHeight="1">
      <c r="A102" s="250" t="s">
        <v>4934</v>
      </c>
      <c r="B102" s="250" t="s">
        <v>4879</v>
      </c>
      <c r="C102" s="250" t="s">
        <v>4933</v>
      </c>
      <c r="D102" s="246" t="s">
        <v>4880</v>
      </c>
      <c r="E102" s="247" t="s">
        <v>4928</v>
      </c>
      <c r="F102" s="247"/>
      <c r="G102" s="247"/>
      <c r="H102" s="247"/>
      <c r="I102" s="247"/>
      <c r="J102" s="247"/>
      <c r="K102" s="247"/>
      <c r="L102" s="247"/>
      <c r="M102" s="247"/>
      <c r="N102" s="247"/>
      <c r="O102" s="247"/>
      <c r="P102" s="247"/>
      <c r="Q102" s="247"/>
      <c r="R102" s="247"/>
      <c r="S102" s="247"/>
      <c r="T102" s="247"/>
      <c r="U102" s="247"/>
      <c r="V102" s="247"/>
      <c r="W102" s="247"/>
      <c r="X102" s="247"/>
      <c r="Y102" s="247"/>
      <c r="Z102" s="247"/>
      <c r="AA102" s="247"/>
      <c r="AB102" s="247"/>
      <c r="AC102" s="247"/>
      <c r="AD102" s="247"/>
    </row>
    <row r="103" ht="15.75" customHeight="1">
      <c r="A103" s="250" t="s">
        <v>4934</v>
      </c>
      <c r="B103" s="250" t="s">
        <v>4879</v>
      </c>
      <c r="C103" s="250" t="s">
        <v>4933</v>
      </c>
      <c r="D103" s="246" t="s">
        <v>4884</v>
      </c>
      <c r="E103" s="247" t="s">
        <v>4928</v>
      </c>
      <c r="F103" s="247"/>
      <c r="G103" s="247"/>
      <c r="H103" s="247"/>
      <c r="I103" s="247"/>
      <c r="J103" s="247"/>
      <c r="K103" s="247"/>
      <c r="L103" s="247"/>
      <c r="M103" s="247"/>
      <c r="N103" s="247"/>
      <c r="O103" s="247"/>
      <c r="P103" s="247"/>
      <c r="Q103" s="247"/>
      <c r="R103" s="247"/>
      <c r="S103" s="247"/>
      <c r="T103" s="247"/>
      <c r="U103" s="247"/>
      <c r="V103" s="247"/>
      <c r="W103" s="247"/>
      <c r="X103" s="247"/>
      <c r="Y103" s="247"/>
      <c r="Z103" s="247"/>
      <c r="AA103" s="247"/>
      <c r="AB103" s="247"/>
      <c r="AC103" s="247"/>
      <c r="AD103" s="247"/>
    </row>
    <row r="104" ht="15.75" customHeight="1">
      <c r="A104" s="250" t="s">
        <v>4934</v>
      </c>
      <c r="B104" s="250" t="s">
        <v>4879</v>
      </c>
      <c r="C104" s="250" t="s">
        <v>4933</v>
      </c>
      <c r="D104" s="246" t="s">
        <v>4887</v>
      </c>
      <c r="E104" s="247" t="s">
        <v>4928</v>
      </c>
      <c r="F104" s="247"/>
      <c r="G104" s="247"/>
      <c r="H104" s="247"/>
      <c r="I104" s="247"/>
      <c r="J104" s="247"/>
      <c r="K104" s="247"/>
      <c r="L104" s="247"/>
      <c r="M104" s="247"/>
      <c r="N104" s="247"/>
      <c r="O104" s="247"/>
      <c r="P104" s="247"/>
      <c r="Q104" s="247"/>
      <c r="R104" s="247"/>
      <c r="S104" s="247"/>
      <c r="T104" s="247"/>
      <c r="U104" s="247"/>
      <c r="V104" s="247"/>
      <c r="W104" s="247"/>
      <c r="X104" s="247"/>
      <c r="Y104" s="247"/>
      <c r="Z104" s="247"/>
      <c r="AA104" s="247"/>
      <c r="AB104" s="247"/>
      <c r="AC104" s="247"/>
      <c r="AD104" s="247"/>
    </row>
    <row r="105" ht="15.7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c r="AA105" s="247"/>
      <c r="AB105" s="247"/>
      <c r="AC105" s="247"/>
      <c r="AD105" s="247"/>
    </row>
    <row r="106" ht="15.7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c r="AA106" s="247"/>
      <c r="AB106" s="247"/>
      <c r="AC106" s="247"/>
      <c r="AD106" s="247"/>
    </row>
    <row r="107" ht="15.7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c r="AB107" s="247"/>
      <c r="AC107" s="247"/>
      <c r="AD107" s="247"/>
    </row>
    <row r="108" ht="15.7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c r="AA108" s="247"/>
      <c r="AB108" s="247"/>
      <c r="AC108" s="247"/>
      <c r="AD108" s="247"/>
    </row>
    <row r="109" ht="15.7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7"/>
      <c r="AC109" s="247"/>
      <c r="AD109" s="247"/>
    </row>
    <row r="110" ht="15.7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c r="AA110" s="247"/>
      <c r="AB110" s="247"/>
      <c r="AC110" s="247"/>
      <c r="AD110" s="247"/>
    </row>
    <row r="111" ht="15.7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c r="AA111" s="247"/>
      <c r="AB111" s="247"/>
      <c r="AC111" s="247"/>
      <c r="AD111" s="247"/>
    </row>
    <row r="112" ht="15.7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c r="AA112" s="247"/>
      <c r="AB112" s="247"/>
      <c r="AC112" s="247"/>
      <c r="AD112" s="247"/>
    </row>
    <row r="113" ht="15.7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c r="AA113" s="247"/>
      <c r="AB113" s="247"/>
      <c r="AC113" s="247"/>
      <c r="AD113" s="247"/>
    </row>
    <row r="114" ht="15.7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c r="AA114" s="247"/>
      <c r="AB114" s="247"/>
      <c r="AC114" s="247"/>
      <c r="AD114" s="247"/>
    </row>
    <row r="115" ht="15.7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c r="AA115" s="247"/>
      <c r="AB115" s="247"/>
      <c r="AC115" s="247"/>
      <c r="AD115" s="247"/>
    </row>
    <row r="116" ht="15.7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c r="AA116" s="247"/>
      <c r="AB116" s="247"/>
      <c r="AC116" s="247"/>
      <c r="AD116" s="247"/>
    </row>
    <row r="117" ht="15.7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c r="AB117" s="247"/>
      <c r="AC117" s="247"/>
      <c r="AD117" s="247"/>
    </row>
    <row r="118" ht="15.7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c r="AA118" s="247"/>
      <c r="AB118" s="247"/>
      <c r="AC118" s="247"/>
      <c r="AD118" s="247"/>
    </row>
    <row r="119" ht="15.7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c r="AA119" s="247"/>
      <c r="AB119" s="247"/>
      <c r="AC119" s="247"/>
      <c r="AD119" s="247"/>
    </row>
    <row r="120" ht="15.7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c r="AA120" s="247"/>
      <c r="AB120" s="247"/>
      <c r="AC120" s="247"/>
      <c r="AD120" s="247"/>
    </row>
    <row r="121" ht="15.7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c r="AB121" s="247"/>
      <c r="AC121" s="247"/>
      <c r="AD121" s="247"/>
    </row>
    <row r="122" ht="15.7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c r="AA122" s="247"/>
      <c r="AB122" s="247"/>
      <c r="AC122" s="247"/>
      <c r="AD122" s="247"/>
    </row>
    <row r="123" ht="15.7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c r="AB123" s="247"/>
      <c r="AC123" s="247"/>
      <c r="AD123" s="247"/>
    </row>
    <row r="124" ht="15.7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c r="AA124" s="247"/>
      <c r="AB124" s="247"/>
      <c r="AC124" s="247"/>
      <c r="AD124" s="247"/>
    </row>
    <row r="125" ht="15.7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c r="AA125" s="247"/>
      <c r="AB125" s="247"/>
      <c r="AC125" s="247"/>
      <c r="AD125" s="247"/>
    </row>
    <row r="126" ht="15.7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c r="AA126" s="247"/>
      <c r="AB126" s="247"/>
      <c r="AC126" s="247"/>
      <c r="AD126" s="247"/>
    </row>
    <row r="127" ht="15.7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c r="AA127" s="247"/>
      <c r="AB127" s="247"/>
      <c r="AC127" s="247"/>
      <c r="AD127" s="247"/>
    </row>
    <row r="128" ht="15.7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c r="AB128" s="247"/>
      <c r="AC128" s="247"/>
      <c r="AD128" s="247"/>
    </row>
    <row r="129" ht="15.7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c r="AA129" s="247"/>
      <c r="AB129" s="247"/>
      <c r="AC129" s="247"/>
      <c r="AD129" s="247"/>
    </row>
    <row r="130" ht="15.7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c r="AA130" s="247"/>
      <c r="AB130" s="247"/>
      <c r="AC130" s="247"/>
      <c r="AD130" s="247"/>
    </row>
    <row r="131" ht="15.7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c r="AA131" s="247"/>
      <c r="AB131" s="247"/>
      <c r="AC131" s="247"/>
      <c r="AD131" s="247"/>
    </row>
    <row r="132" ht="15.7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c r="AB132" s="247"/>
      <c r="AC132" s="247"/>
      <c r="AD132" s="247"/>
    </row>
    <row r="133" ht="15.7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c r="AA133" s="247"/>
      <c r="AB133" s="247"/>
      <c r="AC133" s="247"/>
      <c r="AD133" s="247"/>
    </row>
    <row r="134" ht="15.7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7"/>
      <c r="AB134" s="247"/>
      <c r="AC134" s="247"/>
      <c r="AD134" s="247"/>
    </row>
    <row r="135" ht="15.7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c r="AA135" s="247"/>
      <c r="AB135" s="247"/>
      <c r="AC135" s="247"/>
      <c r="AD135" s="247"/>
    </row>
    <row r="136" ht="15.7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c r="AA136" s="247"/>
      <c r="AB136" s="247"/>
      <c r="AC136" s="247"/>
      <c r="AD136" s="247"/>
    </row>
    <row r="137" ht="15.7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c r="AA137" s="247"/>
      <c r="AB137" s="247"/>
      <c r="AC137" s="247"/>
      <c r="AD137" s="247"/>
    </row>
    <row r="138" ht="15.7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c r="AB138" s="247"/>
      <c r="AC138" s="247"/>
      <c r="AD138" s="247"/>
    </row>
    <row r="139" ht="15.7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c r="AA139" s="247"/>
      <c r="AB139" s="247"/>
      <c r="AC139" s="247"/>
      <c r="AD139" s="247"/>
    </row>
    <row r="140" ht="15.7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c r="AA140" s="247"/>
      <c r="AB140" s="247"/>
      <c r="AC140" s="247"/>
      <c r="AD140" s="247"/>
    </row>
    <row r="141" ht="15.7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c r="AA141" s="247"/>
      <c r="AB141" s="247"/>
      <c r="AC141" s="247"/>
      <c r="AD141" s="247"/>
    </row>
    <row r="142" ht="15.7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c r="AA142" s="247"/>
      <c r="AB142" s="247"/>
      <c r="AC142" s="247"/>
      <c r="AD142" s="247"/>
    </row>
    <row r="143" ht="15.7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c r="AA143" s="247"/>
      <c r="AB143" s="247"/>
      <c r="AC143" s="247"/>
      <c r="AD143" s="247"/>
    </row>
    <row r="144" ht="15.7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c r="AA144" s="247"/>
      <c r="AB144" s="247"/>
      <c r="AC144" s="247"/>
      <c r="AD144" s="247"/>
    </row>
    <row r="145" ht="15.7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c r="AA145" s="247"/>
      <c r="AB145" s="247"/>
      <c r="AC145" s="247"/>
      <c r="AD145" s="247"/>
    </row>
    <row r="146" ht="15.7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c r="AA146" s="247"/>
      <c r="AB146" s="247"/>
      <c r="AC146" s="247"/>
      <c r="AD146" s="247"/>
    </row>
    <row r="147" ht="15.7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c r="AA147" s="247"/>
      <c r="AB147" s="247"/>
      <c r="AC147" s="247"/>
      <c r="AD147" s="247"/>
    </row>
    <row r="148" ht="15.7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c r="AA148" s="247"/>
      <c r="AB148" s="247"/>
      <c r="AC148" s="247"/>
      <c r="AD148" s="247"/>
    </row>
    <row r="149" ht="15.7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c r="AB149" s="247"/>
      <c r="AC149" s="247"/>
      <c r="AD149" s="247"/>
    </row>
    <row r="150" ht="15.7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c r="AA150" s="247"/>
      <c r="AB150" s="247"/>
      <c r="AC150" s="247"/>
      <c r="AD150" s="247"/>
    </row>
    <row r="151" ht="15.7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c r="AB151" s="247"/>
      <c r="AC151" s="247"/>
      <c r="AD151" s="247"/>
    </row>
    <row r="152" ht="15.7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c r="AA152" s="247"/>
      <c r="AB152" s="247"/>
      <c r="AC152" s="247"/>
      <c r="AD152" s="247"/>
    </row>
    <row r="153" ht="15.7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c r="AA153" s="247"/>
      <c r="AB153" s="247"/>
      <c r="AC153" s="247"/>
      <c r="AD153" s="247"/>
    </row>
    <row r="154" ht="15.7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c r="AA154" s="247"/>
      <c r="AB154" s="247"/>
      <c r="AC154" s="247"/>
      <c r="AD154" s="247"/>
    </row>
    <row r="155" ht="15.7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c r="AD155" s="247"/>
    </row>
    <row r="156" ht="15.7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c r="AB156" s="247"/>
      <c r="AC156" s="247"/>
      <c r="AD156" s="247"/>
    </row>
    <row r="157" ht="15.7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c r="AA157" s="247"/>
      <c r="AB157" s="247"/>
      <c r="AC157" s="247"/>
      <c r="AD157" s="247"/>
    </row>
    <row r="158" ht="15.7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7"/>
      <c r="AC158" s="247"/>
      <c r="AD158" s="247"/>
    </row>
    <row r="159" ht="15.7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c r="AA159" s="247"/>
      <c r="AB159" s="247"/>
      <c r="AC159" s="247"/>
      <c r="AD159" s="247"/>
    </row>
    <row r="160" ht="15.7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c r="AA160" s="247"/>
      <c r="AB160" s="247"/>
      <c r="AC160" s="247"/>
      <c r="AD160" s="247"/>
    </row>
    <row r="161" ht="15.7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c r="AA161" s="247"/>
      <c r="AB161" s="247"/>
      <c r="AC161" s="247"/>
      <c r="AD161" s="247"/>
    </row>
    <row r="162" ht="15.7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c r="AC162" s="247"/>
      <c r="AD162" s="247"/>
    </row>
    <row r="163" ht="15.7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c r="AB163" s="247"/>
      <c r="AC163" s="247"/>
      <c r="AD163" s="247"/>
    </row>
    <row r="164" ht="15.7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c r="AB164" s="247"/>
      <c r="AC164" s="247"/>
      <c r="AD164" s="247"/>
    </row>
    <row r="165" ht="15.7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c r="AB165" s="247"/>
      <c r="AC165" s="247"/>
      <c r="AD165" s="247"/>
    </row>
    <row r="166" ht="15.7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c r="AB166" s="247"/>
      <c r="AC166" s="247"/>
      <c r="AD166" s="247"/>
    </row>
    <row r="167" ht="15.7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c r="AB167" s="247"/>
      <c r="AC167" s="247"/>
      <c r="AD167" s="247"/>
    </row>
    <row r="168" ht="15.7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c r="AB168" s="247"/>
      <c r="AC168" s="247"/>
      <c r="AD168" s="247"/>
    </row>
    <row r="169" ht="15.7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c r="AB169" s="247"/>
      <c r="AC169" s="247"/>
      <c r="AD169" s="247"/>
    </row>
    <row r="170" ht="15.7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c r="AC170" s="247"/>
      <c r="AD170" s="247"/>
    </row>
    <row r="171" ht="15.7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c r="AB171" s="247"/>
      <c r="AC171" s="247"/>
      <c r="AD171" s="247"/>
    </row>
    <row r="172" ht="15.7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c r="AC172" s="247"/>
      <c r="AD172" s="247"/>
    </row>
    <row r="173" ht="15.7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c r="AC173" s="247"/>
      <c r="AD173" s="247"/>
    </row>
    <row r="174" ht="15.7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c r="AD174" s="247"/>
    </row>
    <row r="175" ht="15.7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c r="AC175" s="247"/>
      <c r="AD175" s="247"/>
    </row>
    <row r="176" ht="15.7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c r="AB176" s="247"/>
      <c r="AC176" s="247"/>
      <c r="AD176" s="247"/>
    </row>
    <row r="177" ht="15.7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c r="AB177" s="247"/>
      <c r="AC177" s="247"/>
      <c r="AD177" s="247"/>
    </row>
    <row r="178" ht="15.7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c r="AB178" s="247"/>
      <c r="AC178" s="247"/>
      <c r="AD178" s="247"/>
    </row>
    <row r="179" ht="15.7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c r="AB179" s="247"/>
      <c r="AC179" s="247"/>
      <c r="AD179" s="247"/>
    </row>
    <row r="180" ht="15.7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c r="AC180" s="247"/>
      <c r="AD180" s="247"/>
    </row>
    <row r="181" ht="15.7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c r="AB181" s="247"/>
      <c r="AC181" s="247"/>
      <c r="AD181" s="247"/>
    </row>
    <row r="182" ht="15.7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c r="AB182" s="247"/>
      <c r="AC182" s="247"/>
      <c r="AD182" s="247"/>
    </row>
    <row r="183" ht="15.7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c r="AB183" s="247"/>
      <c r="AC183" s="247"/>
      <c r="AD183" s="247"/>
    </row>
    <row r="184" ht="15.7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c r="AB184" s="247"/>
      <c r="AC184" s="247"/>
      <c r="AD184" s="247"/>
    </row>
    <row r="185" ht="15.7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c r="AC185" s="247"/>
      <c r="AD185" s="247"/>
    </row>
    <row r="186" ht="15.7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c r="AB186" s="247"/>
      <c r="AC186" s="247"/>
      <c r="AD186" s="247"/>
    </row>
    <row r="187" ht="15.7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c r="AB187" s="247"/>
      <c r="AC187" s="247"/>
      <c r="AD187" s="247"/>
    </row>
    <row r="188" ht="15.7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c r="AB188" s="247"/>
      <c r="AC188" s="247"/>
      <c r="AD188" s="247"/>
    </row>
    <row r="189" ht="15.7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c r="AB189" s="247"/>
      <c r="AC189" s="247"/>
      <c r="AD189" s="247"/>
    </row>
    <row r="190" ht="15.7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c r="AB190" s="247"/>
      <c r="AC190" s="247"/>
      <c r="AD190" s="247"/>
    </row>
    <row r="191" ht="15.7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c r="AB191" s="247"/>
      <c r="AC191" s="247"/>
      <c r="AD191" s="247"/>
    </row>
    <row r="192" ht="15.7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c r="AC192" s="247"/>
      <c r="AD192" s="247"/>
    </row>
    <row r="193" ht="15.7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c r="AB193" s="247"/>
      <c r="AC193" s="247"/>
      <c r="AD193" s="247"/>
    </row>
    <row r="194" ht="15.7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c r="AC194" s="247"/>
      <c r="AD194" s="247"/>
    </row>
    <row r="195" ht="15.7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c r="AC195" s="247"/>
      <c r="AD195" s="247"/>
    </row>
    <row r="196" ht="15.7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c r="AC196" s="247"/>
      <c r="AD196" s="247"/>
    </row>
    <row r="197" ht="15.7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c r="AC197" s="247"/>
      <c r="AD197" s="247"/>
    </row>
    <row r="198" ht="15.7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c r="AC198" s="247"/>
      <c r="AD198" s="247"/>
    </row>
    <row r="199" ht="15.7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c r="AC199" s="247"/>
      <c r="AD199" s="247"/>
    </row>
    <row r="200" ht="15.7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c r="AC200" s="247"/>
      <c r="AD200" s="247"/>
    </row>
    <row r="201" ht="15.7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c r="AC201" s="247"/>
      <c r="AD201" s="247"/>
    </row>
    <row r="202" ht="15.7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c r="AC202" s="247"/>
      <c r="AD202" s="247"/>
    </row>
    <row r="203" ht="15.7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c r="AC203" s="247"/>
      <c r="AD203" s="247"/>
    </row>
    <row r="204" ht="15.7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c r="AC204" s="247"/>
      <c r="AD204" s="247"/>
    </row>
    <row r="205" ht="15.7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c r="AB205" s="247"/>
      <c r="AC205" s="247"/>
      <c r="AD205" s="247"/>
    </row>
    <row r="206" ht="15.7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c r="AB206" s="247"/>
      <c r="AC206" s="247"/>
      <c r="AD206" s="247"/>
    </row>
    <row r="207" ht="15.7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c r="AB207" s="247"/>
      <c r="AC207" s="247"/>
      <c r="AD207" s="247"/>
    </row>
    <row r="208" ht="15.7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c r="AB208" s="247"/>
      <c r="AC208" s="247"/>
      <c r="AD208" s="247"/>
    </row>
    <row r="209" ht="15.7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c r="AB209" s="247"/>
      <c r="AC209" s="247"/>
      <c r="AD209" s="247"/>
    </row>
    <row r="210" ht="15.7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c r="AC210" s="247"/>
      <c r="AD210" s="247"/>
    </row>
    <row r="211" ht="15.7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c r="AC211" s="247"/>
      <c r="AD211" s="247"/>
    </row>
    <row r="212" ht="15.7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c r="AB212" s="247"/>
      <c r="AC212" s="247"/>
      <c r="AD212" s="247"/>
    </row>
    <row r="213" ht="15.7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c r="AC213" s="247"/>
      <c r="AD213" s="247"/>
    </row>
    <row r="214" ht="15.7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c r="AB214" s="247"/>
      <c r="AC214" s="247"/>
      <c r="AD214" s="247"/>
    </row>
    <row r="215" ht="15.7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c r="AC215" s="247"/>
      <c r="AD215" s="247"/>
    </row>
    <row r="216" ht="15.7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c r="AC216" s="247"/>
      <c r="AD216" s="247"/>
    </row>
    <row r="217" ht="15.7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c r="AC217" s="247"/>
      <c r="AD217" s="247"/>
    </row>
    <row r="218" ht="15.7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c r="AB218" s="247"/>
      <c r="AC218" s="247"/>
      <c r="AD218" s="247"/>
    </row>
    <row r="219" ht="15.7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c r="AC219" s="247"/>
      <c r="AD219" s="247"/>
    </row>
    <row r="220" ht="15.7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c r="AB220" s="247"/>
      <c r="AC220" s="247"/>
      <c r="AD220" s="247"/>
    </row>
    <row r="221" ht="15.7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c r="AC221" s="247"/>
      <c r="AD221" s="247"/>
    </row>
    <row r="222" ht="15.7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c r="AB222" s="247"/>
      <c r="AC222" s="247"/>
      <c r="AD222" s="247"/>
    </row>
    <row r="223" ht="15.7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c r="AC223" s="247"/>
      <c r="AD223" s="247"/>
    </row>
    <row r="224" ht="15.7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c r="AB224" s="247"/>
      <c r="AC224" s="247"/>
      <c r="AD224" s="247"/>
    </row>
    <row r="225" ht="15.7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c r="AC225" s="247"/>
      <c r="AD225" s="247"/>
    </row>
    <row r="226" ht="15.7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7"/>
      <c r="AC226" s="247"/>
      <c r="AD226" s="247"/>
    </row>
    <row r="227" ht="15.7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c r="AC227" s="247"/>
      <c r="AD227" s="247"/>
    </row>
    <row r="228" ht="15.7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c r="AB228" s="247"/>
      <c r="AC228" s="247"/>
      <c r="AD228" s="247"/>
    </row>
    <row r="229" ht="15.7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c r="AC229" s="247"/>
      <c r="AD229" s="247"/>
    </row>
    <row r="230" ht="15.7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c r="AB230" s="247"/>
      <c r="AC230" s="247"/>
      <c r="AD230" s="247"/>
    </row>
    <row r="231" ht="15.7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c r="AC231" s="247"/>
      <c r="AD231" s="247"/>
    </row>
    <row r="232" ht="15.7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c r="AB232" s="247"/>
      <c r="AC232" s="247"/>
      <c r="AD232" s="247"/>
    </row>
    <row r="233" ht="15.7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c r="AC233" s="247"/>
      <c r="AD233" s="247"/>
    </row>
    <row r="234" ht="15.7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c r="AC234" s="247"/>
      <c r="AD234" s="247"/>
    </row>
    <row r="235" ht="15.7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c r="AC235" s="247"/>
      <c r="AD235" s="247"/>
    </row>
    <row r="236" ht="15.7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c r="AB236" s="247"/>
      <c r="AC236" s="247"/>
      <c r="AD236" s="247"/>
    </row>
    <row r="237" ht="15.7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c r="AC237" s="247"/>
      <c r="AD237" s="247"/>
    </row>
    <row r="238" ht="15.7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c r="AB238" s="247"/>
      <c r="AC238" s="247"/>
      <c r="AD238" s="247"/>
    </row>
    <row r="239" ht="15.7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c r="AC239" s="247"/>
      <c r="AD239" s="247"/>
    </row>
    <row r="240" ht="15.7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c r="AB240" s="247"/>
      <c r="AC240" s="247"/>
      <c r="AD240" s="247"/>
    </row>
    <row r="241" ht="15.7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c r="AC241" s="247"/>
      <c r="AD241" s="247"/>
    </row>
    <row r="242" ht="15.7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c r="AB242" s="247"/>
      <c r="AC242" s="247"/>
      <c r="AD242" s="247"/>
    </row>
    <row r="243" ht="15.7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c r="AC243" s="247"/>
      <c r="AD243" s="247"/>
    </row>
    <row r="244" ht="15.7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c r="AB244" s="247"/>
      <c r="AC244" s="247"/>
      <c r="AD244" s="247"/>
    </row>
    <row r="245" ht="15.7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c r="AC245" s="247"/>
      <c r="AD245" s="247"/>
    </row>
    <row r="246" ht="15.7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c r="AB246" s="247"/>
      <c r="AC246" s="247"/>
      <c r="AD246" s="247"/>
    </row>
    <row r="247" ht="15.7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c r="AC247" s="247"/>
      <c r="AD247" s="247"/>
    </row>
    <row r="248" ht="15.7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c r="AC248" s="247"/>
      <c r="AD248" s="247"/>
    </row>
    <row r="249" ht="15.7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c r="AC249" s="247"/>
      <c r="AD249" s="247"/>
    </row>
    <row r="250" ht="15.7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c r="AC250" s="247"/>
      <c r="AD250" s="247"/>
    </row>
    <row r="251" ht="15.7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c r="AC251" s="247"/>
      <c r="AD251" s="247"/>
    </row>
    <row r="252" ht="15.7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c r="AB252" s="247"/>
      <c r="AC252" s="247"/>
      <c r="AD252" s="247"/>
    </row>
    <row r="253" ht="15.7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c r="AC253" s="247"/>
      <c r="AD253" s="247"/>
    </row>
    <row r="254" ht="15.7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c r="AC254" s="247"/>
      <c r="AD254" s="247"/>
    </row>
    <row r="255" ht="15.7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c r="AC255" s="247"/>
      <c r="AD255" s="247"/>
    </row>
    <row r="256" ht="15.7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c r="AB256" s="247"/>
      <c r="AC256" s="247"/>
      <c r="AD256" s="247"/>
    </row>
    <row r="257" ht="15.7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c r="AB257" s="247"/>
      <c r="AC257" s="247"/>
      <c r="AD257" s="247"/>
    </row>
    <row r="258" ht="15.7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c r="AB258" s="247"/>
      <c r="AC258" s="247"/>
      <c r="AD258" s="247"/>
    </row>
    <row r="259" ht="15.7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c r="AB259" s="247"/>
      <c r="AC259" s="247"/>
      <c r="AD259" s="247"/>
    </row>
    <row r="260" ht="15.7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c r="AB260" s="247"/>
      <c r="AC260" s="247"/>
      <c r="AD260" s="247"/>
    </row>
    <row r="261" ht="15.7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c r="AC261" s="247"/>
      <c r="AD261" s="247"/>
    </row>
    <row r="262" ht="15.7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c r="AB262" s="247"/>
      <c r="AC262" s="247"/>
      <c r="AD262" s="247"/>
    </row>
    <row r="263" ht="15.7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c r="AB263" s="247"/>
      <c r="AC263" s="247"/>
      <c r="AD263" s="247"/>
    </row>
    <row r="264" ht="15.7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c r="AB264" s="247"/>
      <c r="AC264" s="247"/>
      <c r="AD264" s="247"/>
    </row>
    <row r="265" ht="15.7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c r="AB265" s="247"/>
      <c r="AC265" s="247"/>
      <c r="AD265" s="247"/>
    </row>
    <row r="266" ht="15.7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c r="AB266" s="247"/>
      <c r="AC266" s="247"/>
      <c r="AD266" s="247"/>
    </row>
    <row r="267" ht="15.7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c r="AB267" s="247"/>
      <c r="AC267" s="247"/>
      <c r="AD267" s="247"/>
    </row>
    <row r="268" ht="15.7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c r="AB268" s="247"/>
      <c r="AC268" s="247"/>
      <c r="AD268" s="247"/>
    </row>
    <row r="269" ht="15.7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c r="AB269" s="247"/>
      <c r="AC269" s="247"/>
      <c r="AD269" s="247"/>
    </row>
    <row r="270" ht="15.7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c r="AB270" s="247"/>
      <c r="AC270" s="247"/>
      <c r="AD270" s="247"/>
    </row>
    <row r="271" ht="15.7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c r="AB271" s="247"/>
      <c r="AC271" s="247"/>
      <c r="AD271" s="247"/>
    </row>
    <row r="272" ht="15.7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c r="AB272" s="247"/>
      <c r="AC272" s="247"/>
      <c r="AD272" s="247"/>
    </row>
    <row r="273" ht="15.7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c r="AB273" s="247"/>
      <c r="AC273" s="247"/>
      <c r="AD273" s="247"/>
    </row>
    <row r="274" ht="15.7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c r="AB274" s="247"/>
      <c r="AC274" s="247"/>
      <c r="AD274" s="247"/>
    </row>
    <row r="275" ht="15.7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c r="AB275" s="247"/>
      <c r="AC275" s="247"/>
      <c r="AD275" s="247"/>
    </row>
    <row r="276" ht="15.7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c r="AB276" s="247"/>
      <c r="AC276" s="247"/>
      <c r="AD276" s="247"/>
    </row>
    <row r="277" ht="15.7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c r="AB277" s="247"/>
      <c r="AC277" s="247"/>
      <c r="AD277" s="247"/>
    </row>
    <row r="278" ht="15.7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c r="AB278" s="247"/>
      <c r="AC278" s="247"/>
      <c r="AD278" s="247"/>
    </row>
    <row r="279" ht="15.7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c r="AB279" s="247"/>
      <c r="AC279" s="247"/>
      <c r="AD279" s="247"/>
    </row>
    <row r="280" ht="15.7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c r="AB280" s="247"/>
      <c r="AC280" s="247"/>
      <c r="AD280" s="247"/>
    </row>
    <row r="281" ht="15.7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c r="AB281" s="247"/>
      <c r="AC281" s="247"/>
      <c r="AD281" s="247"/>
    </row>
    <row r="282" ht="15.7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c r="AB282" s="247"/>
      <c r="AC282" s="247"/>
      <c r="AD282" s="247"/>
    </row>
    <row r="283" ht="15.7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c r="AC283" s="247"/>
      <c r="AD283" s="247"/>
    </row>
    <row r="284" ht="15.7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c r="AC284" s="247"/>
      <c r="AD284" s="247"/>
    </row>
    <row r="285" ht="15.7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c r="AB285" s="247"/>
      <c r="AC285" s="247"/>
      <c r="AD285" s="247"/>
    </row>
    <row r="286" ht="15.7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c r="AB286" s="247"/>
      <c r="AC286" s="247"/>
      <c r="AD286" s="247"/>
    </row>
    <row r="287" ht="15.7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c r="AC287" s="247"/>
      <c r="AD287" s="247"/>
    </row>
    <row r="288" ht="15.7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c r="AB288" s="247"/>
      <c r="AC288" s="247"/>
      <c r="AD288" s="247"/>
    </row>
    <row r="289" ht="15.7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c r="AC289" s="247"/>
      <c r="AD289" s="247"/>
    </row>
    <row r="290" ht="15.7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c r="AB290" s="247"/>
      <c r="AC290" s="247"/>
      <c r="AD290" s="247"/>
    </row>
    <row r="291" ht="15.7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c r="AB291" s="247"/>
      <c r="AC291" s="247"/>
      <c r="AD291" s="247"/>
    </row>
    <row r="292" ht="15.7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c r="AB292" s="247"/>
      <c r="AC292" s="247"/>
      <c r="AD292" s="247"/>
    </row>
    <row r="293" ht="15.7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c r="AC293" s="247"/>
      <c r="AD293" s="247"/>
    </row>
    <row r="294" ht="15.7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c r="AB294" s="247"/>
      <c r="AC294" s="247"/>
      <c r="AD294" s="247"/>
    </row>
    <row r="295" ht="15.7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c r="AB295" s="247"/>
      <c r="AC295" s="247"/>
      <c r="AD295" s="247"/>
    </row>
    <row r="296" ht="15.7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c r="AB296" s="247"/>
      <c r="AC296" s="247"/>
      <c r="AD296" s="247"/>
    </row>
    <row r="297" ht="15.7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c r="AC297" s="247"/>
      <c r="AD297" s="247"/>
    </row>
    <row r="298" ht="15.7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c r="AB298" s="247"/>
      <c r="AC298" s="247"/>
      <c r="AD298" s="247"/>
    </row>
    <row r="299" ht="15.7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c r="AC299" s="247"/>
      <c r="AD299" s="247"/>
    </row>
    <row r="300" ht="15.7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c r="AB300" s="247"/>
      <c r="AC300" s="247"/>
      <c r="AD300" s="247"/>
    </row>
    <row r="301" ht="15.7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c r="AB301" s="247"/>
      <c r="AC301" s="247"/>
      <c r="AD301" s="247"/>
    </row>
    <row r="302" ht="15.7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c r="AB302" s="247"/>
      <c r="AC302" s="247"/>
      <c r="AD302" s="247"/>
    </row>
    <row r="303" ht="15.7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c r="AB303" s="247"/>
      <c r="AC303" s="247"/>
      <c r="AD303" s="247"/>
    </row>
    <row r="304" ht="15.7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c r="AB304" s="247"/>
      <c r="AC304" s="247"/>
      <c r="AD304" s="247"/>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1"/>
      <c r="B1" s="31" t="s">
        <v>4935</v>
      </c>
      <c r="C1" s="31" t="s">
        <v>4707</v>
      </c>
    </row>
    <row r="2">
      <c r="A2" s="251" t="s">
        <v>4879</v>
      </c>
      <c r="B2" s="252" t="s">
        <v>4936</v>
      </c>
      <c r="C2" s="17" t="s">
        <v>10</v>
      </c>
    </row>
    <row r="3">
      <c r="B3" s="252" t="s">
        <v>4937</v>
      </c>
      <c r="C3" s="17" t="s">
        <v>4938</v>
      </c>
    </row>
    <row r="4">
      <c r="B4" s="252" t="s">
        <v>4939</v>
      </c>
      <c r="C4" s="17" t="s">
        <v>10</v>
      </c>
    </row>
    <row r="5">
      <c r="B5" s="252" t="s">
        <v>4940</v>
      </c>
      <c r="C5" s="17" t="s">
        <v>10</v>
      </c>
    </row>
    <row r="6">
      <c r="B6" s="252" t="s">
        <v>4941</v>
      </c>
      <c r="C6" s="17" t="s">
        <v>10</v>
      </c>
    </row>
    <row r="7">
      <c r="A7" s="253"/>
    </row>
    <row r="8">
      <c r="A8" s="254" t="s">
        <v>4896</v>
      </c>
      <c r="B8" s="252" t="s">
        <v>4936</v>
      </c>
      <c r="C8" s="255" t="s">
        <v>10</v>
      </c>
    </row>
    <row r="9">
      <c r="B9" s="252" t="s">
        <v>4937</v>
      </c>
      <c r="C9" s="256" t="s">
        <v>4881</v>
      </c>
    </row>
    <row r="10">
      <c r="B10" s="252" t="s">
        <v>4939</v>
      </c>
      <c r="C10" s="256" t="s">
        <v>4881</v>
      </c>
    </row>
    <row r="11">
      <c r="B11" s="252" t="s">
        <v>4940</v>
      </c>
      <c r="C11" s="256" t="s">
        <v>10</v>
      </c>
    </row>
    <row r="12">
      <c r="B12" s="252" t="s">
        <v>4941</v>
      </c>
      <c r="C12" s="256" t="s">
        <v>10</v>
      </c>
    </row>
    <row r="14">
      <c r="A14" s="251" t="s">
        <v>4878</v>
      </c>
      <c r="B14" s="252" t="s">
        <v>4936</v>
      </c>
    </row>
    <row r="15">
      <c r="B15" s="252" t="s">
        <v>4937</v>
      </c>
    </row>
    <row r="16">
      <c r="B16" s="252" t="s">
        <v>4939</v>
      </c>
    </row>
    <row r="17">
      <c r="B17" s="252" t="s">
        <v>4940</v>
      </c>
    </row>
    <row r="18">
      <c r="B18" s="252" t="s">
        <v>4941</v>
      </c>
    </row>
    <row r="20">
      <c r="A20" s="254" t="s">
        <v>4889</v>
      </c>
      <c r="B20" s="252" t="s">
        <v>4936</v>
      </c>
      <c r="C20" s="255" t="s">
        <v>4881</v>
      </c>
    </row>
    <row r="21" ht="15.75" customHeight="1">
      <c r="B21" s="252" t="s">
        <v>4937</v>
      </c>
      <c r="C21" s="256" t="s">
        <v>4881</v>
      </c>
    </row>
    <row r="22" ht="15.75" customHeight="1">
      <c r="B22" s="252" t="s">
        <v>4939</v>
      </c>
      <c r="C22" s="256" t="s">
        <v>4881</v>
      </c>
    </row>
    <row r="23" ht="15.75" customHeight="1">
      <c r="B23" s="252" t="s">
        <v>4940</v>
      </c>
      <c r="C23" s="256" t="s">
        <v>4890</v>
      </c>
    </row>
    <row r="24" ht="15.75" customHeight="1">
      <c r="B24" s="252" t="s">
        <v>4941</v>
      </c>
      <c r="C24" s="256" t="s">
        <v>4881</v>
      </c>
    </row>
    <row r="25" ht="15.75" customHeight="1"/>
    <row r="26" ht="15.75" customHeight="1">
      <c r="A26" s="257" t="s">
        <v>4903</v>
      </c>
      <c r="B26" s="252" t="s">
        <v>4936</v>
      </c>
      <c r="C26" s="255" t="s">
        <v>4881</v>
      </c>
    </row>
    <row r="27" ht="15.75" customHeight="1">
      <c r="B27" s="252" t="s">
        <v>4937</v>
      </c>
      <c r="C27" s="256" t="s">
        <v>4881</v>
      </c>
    </row>
    <row r="28" ht="15.75" customHeight="1">
      <c r="B28" s="252" t="s">
        <v>4939</v>
      </c>
      <c r="C28" s="256" t="s">
        <v>4881</v>
      </c>
    </row>
    <row r="29" ht="15.75" customHeight="1">
      <c r="B29" s="252" t="s">
        <v>4940</v>
      </c>
      <c r="C29" s="256" t="s">
        <v>4881</v>
      </c>
    </row>
    <row r="30" ht="15.75" customHeight="1">
      <c r="B30" s="252" t="s">
        <v>4941</v>
      </c>
      <c r="C30" s="256" t="s">
        <v>4890</v>
      </c>
    </row>
    <row r="31" ht="15.75" customHeight="1"/>
    <row r="32" ht="15.75" customHeight="1">
      <c r="A32" s="257" t="s">
        <v>4900</v>
      </c>
      <c r="B32" s="252" t="s">
        <v>4936</v>
      </c>
      <c r="C32" s="17" t="s">
        <v>4881</v>
      </c>
    </row>
    <row r="33" ht="15.75" customHeight="1">
      <c r="B33" s="252" t="s">
        <v>4937</v>
      </c>
      <c r="C33" s="17" t="s">
        <v>4890</v>
      </c>
    </row>
    <row r="34" ht="15.75" customHeight="1">
      <c r="B34" s="252" t="s">
        <v>4939</v>
      </c>
    </row>
    <row r="35" ht="15.75" customHeight="1">
      <c r="B35" s="252" t="s">
        <v>4940</v>
      </c>
    </row>
    <row r="36" ht="15.75" customHeight="1">
      <c r="B36" s="252" t="s">
        <v>4941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252" t="s">
        <v>4942</v>
      </c>
      <c r="B2" s="258" t="s">
        <v>4943</v>
      </c>
    </row>
    <row r="3">
      <c r="A3" s="251" t="s">
        <v>4878</v>
      </c>
      <c r="B3" s="254" t="s">
        <v>4879</v>
      </c>
    </row>
    <row r="4">
      <c r="A4" s="259" t="s">
        <v>4878</v>
      </c>
      <c r="B4" s="260" t="s">
        <v>4889</v>
      </c>
    </row>
    <row r="5">
      <c r="A5" s="261" t="s">
        <v>4879</v>
      </c>
      <c r="B5" s="231" t="s">
        <v>4903</v>
      </c>
    </row>
    <row r="6">
      <c r="A6" s="261" t="s">
        <v>4879</v>
      </c>
      <c r="B6" s="231" t="s">
        <v>4889</v>
      </c>
    </row>
    <row r="7">
      <c r="A7" s="261" t="s">
        <v>4879</v>
      </c>
      <c r="B7" s="231" t="s">
        <v>4896</v>
      </c>
    </row>
    <row r="8">
      <c r="A8" s="262" t="s">
        <v>4889</v>
      </c>
      <c r="B8" s="231" t="s">
        <v>4889</v>
      </c>
    </row>
    <row r="9">
      <c r="A9" s="262" t="s">
        <v>4889</v>
      </c>
      <c r="B9" s="231" t="s">
        <v>4903</v>
      </c>
      <c r="F9" s="248" t="s">
        <v>4894</v>
      </c>
      <c r="G9" s="244"/>
    </row>
    <row r="10">
      <c r="A10" s="263" t="s">
        <v>4889</v>
      </c>
      <c r="B10" s="260" t="s">
        <v>4896</v>
      </c>
      <c r="F10" s="246" t="s">
        <v>4944</v>
      </c>
      <c r="G10" s="246" t="s">
        <v>4878</v>
      </c>
    </row>
    <row r="11">
      <c r="F11" s="246" t="s">
        <v>4945</v>
      </c>
      <c r="G11" s="246" t="s">
        <v>4879</v>
      </c>
    </row>
    <row r="12">
      <c r="F12" s="246" t="s">
        <v>4946</v>
      </c>
      <c r="G12" s="246" t="s">
        <v>4889</v>
      </c>
    </row>
    <row r="13">
      <c r="F13" s="246"/>
      <c r="G13" s="246"/>
    </row>
    <row r="14">
      <c r="F14" s="246" t="s">
        <v>4899</v>
      </c>
      <c r="G14" s="246" t="s">
        <v>4889</v>
      </c>
    </row>
    <row r="15">
      <c r="F15" s="246" t="s">
        <v>4901</v>
      </c>
      <c r="G15" s="246" t="s">
        <v>4900</v>
      </c>
    </row>
    <row r="16">
      <c r="F16" s="246" t="s">
        <v>4902</v>
      </c>
      <c r="G16" s="246" t="s">
        <v>4889</v>
      </c>
    </row>
    <row r="17">
      <c r="F17" s="246" t="s">
        <v>4904</v>
      </c>
      <c r="G17" s="246" t="s">
        <v>4903</v>
      </c>
    </row>
    <row r="18">
      <c r="F18" s="246" t="s">
        <v>4905</v>
      </c>
      <c r="G18" s="246" t="s">
        <v>4889</v>
      </c>
    </row>
    <row r="19">
      <c r="F19" s="246" t="s">
        <v>4906</v>
      </c>
      <c r="G19" s="246" t="s">
        <v>4879</v>
      </c>
    </row>
    <row r="20">
      <c r="F20" s="246" t="s">
        <v>4907</v>
      </c>
      <c r="G20" s="246" t="s">
        <v>4879</v>
      </c>
    </row>
    <row r="21" ht="15.75" customHeight="1">
      <c r="A21" s="17" t="s">
        <v>4896</v>
      </c>
      <c r="B21" s="17" t="s">
        <v>4947</v>
      </c>
      <c r="F21" s="249" t="s">
        <v>4908</v>
      </c>
      <c r="G21" s="246" t="s">
        <v>4889</v>
      </c>
    </row>
    <row r="22" ht="15.75" customHeight="1">
      <c r="F22" s="246" t="s">
        <v>4909</v>
      </c>
      <c r="G22" s="246" t="s">
        <v>4903</v>
      </c>
    </row>
    <row r="23" ht="15.75" customHeight="1">
      <c r="F23" s="246" t="s">
        <v>4910</v>
      </c>
      <c r="G23" s="246" t="s">
        <v>4896</v>
      </c>
    </row>
    <row r="24" ht="15.75" customHeight="1">
      <c r="F24" s="246" t="s">
        <v>4911</v>
      </c>
      <c r="G24" s="246" t="s">
        <v>4896</v>
      </c>
    </row>
    <row r="25" ht="15.75" customHeight="1">
      <c r="F25" s="246" t="s">
        <v>4912</v>
      </c>
      <c r="G25" s="246" t="s">
        <v>4903</v>
      </c>
    </row>
    <row r="26" ht="15.75" customHeight="1">
      <c r="F26" s="246" t="s">
        <v>4913</v>
      </c>
      <c r="G26" s="246" t="s">
        <v>4889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