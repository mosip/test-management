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erification - Summary" sheetId="1" r:id="rId4"/>
    <sheet state="visible" name="Injicertify-Testcases" sheetId="2" r:id="rId5"/>
    <sheet state="visible" name="Known issues" sheetId="3" r:id="rId6"/>
    <sheet state="visible" name="Feature Health" sheetId="4" r:id="rId7"/>
  </sheets>
  <definedNames>
    <definedName hidden="1" localSheetId="2" name="_xlnm._FilterDatabase">'Known issues'!$A$1:$F$27</definedName>
  </definedNames>
  <calcPr/>
  <extLst>
    <ext uri="GoogleSheetsCustomDataVersion2">
      <go:sheetsCustomData xmlns:go="http://customooxmlschemas.google.com/" r:id="rId8" roundtripDataChecksum="6zWTu3LD418QghOiG1tQsuBERPHSN6F1l3CvdydEVFw="/>
    </ext>
  </extLst>
</workbook>
</file>

<file path=xl/sharedStrings.xml><?xml version="1.0" encoding="utf-8"?>
<sst xmlns="http://schemas.openxmlformats.org/spreadsheetml/2006/main" count="5678" uniqueCount="1705">
  <si>
    <t>Details</t>
  </si>
  <si>
    <t>Stories 
Tested</t>
  </si>
  <si>
    <t>Test Cases</t>
  </si>
  <si>
    <t>API +Docker compose testing</t>
  </si>
  <si>
    <t>Browser Versions Used For Testing</t>
  </si>
  <si>
    <t>Tested on qa-inji1  env with components</t>
  </si>
  <si>
    <t>Total</t>
  </si>
  <si>
    <t>Total TC's</t>
  </si>
  <si>
    <t>With Stories</t>
  </si>
  <si>
    <t>w/o Stories</t>
  </si>
  <si>
    <t>Pass</t>
  </si>
  <si>
    <t>Fail</t>
  </si>
  <si>
    <t>NA</t>
  </si>
  <si>
    <t>Story</t>
  </si>
  <si>
    <t>Test Results</t>
  </si>
  <si>
    <t>injistackqa/inji-certify-with-plugins:0.14.x</t>
  </si>
  <si>
    <t>Inji-Certify</t>
  </si>
  <si>
    <t>injistackqa/uitest-web:release-0.16.x</t>
  </si>
  <si>
    <t>injistack/mimoto:0.21.0</t>
  </si>
  <si>
    <t>injistackqa/inji-verify-service:develop</t>
  </si>
  <si>
    <t>injistackqa/inji-verify-ui:develop</t>
  </si>
  <si>
    <t>nginx</t>
  </si>
  <si>
    <t>mosipid/softhsm:v2</t>
  </si>
  <si>
    <t>mosipid/kernel-config-server:1.3.0</t>
  </si>
  <si>
    <t>mosipqa/postgres-init:develop</t>
  </si>
  <si>
    <t>injistackqa/apitest-inji-certify:0.14.x</t>
  </si>
  <si>
    <t>Authorization from  released  env with components</t>
  </si>
  <si>
    <t>mosipid/credential-service:1.2.2.2</t>
  </si>
  <si>
    <t>mosipid/data-share-service:1.2.0.1</t>
  </si>
  <si>
    <t>mosipid/data-share-service:1.3.0-beta.2  - Injiweb</t>
  </si>
  <si>
    <t>mosipid/digital-card-service:1.2.0.1</t>
  </si>
  <si>
    <t>mosipid/esignet:1.6.2</t>
  </si>
  <si>
    <t>mosipid/mock-identity-system:0.11.1</t>
  </si>
  <si>
    <t>sunbird-rc/sunbird-rc-core:v1.0.0</t>
  </si>
  <si>
    <t>sunbird-rc/sunbird-rc-credential-schema:v2.0.0-rc3</t>
  </si>
  <si>
    <t>sunbird-rc/sunbird-rc-credentials-service:v2.0.0-rc3</t>
  </si>
  <si>
    <t>sunbird-rc/sunbird-rc-identity-service:v2.0.0-rc3</t>
  </si>
  <si>
    <t>Story id</t>
  </si>
  <si>
    <t>Story Title</t>
  </si>
  <si>
    <t>TestCase_No</t>
  </si>
  <si>
    <t>Feature</t>
  </si>
  <si>
    <t>Scenario</t>
  </si>
  <si>
    <t>Test case step</t>
  </si>
  <si>
    <t>Expected Result</t>
  </si>
  <si>
    <t>Remarks</t>
  </si>
  <si>
    <t>Bug ID</t>
  </si>
  <si>
    <t>Stoplight APIs</t>
  </si>
  <si>
    <t>TC_01</t>
  </si>
  <si>
    <t>Well-known endpoint</t>
  </si>
  <si>
    <t>Verify the response of VC issuer meta data API</t>
  </si>
  <si>
    <t>Well-known endpoint
 1. hit {{url}}/v1/certify
 /issuance/.well-known/openid-credential-issuer</t>
  </si>
  <si>
    <t>Response should have credential issuer supported configuration</t>
  </si>
  <si>
    <t>TC_02</t>
  </si>
  <si>
    <t>Verify the supported format and scope in the open-id credential issuer endpoint response</t>
  </si>
  <si>
    <t>The response should have supported format "format": "ldp_vc", and scope "scope": "sunbird_rc_insurance_vc_ldp",</t>
  </si>
  <si>
    <t>TC_03</t>
  </si>
  <si>
    <t>Verify the credential attributes that are returned in the credential subject</t>
  </si>
  <si>
    <t>Attribute list should have name , email, dob, mobile, benefits, policynumber, policyname, policy issued on, policy expires on</t>
  </si>
  <si>
    <t>TC_04</t>
  </si>
  <si>
    <t>Fetch well known file(response of VC issuer meta data API) for version specified in params(v11)</t>
  </si>
  <si>
    <t>Well-known endpoint
 1.Give version version value as v11 in params and hit {{url}}/v1/certify
 /issuance/.well-known/openid-credential-issuer</t>
  </si>
  <si>
    <t>Response should have credential issuer supported configuration as per vesion specified in params</t>
  </si>
  <si>
    <t>TC_05</t>
  </si>
  <si>
    <t>Fetch well known file(response of VC issuer meta data API) for version specified in params(v12)</t>
  </si>
  <si>
    <t>TC_06</t>
  </si>
  <si>
    <t>credential API(validation in format and proof)</t>
  </si>
  <si>
    <t>Verify the response of credential request with valid format(idp_vc) and proof_jwt</t>
  </si>
  <si>
    <t>1. OAuthdetails API is executed with scope "sunbird_rc_insurance_vc_ldp"
 2. User is Authenticated via Authenticate {{url}}/authorization/authenticate API
 3. Hit {{url}}/authorization/auth-code API
 4. Hit {{url}}/oauth/v2/token API
 5. Hit {{url}}/v1/certify
 /issuance/credential</t>
  </si>
  <si>
    <t>Should get successful response with requested credential data</t>
  </si>
  <si>
    <t>TC_07</t>
  </si>
  <si>
    <t>Verify the credential API response with invalid credential format</t>
  </si>
  <si>
    <t>Should get appropriate error message
 {"error": "unsupported_credential_format",
 "error_description": "unsupported_credential_format"}</t>
  </si>
  <si>
    <t>TC_08</t>
  </si>
  <si>
    <t>Verify the response when format field is removed from request body while requesting credential</t>
  </si>
  <si>
    <t>Should get appropriate error message
 {"error": "invalid_vc_format",
 "error_description": "invalid_vc_format"}</t>
  </si>
  <si>
    <t>TC_09</t>
  </si>
  <si>
    <t>Verify the credential API response when transaction is initiated with scope "openid profile"</t>
  </si>
  <si>
    <t>1. OAuthdetails API is executed with scope "openid"
 2. User is Authenticated via Authenticate {{url}}/authorization/authenticate API
 3. Hit {{url}}/authorization/auth-code API
 4. Hit {{url}}/oauth/v2/token API
 5. Hit {{url}}/v1/certify
 /issuance/credential</t>
  </si>
  <si>
    <t>Should get appropriate error message" invalid token". as audience will be client ID</t>
  </si>
  <si>
    <t>TC_10</t>
  </si>
  <si>
    <t>Credential Endpoint(validation in format field)</t>
  </si>
  <si>
    <t>Verify the response when format field is empty in the request body while requesting credential Ex: "format": "",</t>
  </si>
  <si>
    <t>Should get appropriate error message
 {
 "error": "invalid_vc_format",
 "error_description": "invalid_vc_format"
 }</t>
  </si>
  <si>
    <t>TC_11</t>
  </si>
  <si>
    <t>Request credential with the format : "jwt_vc_json"</t>
  </si>
  <si>
    <t>Should display error message {
  "error": "not_implemented",
  "error_description": "not_implemented"
 }</t>
  </si>
  <si>
    <t>TC_12</t>
  </si>
  <si>
    <t>Should display error message "unsupported_credential_format".</t>
  </si>
  <si>
    <t>TC_13</t>
  </si>
  <si>
    <t>Request credential with more than one format
 Ex: "format": "ldp_vc, jwt_vc_json-ld"</t>
  </si>
  <si>
    <t>Should get appropriate error message
 {
 "error": "unsupported_credential_format",
 "error_description": "unsupported_credential_format"
 }</t>
  </si>
  <si>
    <t>TC_14</t>
  </si>
  <si>
    <t>Verify the response when credential_definition attribute is passed with only a value "VerifiableCredential".</t>
  </si>
  <si>
    <t>Should get appropriate error message
 {
 "error": "unsupported_credential_type",
 "error_description": "unsupported_credential_type"
 }</t>
  </si>
  <si>
    <t>TC_15</t>
  </si>
  <si>
    <t>Verify the response when credential_definition attribute is passed with only a value "InsuranceCredential".</t>
  </si>
  <si>
    <t>TC_16</t>
  </si>
  <si>
    <t>Verify the response when random string is passed in credential_definition field</t>
  </si>
  <si>
    <t>TC_17</t>
  </si>
  <si>
    <t>Credential API (validation in proof attribute)</t>
  </si>
  <si>
    <t>Request credential without "proof" in the request body</t>
  </si>
  <si>
    <t>Should get appropriate error message
 {
 "error": "invalid_proof",
 "error_description": "invalid_proof"
 }</t>
  </si>
  <si>
    <t>TC_18</t>
  </si>
  <si>
    <t>Request credential with an empty array of "proof" attribute.Ex:"proof": {}</t>
  </si>
  <si>
    <t>Should get appropriate error message
 {
 "error": "unsupported_proof_type",
 "error_description": "unsupported_proof_type"
 }</t>
  </si>
  <si>
    <t>TC_19</t>
  </si>
  <si>
    <t>Request credential with an array of "proof" attribute which has only proof type.Ex:"proof": {"proof_type": "jwt",}</t>
  </si>
  <si>
    <t>TC_20</t>
  </si>
  <si>
    <t>Request credential with an array of "proof" attribute with empty proof type.Ex:"proof": {"proof_type": "","jwt": "{{proof_jwt}}"}</t>
  </si>
  <si>
    <t>TC_21</t>
  </si>
  <si>
    <t>Request credential with an array of "proof" attribute with just spaces in proof type field.Ex:"proof": {"proof_type": " ","jwt": "{{proof_jwt}}"}</t>
  </si>
  <si>
    <t>TC_22</t>
  </si>
  <si>
    <t>Request credential with an array of "proof" attribute by just passing the "jwt" in proof field.Ex:"proof": {"jwt": "{{proof_jwt}}"}</t>
  </si>
  <si>
    <t>TC_23</t>
  </si>
  <si>
    <t>Request credential with an array of "proof" attribute with an empty "jwt".Ex:"proof": {"proof_type": "jwt","jwt": ""}</t>
  </si>
  <si>
    <t>TC_24</t>
  </si>
  <si>
    <t>Request credential with an array of "proof" attribute with just spaces in "jwt" value.Ex:"proof": {"proof_type": "jwt","jwt": " "}</t>
  </si>
  <si>
    <t>TC_25</t>
  </si>
  <si>
    <t>Request credential with an array of "proof" attribute with invalid "jwt" value.Ex:"proof": {"proof_type": "jwt","jwt": "{{proof_cwt}}"}</t>
  </si>
  <si>
    <t>TC_26</t>
  </si>
  <si>
    <t>Request credential with unsupported proof type Ex:"proof": {"proof_type": "cwt","cwt": "{{proof_cwt}}"}</t>
  </si>
  <si>
    <t>TC_27</t>
  </si>
  <si>
    <t>Request credential with invalid proof type Ex:"proof": {"proof_type": "jwt123","jwt": "{{proof_jwt}}"}</t>
  </si>
  <si>
    <t>TC_28</t>
  </si>
  <si>
    <t>Get VC API</t>
  </si>
  <si>
    <t>Verify the response of creedential request with valid format and proof_jwt</t>
  </si>
  <si>
    <t>TC_29</t>
  </si>
  <si>
    <t>Verify the response attribute for credential request API</t>
  </si>
  <si>
    <t>Response should have credential data and credential ID should be DID of public key passed jwt proof.</t>
  </si>
  <si>
    <t>TC_30</t>
  </si>
  <si>
    <t>Credential API (c_nonce validation)</t>
  </si>
  <si>
    <t>Request credential by passing invalid c_nonce in the proof
 Ex:
 "nonce": "pm.environment.get('c_nonce')",</t>
  </si>
  <si>
    <t>Should display error message "invalid_proof".</t>
  </si>
  <si>
    <t>TC_31</t>
  </si>
  <si>
    <t>Request credential by passing expired c_nonce in the proof --wait until c_nonce expiry 40 sec</t>
  </si>
  <si>
    <t>Should display error message "invalid_proof". Credential response should have c_nonce given by credential endpoint.</t>
  </si>
  <si>
    <t>TC_32</t>
  </si>
  <si>
    <t>Update c_nonce esxpiry time in properties , restart inji certify and verify whether updated time is getting applied in API</t>
  </si>
  <si>
    <t>Should get successful response with requested credential data as per the updayed expiry time for c_nonce</t>
  </si>
  <si>
    <t>TC_33</t>
  </si>
  <si>
    <t>Credential request with issued c_nonce by credential service</t>
  </si>
  <si>
    <t>Request credential with c_nonce issued by credential endpoint</t>
  </si>
  <si>
    <t>1. OAuthdetails API is executed with scope "sunbird_rc_insurance_vc_ldp"
 2. User is Authenticated via Authenticate {{url}}/authorization/authenticate API
 3. Hit {{url}}/authorization/auth-code API
 4. Hit {{url}}/oauth/v2/token API
 5. Hit {{url}}/v1/certify
 /issuance/credential
 6. Hit {{url}}/v1/certify /issuance/credential --&gt; c_nonce will be issued
 7. Hit {{url}}/v1/certify /issuance/credential with issued c_nonce</t>
  </si>
  <si>
    <t>Credential should be issued</t>
  </si>
  <si>
    <t>TC_34</t>
  </si>
  <si>
    <t>Request credential again after getting the credential from c_nonce issued by credential service</t>
  </si>
  <si>
    <t>1. OAuthdetails API is executed with scope "sunbird_rc_insurance_vc_ldp"
 2. User is Authenticated via Authenticate {{url}}/authorization/authenticate API
 3. Hit {{url}}/authorization/auth-code API
 4. Hit {{url}}/oauth/v2/token API
 5. Hit {{url}}/v1/certify /issuance/credential --&gt; credential is requested with expired c_nonce
 6. Hit {{url}}/v1/certify /issuance/credential --&gt; c_nonce will be issued
 7.Hit {{url}}/v1/certify /issuance/credential -&gt; VC will be issued
 8. Hit {{url}}/v1/certify /issuance/credential again</t>
  </si>
  <si>
    <t>Should display error message
 {
 "error": "vci_exchange_failed",
 "error_description": "vci_exchange_failed"
 }</t>
  </si>
  <si>
    <t>TC_35</t>
  </si>
  <si>
    <t>Request credential with c_nonce issued by credential endpoint
 c_nonce is expired (1st issued c_nonce by credential service)</t>
  </si>
  <si>
    <t>1. OAuthdetails API is executed with scope "sunbird_rc_insurance_vc_ldp"
 2. User is Authenticated via Authenticate API
 3. Hit {{url}}/authorization/auth-code API
 4. Hit {{url}}/oauth/v2/token API
 5. Hit {{url}}/v1/certify /issuance/credential --&gt; credential is requested with expired c_nonce
 6. Hit {{url}}/v1/certify /issuance/credential --&gt; c_nonce will be issued
 7. wait until the c_nonce expiry which is issued by credential service
 8. Hit {{url}}/v1/certify /issuance/credential</t>
  </si>
  <si>
    <t>TC_36</t>
  </si>
  <si>
    <t>Request credential with c_nonce issued by credential endpoint
 c_nonce is expired (2nd issued c_nonce by credential service)</t>
  </si>
  <si>
    <t>1. OAuthdetails API is executed with scope "sunbird_rc_insurance_vc_ldp"
 2. User is Authenticated via Authenticate API
 3. Hit {{url}}/authorization/auth-code API
 4. Hit {{url}}/oauth/v2/token API
 5. Hit {{url}}/v1/certify /issuance/credential --&gt; credential is requested with expired c_nonce
 6. Hit {{url}}/v1/certify /issuance/credential --&gt; c_nonce will be issued
 7. wait until the c_nonce expiry which is issued by credential service
 8. Hit {{url}}/v1/certify /issuance/credential --&gt;c_nonce will be issued
 9.wait until the c_nonce expiry which is issued by credential service
 10. Hit {{url}}/v1/certify /issuance/credential</t>
  </si>
  <si>
    <t>TC_37</t>
  </si>
  <si>
    <t>Request credential with c_nonce issued by credential endpoint
 c_nonce is expired (3rd issued c_nonce by credential service)</t>
  </si>
  <si>
    <t>1. OAuthdetails API is executed with scope "sunbird_rc_insurance_vc_ldp"
 2. User is Authenticated via Authenticate API
 3. Hit {{url}}/authorization/auth-code API
 4. Hit {{url}}/oauth/v2/token API
 5. Hit {{url}}/v1/certify /issuance/credential --&gt; credential is requested with expired c_nonce
 6. Hit {{url}}/v1/certify /issuance/credential --&gt; c_nonce will be issued
 7. wait until the c_nonce expiry which is issued by credential service
 8. Hit {{url}}/v1/certify /issuance/credential --&gt; c_nonce will be issued
 9.wait until the c_nonce expiry which is issued by credential service
 10. Hit {{url}}/v1/certify /issuance/credential c_nonce will be issued
 11.wait until the c_nonce expiry which is issued by credential service
 12. Hit {{url}}/v1/certify /issuance/credential</t>
  </si>
  <si>
    <t>Should display error message "invalid_proof". Credential response should have c_nonce given by credential endpoint.
 Note : Credential service will issue n_nonce until access token is valid</t>
  </si>
  <si>
    <t>TC_38</t>
  </si>
  <si>
    <t>Request credential with c_nonce issued by credential service when access token is expired.
 c_nonce is not expired</t>
  </si>
  <si>
    <t>1. OAuthdetails API is executed with scope "sunbird_rc_insurance_vc_ldp"
 2. User is Authenticated via Authenticate {{url}}/authorization/authenticate API
 3. Hit {{url}}/authorization/auth-code API
 4. Hit {{url}}/oauth/v2/token API
 5. Hit {{url}}/v1/certify /issuance/credential --&gt; credential is requested with expired c_nonce
 6. Hit {{url}}/v1/certify /issuance/credential --&gt; c_nonce will be issued
 7. wait until access token expiry</t>
  </si>
  <si>
    <t>Should display error message "invalid_token".</t>
  </si>
  <si>
    <t>TC_39</t>
  </si>
  <si>
    <t>Credential API (validation in jwt header in pre-request Script)</t>
  </si>
  <si>
    <t>Request credential with invalid 'type' in proof jwt header
 Ex:
 // Set headers for JWT
 var header = {
 "alg": "RS256",
 "typ" : "openid4vci-123@proof+jwt",
 "jwk" : JSON.parse(pm.environment.get("publicKey_jwk"))
 };</t>
  </si>
  <si>
    <t>TC_40</t>
  </si>
  <si>
    <t>Request credential when 'type' is empty in proof jwt header
 Ex:
 // Set headers for JWT
 var header = {
 "alg": "RS256",
 "typ" : "",
 "jwk" : JSON.parse(pm.environment.get("publicKey_jwk"))
 };</t>
  </si>
  <si>
    <t>TC_41</t>
  </si>
  <si>
    <t>Request credential and verify the response when 'type' field is removed from the pre-request Script
 Ex:
 // Set headers for JWT
 var header = {
 "alg": "RS256",
 "typ" : "openid4vci-proof+jwt", ---&gt; field is removed completely
 "jwk" : JSON.parse(pm.environment.get("publicKey_jwk"))
 };</t>
  </si>
  <si>
    <t>TC_42</t>
  </si>
  <si>
    <t>Request credential with invalid jwk in proof jwt header
 ex:
 // Set headers for JWT
 var header = {
 "alg": "RS256",
 "typ" : "openid4vci-proof+jwt",
 "jwk" : JSON.parse(pm.environment.get("holder_private_key"))
 };</t>
  </si>
  <si>
    <t>TC_43</t>
  </si>
  <si>
    <t>Request credential without jwk in proof jwt headers
 Ex:
 // Set headers for JWT
 var header = {
 "alg": "RS256",
 "typ" : "openid4vci-proof+jwt",
 "jwk" : JSON.parse(pm.environment.get("")) ---&gt; this field is completely removed
 };</t>
  </si>
  <si>
    <t>TC_44</t>
  </si>
  <si>
    <t>Request credential without jwk in proof jwt headers
 Ex:
 // Set headers for JWT
 var header = {
 "alg": "ES256",
 "typ" : "openid4vci-proof+jwt",
 "jwk" : JSON.parse(pm.environment.get("holder_public_key"))};</t>
  </si>
  <si>
    <t>Y</t>
  </si>
  <si>
    <t>Request credential by passing invalid proof jwt payload in pre-request Script
 Ex:
 const signed_jwt = pmlib.jwtSign(JSON.parse(pm.environment.get("privateKey_jwk")), {
 "aud" : pm.environment.get('url'),
 "nonce": "jwt_payload.c_nonce",
 "iss" : "pm.environment.get('clientId')",
 }, header, exp=600, alg = "RS256")</t>
  </si>
  <si>
    <t>TC_46</t>
  </si>
  <si>
    <t>Request credential by passing empty proof jwt payload in pre-request Script</t>
  </si>
  <si>
    <t>TC_47</t>
  </si>
  <si>
    <t>Request credential with out proof jwt payload in pre-request Script</t>
  </si>
  <si>
    <t>TC_48</t>
  </si>
  <si>
    <t>Request credential with empty audiance value in pre-request script Ex: "aud" : "pm.environment.get('url')",</t>
  </si>
  <si>
    <t>TC_49</t>
  </si>
  <si>
    <t>Request credential with empty nonce value in pre-request script Ex: "nonce": pm.environment.get('c_nonce'),</t>
  </si>
  <si>
    <t>TC_50</t>
  </si>
  <si>
    <t>Request credential with dummy "iss" value in pre-request script Ex: "iss" : "pm.environment.get('clientId')",</t>
  </si>
  <si>
    <t>TC_51</t>
  </si>
  <si>
    <t>Request credential when token expiry is set to 0 in pre-request script Ex: exp=0</t>
  </si>
  <si>
    <t>TC_52</t>
  </si>
  <si>
    <t>Signature validation in credential end point</t>
  </si>
  <si>
    <t>Request credential with invalid signature Ex: Pass the privateKey_jwk used in token endpoint in const signed_jwt = pmlib.jwtSign(JSON.parse(pm.environment.get("privateKey_jwk"))</t>
  </si>
  <si>
    <t>TC_53</t>
  </si>
  <si>
    <t>VC verification</t>
  </si>
  <si>
    <t>verify if the issued credential is valid</t>
  </si>
  <si>
    <t>Should be verified in verifiable credential io.</t>
  </si>
  <si>
    <t>TC_54</t>
  </si>
  <si>
    <t>Verify whether downloaded vc is insurance vc</t>
  </si>
  <si>
    <t>TC_55</t>
  </si>
  <si>
    <t>Verify the policy number,fullname ,dob in received vc</t>
  </si>
  <si>
    <t>Policy number full name and dob which is used for authentication should be same in received vc.</t>
  </si>
  <si>
    <t>TC_56</t>
  </si>
  <si>
    <t>Holder's public key verification</t>
  </si>
  <si>
    <t>Verify if the issued credential is binded with holders key</t>
  </si>
  <si>
    <t>1. Response should have credential data and credential ID should be DID of public key passed jwt proof.
 2. The public key passed in the request should be same as that of returned in credential response.
 Note: Should be verified using jwt.io</t>
  </si>
  <si>
    <t>TC_57</t>
  </si>
  <si>
    <t>Token validation (credential end point )</t>
  </si>
  <si>
    <t>Request credential multiple times with same access token and c_nonce</t>
  </si>
  <si>
    <t>TC_58</t>
  </si>
  <si>
    <t>Request credential with out access token and c_nonce, do not pass the access token in credential endpoint authorization header</t>
  </si>
  <si>
    <t>{
 "error": "invalid_token",
 "error_description": "invalid_token"
 }</t>
  </si>
  <si>
    <t>TC_59</t>
  </si>
  <si>
    <t>Request credential invalid access token
 Ex: Append dummy text in the end of the access token in credential endpoint authorization header
 {{access_token}}mnabs</t>
  </si>
  <si>
    <t>TC_60</t>
  </si>
  <si>
    <t>Request credential with expired access token</t>
  </si>
  <si>
    <t>TC_61</t>
  </si>
  <si>
    <t>Request credentail with token generated from differmt env</t>
  </si>
  <si>
    <t>TC_62</t>
  </si>
  <si>
    <t>Request credentail with invalid value in context</t>
  </si>
  <si>
    <t>{
 "error": "vci_exchange_failed",
 "error_description": "vci_exchange_failed"
 }</t>
  </si>
  <si>
    <t>INJICERT-41</t>
  </si>
  <si>
    <t>Code changes of existing eSignet code base from Draft 12 to Draft 13</t>
  </si>
  <si>
    <t>The response should have supported format "format": "ldp_vc", and scope "scope": "sunbird_rc_insurance_vc_ldp"</t>
  </si>
  <si>
    <t>Fetch well known file(response of VC issuer meta data API) for version specified in params(vd11)</t>
  </si>
  <si>
    <t>Well-known endpoint
 1.Give version version value as vd11 in params and hit {{url}}/v1/certify
 /issuance/.well-known/openid-credential-issuer</t>
  </si>
  <si>
    <t>Fetch well known file(response of VC issuer meta data API) for version specified in params(vd12)</t>
  </si>
  <si>
    <t>Well-known endpoint
 1.Give version version value as vd12 in params and hit {{url}}/v1/certify
 /issuance/.well-known/openid-credential-issuer</t>
  </si>
  <si>
    <t>Fetch well known file(response of VC issuer meta data API) for version specified in params(vd13)/latest , check for Credential Issuer metadata parameter</t>
  </si>
  <si>
    <t>Well-known endpoint
 1.Give version version value as v13 in params and hit {{url}}/v1/certify
 /issuance/.well-known/openid-credential-issuer</t>
  </si>
  <si>
    <t>Response should have credential issuer supported configuration as per vesion specified in params response, should have Credential Issuer metadata parameter to credential_configurations_supported from credentials_supported in earlier versions</t>
  </si>
  <si>
    <t>Fetch well known file(response of VC issuer meta data API) for version specified in params(vd13)/latest , check for background_image for credential issuer metadata</t>
  </si>
  <si>
    <t>Response should have credential issuer supported configuration as per vesion specified in params response should have Credential background_image for credential issuer metadata</t>
  </si>
  <si>
    <t>Fetch well known file(response of VC issuer meta data API) for version specified in params(v13)/latest
 Check proof of types structure</t>
  </si>
  <si>
    <t>Response should have credential issuer supported configuration as per vesion specified in params and the structure of proof_types from an array to a proof_types_supported map that contains a required proof_signing_alg_values_supported parameter</t>
  </si>
  <si>
    <t>Fetch well known file(response of VC issuer meta data API) for version specified in params(v13)/latest
 check for credential_signing_alg_values_supported in response</t>
  </si>
  <si>
    <t>Response should have credential issuer supported configuration as per vesion specified in params and response should have credential_signing_alg_values_supported to clarify the purpose of the parameter from cryptographic_suites_supported,
 same has been changed from "cryptographic_suites_supported" compared to older versions</t>
  </si>
  <si>
    <t>Fetch well known file(response of VC issuer meta data API) for version specified in params(v13)/latest</t>
  </si>
  <si>
    <t>Verify the credentail API when credential type is given as Lifeinsurance credential and verifiable credential</t>
  </si>
  <si>
    <t>VC should get docwmload for the authorised user</t>
  </si>
  <si>
    <t>Should get appropriate error message" not _implemented"</t>
  </si>
  <si>
    <t>Should display error message "not _implemented"</t>
  </si>
  <si>
    <t>Should get successful response with requested credential data as per requested versions</t>
  </si>
  <si>
    <t>Response should have credential data and credential ID should be DID of public key passed jwt proof, credential subject</t>
  </si>
  <si>
    <t>Update c_nonce expiry time in properties , restart inji certify and verify whether updated time is getting applied in API</t>
  </si>
  <si>
    <t>TC_45</t>
  </si>
  <si>
    <t>Request credential without jwk in proof jwt headers
 Ex:
 // Set headers for JWT
 var header = {
 "alg": "ES256",
 "typ" : "openid4vci-proof+jwt"
 },</t>
  </si>
  <si>
    <t>Credential API (validation of jwt payload in pre-request Script)</t>
  </si>
  <si>
    <t>Request credential with dummy audiance value in pre-request script Ex: "aud" : "pm.environment.get('url')",</t>
  </si>
  <si>
    <t>Request credential with dummy nonce value in pre-request script Ex: "nonce": pm.environment.get('c_nonce'),</t>
  </si>
  <si>
    <t>TC_63</t>
  </si>
  <si>
    <t>TC_64</t>
  </si>
  <si>
    <t>VC should not get downloaded with error
 "401 unauthorized"</t>
  </si>
  <si>
    <t>TC_65</t>
  </si>
  <si>
    <t>TC_66</t>
  </si>
  <si>
    <t>TC_67</t>
  </si>
  <si>
    <t>TC_68</t>
  </si>
  <si>
    <t>VC should not get downloaded with error{
 "error": "vci_exchange_failed",
 "error_description": "vci_exchange_failed"
 }</t>
  </si>
  <si>
    <t>TC_69</t>
  </si>
  <si>
    <t>Request credentail with random in context</t>
  </si>
  <si>
    <t>VC should not get downloaded with error {
 "error": "vci_exchange_failed",
 "error_description": "vci_exchange_failed"
 }</t>
  </si>
  <si>
    <t>TC_70</t>
  </si>
  <si>
    <t>Credential API response for latest version/v13 version</t>
  </si>
  <si>
    <t>Should get credential in response and response should not have format field for v13 version/latest version</t>
  </si>
  <si>
    <t>TC_71</t>
  </si>
  <si>
    <t>certify integration with web</t>
  </si>
  <si>
    <t>Verify VC download from inji web for health insurance</t>
  </si>
  <si>
    <t>Pre requisite
 Add issuer(ex-VeridoniaCertify) in mimoto-issuers-config and restart mimoto
 1. Go to inji web portal
 2.Navigate to veridonia certify issuer
 3. Select credential type from screen
 4. Enter the details of policy number, name and DOB</t>
  </si>
  <si>
    <t>VC to get downloaded</t>
  </si>
  <si>
    <t>TC_72</t>
  </si>
  <si>
    <t>Verify VC download from inji web for life insurance</t>
  </si>
  <si>
    <t>1. Go to inji web portal
 2.Navigate to veridonia certify issuer
 3. Select credential type from screen
 4. Enter the details of policy number, name and DOB</t>
  </si>
  <si>
    <t>TC_73</t>
  </si>
  <si>
    <t>Add one more credentail type and check vc download from inji web</t>
  </si>
  <si>
    <t>Add credential type from certify-default-properties, in all the version
 restart injicertify pod
 1. Go to inji web portal
 2.Navigate to veridonia certify issuer
 3. Select credential type from screen
 4. Enter the details of policy number, name and DOB</t>
  </si>
  <si>
    <t>VC to get downloaded from new credential type and same can be seen in inji certify logs</t>
  </si>
  <si>
    <t>TC_74</t>
  </si>
  <si>
    <t>Verify order of the fileds</t>
  </si>
  <si>
    <t>VC should be downloaded as PDF and the configured fileds should be present</t>
  </si>
  <si>
    <t>TC_75</t>
  </si>
  <si>
    <t>Update sunbird registry and download VC from inji web</t>
  </si>
  <si>
    <t>updated details should be dispalyed proeprly in downloaded VC</t>
  </si>
  <si>
    <t>TC_76</t>
  </si>
  <si>
    <t>Get VC with any credetials data dupliacted in differnet registrties</t>
  </si>
  <si>
    <t>Vc to get downloaded</t>
  </si>
  <si>
    <t>TC_77</t>
  </si>
  <si>
    <t>Verify VC from inji web when invalid credentials are passed</t>
  </si>
  <si>
    <t>1. Go to inji web portal
 2.Navigate to veridonia certify issuer
 3. Select credential type from screen
 4. Enter the invalid details of policy number, name and DOB</t>
  </si>
  <si>
    <t>Should not be able to download VC with proper error</t>
  </si>
  <si>
    <t>VC fetch from Inji web</t>
  </si>
  <si>
    <t>TC_78</t>
  </si>
  <si>
    <t>Fetch well known file(response of VC issuer meta data API) for version specified in params(v13)/latest , check for authorization_servers Credential Issuer metadata parameter to be an array</t>
  </si>
  <si>
    <t>Well-known endpoint
 1.Give version version value as vd13 in params and hit {{url}}/v1/certify
 /issuance/.well-known/openid-credential-issuer</t>
  </si>
  <si>
    <t>Response should have changed authorization_servers parameter in the Credential Issuer metadata to ensure it is configured as an array compared from previous versions(v11).
 Authorizations servers should have esigent among one</t>
  </si>
  <si>
    <t>TC_79</t>
  </si>
  <si>
    <t>Fetch well known file(response of VC issuer meta data API) for version specified in params(vd12) , check for authorization_servers Credential Issuer metadata parameter to be an array</t>
  </si>
  <si>
    <t>Response should have changed authorization_servers parameter in the Credential Issuer metadata to ensure it is configured as an array compared from previous versions(vd11).
 Authorizations servers should have esigent among one</t>
  </si>
  <si>
    <t>TC_80</t>
  </si>
  <si>
    <t>fetch well known file(response of issuer meta data API) for version specified in params(vd12), check for
 credentials_supported parameter to a map of objects</t>
  </si>
  <si>
    <t>response should have crdentials_supported changed to map of objects from array compared to earlier version(vd11)</t>
  </si>
  <si>
    <t>TC_81</t>
  </si>
  <si>
    <t>Credential API</t>
  </si>
  <si>
    <t>update registry and download vc</t>
  </si>
  <si>
    <t>Pre requisite
 1. update sunbird regisrty using update registry endpoint
 2.OAuthdetails API is executed with scope "sunbird_rc_insurance_vc_ldp"
 3. User is Authenticated via Authenticate {{url}}/authorization/authenticate API
 4. Hit {{url}}/authorization/auth-code API
 5. Hit {{url}}/oauth/v2/token API
 6. Hit {{url}}/v1/certify
 /issuance/credential</t>
  </si>
  <si>
    <t>Downloaded VC is should have updated values</t>
  </si>
  <si>
    <t>TC_82</t>
  </si>
  <si>
    <t>crdential definition along with existing
 add random credential along with existing in credential API</t>
  </si>
  <si>
    <t>VC should not get downloaded with error
 {
 "error": "vci_exchange_failed",
 "error_description": "vci_exchange_failed"
 }</t>
  </si>
  <si>
    <t>TC_83</t>
  </si>
  <si>
    <t>verify to get VC when context field is removed from request body</t>
  </si>
  <si>
    <t>VC should not get downloaded with error {
  "error": "unknown_error",
  "error_description": "Cannot invoke \"java.util.List.iterator()\" because \"vcRequestContextList\" is null"
 }</t>
  </si>
  <si>
    <t>TC_84</t>
  </si>
  <si>
    <t>verify Vc download when context is only given as ""</t>
  </si>
  <si>
    <t>VC should not get downloaded with error {
  "error": "invalid request",
  "error_description": invalid request"
 }</t>
  </si>
  <si>
    <t>TC_85</t>
  </si>
  <si>
    <t>verify VC download when empty array is given as context field ex- "@context": [ ]</t>
  </si>
  <si>
    <t>Vc should get downladed, as empty array value is taking default context value</t>
  </si>
  <si>
    <t>INJICERT-13</t>
  </si>
  <si>
    <t>Split : VCI Segregation from eSignet</t>
  </si>
  <si>
    <t>VCI seperation from esignet</t>
  </si>
  <si>
    <t>verify credential API from certify</t>
  </si>
  <si>
    <t>Prerequisite
 To test in docker version
 1.Docker compose esignet renames to certify(will have both esignet and certify)
 2.jars are segregated 1 for auth and 1 for issuanace
 To test in namespace
 1. Authorization APIs-esignet
 2.Issuance API- certify</t>
  </si>
  <si>
    <t>Docker compose VC verification</t>
  </si>
  <si>
    <t>verify insurance VC reposne from docker compose for v13 version</t>
  </si>
  <si>
    <t>1. OAuthdetails API is executed with scope "sunbird_rc_insurance_vc_ldp"
 2. User is Authenticated via Authenticate {{dockercompose host value}}/authorization/authenticate API
 3. Hit {{dockercompose host value}}/authorization/auth-code API
 4. Hit {{dockercompose host value}}/oauth/v2/token API
 5. Hit {{dockercompose host value}}/v1/certify
 /issuance/credential</t>
  </si>
  <si>
    <t>VC response should not have format for vd13/latest version and data for the authentiacted user should be present in VC</t>
  </si>
  <si>
    <t>verify insurance VC reposne from docker compose for vd12 version</t>
  </si>
  <si>
    <t>1. OAuthdetails API is executed with scope "sunbird_rc_insurance_vc_ldp"
 2. User is Authenticated via Authenticate {{dockercompose host value}}/authorization/authenticate API
 3. Hit {{dockercompose host value}}/authorization/auth-code API
 4. Hit {{dockercompose host value}}/oauth/v2/token API
 5. Hit {{dockercompose host value}}/v1/certify
 /issuance/vd12/credential</t>
  </si>
  <si>
    <t>VC response should have format for vd12/latest version and data for the authentiacted user should be present in VC</t>
  </si>
  <si>
    <t>verify insurance VC reposne from docker compose for vd11 version</t>
  </si>
  <si>
    <t>1. OAuthdetails API is executed with scope "sunbird_rc_insurance_vc_ldp"
 2. User is Authenticated via Authenticate {{dockercompose host value}}/authorization/authenticate API
 3. Hit {{dockercompose host value}}/authorization/auth-code API
 4. Hit {{dockercompose host value}}/oauth/v2/token API
 5. Hit {{dockercompose host value}}/v1/certify
 /issuance/vd11/credential</t>
  </si>
  <si>
    <t>VC response should have format for vd11/latest version and data for the authentiacted user should be present in VC</t>
  </si>
  <si>
    <t>Verify credential types in VC reposne</t>
  </si>
  <si>
    <t>Vc response should have the credentail types given in request body of issuance</t>
  </si>
  <si>
    <t>verify mock VC reposne from docker compose for v13 version</t>
  </si>
  <si>
    <t>1. OAuthdetails API is executed with scope "mock_identity_vc_ldp"
 2. User is Authenticated via Authenticate API by passing valid otp received as part of SendOtp API
 3. Hit {{dockercompose host value}}/authorization/auth-code API
 4. Hit {{dockercompose host value}}/oauth/v2/token API
 5. Hit {{dockercompose host value}}/v1/certify/issuance/credential</t>
  </si>
  <si>
    <t>verify mock VC reposne from docker compose for vd12 version</t>
  </si>
  <si>
    <t>1. OAuthdetails API is executed with scope "mock_identity_vc_ldp"
 2. User is Authenticated via Authenticate API by passing valid otp received as part of SendOtp API
 3. Hit {{dockercompose host value}}/authorization/auth-code API
 4. Hit {{dockercompose host value}}/oauth/v2/token API
 5. Hit {{dockercompose host value}}/v1/certify/issuance/vd12/credential</t>
  </si>
  <si>
    <t>verify mock VC reposne from docker compose for vd11 version</t>
  </si>
  <si>
    <t>1. OAuthdetails API is executed with scope "mock_identity_vc_ldp"
 2. User is Authenticated via Authenticate API by passing valid otp received as part of SendOtp API
 3. Hit {{dockercompose host value}}/authorization/auth-code API
 4. Hit {{dockercompose host value}}/oauth/v2/token API
 5. Hit {{dockercompose host value}}/v1/certify/issuance/vd11/credential</t>
  </si>
  <si>
    <t>INJICERT_186</t>
  </si>
  <si>
    <t>MOCK IDA segregation</t>
  </si>
  <si>
    <t>Prerequisite
 1. Create mock identity using APIs
 post {{url}}identity</t>
  </si>
  <si>
    <t>credential API from certify)
 (validation in format and proof)
 Indiviual ID (UIN)</t>
  </si>
  <si>
    <t>Verify the response of credential request with valid format and proof_jwt</t>
  </si>
  <si>
    <t>1. OAuthdetails API is executed with scope "mock_identity_vc_ldp"
 2. User is Authenticated via Authenticate API by passing valid otp received as part of SendOtp API
 3. Hit {{url}}/authorization/auth-code API
 4. Hit {{url}}/oauth/v2/token API
 5. Hit {{url}}/v1/certify/issuance/credential</t>
  </si>
  <si>
    <t>Should get appropriate error message
 { "error": "unsupported_credential_format",
 "error_description": "unsupported_credential_format"}</t>
  </si>
  <si>
    <t>Should get appropriate error message" invalid scope". as audience will be client ID</t>
  </si>
  <si>
    <t>Docker setup required, verified locally</t>
  </si>
  <si>
    <t>Credential Endpoint
 (validation in format field) Indiviual ID (UIN)</t>
  </si>
  <si>
    <t>Verify the response when format field is empty in the request body while requesting credential
 Ex: "format": ""</t>
  </si>
  <si>
    <t>Verify the response when format field is having just spaces in the request body while requesting credential
 Ex: "format": " ",</t>
  </si>
  <si>
    <t>Should display error message "not_implemented".</t>
  </si>
  <si>
    <t>Request credential with the format : "jwt_vc_json-ld"</t>
  </si>
  <si>
    <t>Credential endpoint
 (Validation of credential definition attribute)Indiviual ID (UIN)</t>
  </si>
  <si>
    <t>Request credential without "credential_definition" in request body of credential API</t>
  </si>
  <si>
    <t>Should get appropriate error message
 {"error": "invalid_request",
 "error_description": "invalid_request"}</t>
  </si>
  <si>
    <t>Should get appropriate error message
 { "error": "unsupported_credential_type",
 "error_description": "unsupported_credential_type"}</t>
  </si>
  <si>
    <t>Verify the response when credential_definition attribute is passed with only a value "MOCKVerifiableCredential".</t>
  </si>
  <si>
    <t>Credential API (validation in proof attribute) Indiviual ID (UIN)</t>
  </si>
  <si>
    <t>Should get appropriate error message
 { "error": "invalid_proof",
 "error_description": "invalid_proof"}</t>
  </si>
  <si>
    <t>Request credential with an empty array of "proof" attribute. Ex:"proof": {}</t>
  </si>
  <si>
    <t>Should get appropriate error message
 {"error": "unsupported_proof_type",
 "error_description": "unsupported_proof_type"}</t>
  </si>
  <si>
    <t>Request credential with an array of "proof" attribute which has only proof type. Ex:"proof": {"proof_type": "jwt",}</t>
  </si>
  <si>
    <t>Request credential with an array of "proof" attribute with empty proof type. Ex:"proof": {"proof_type": "","jwt": "{{proof_jwt}}"}</t>
  </si>
  <si>
    <t>Request credential with an array of "proof" attribute with just spaces in proof type field. Ex: "proof": { "proof_type": " ", "jwt": "{{proof_jwt}}"}</t>
  </si>
  <si>
    <t>Request credential with an array of "proof" attribute by just passing the "jwt" in proof field. Ex: "proof": { "jwt": "{{proof_jwt}}"}</t>
  </si>
  <si>
    <t>Request credential with an array of "proof" attribute with an empty "jwt". Ex: "proof": {"proof_type": "jwt", "jwt": ""}</t>
  </si>
  <si>
    <t>Request credential with an array of "proof" attribute with just spaces in "jwt" value. Ex:"proof": {"proof_type": "jwt","jwt": " "}</t>
  </si>
  <si>
    <t>Request credential with an array of "proof" attribute with invalid "jwt" value.
 Ex:"proof": {"proof_type": "jwt","jwt": "{{proof_cwt}}"}</t>
  </si>
  <si>
    <t>Request credential with unsupported proof type Ex:"proof_type": "cwt", "cwt": "{{proof_cwt}}"}</t>
  </si>
  <si>
    <t>Request credential with invalid proof type Ex: "proof": { "proof_type": "jwt123","jwt": "{{proof_jwt}}"</t>
  </si>
  <si>
    <t>VCI flow</t>
  </si>
  <si>
    <t>Response should have credential data and credential ID</t>
  </si>
  <si>
    <t>Credential API (c_nonce validation) Indiviual ID (UIN)</t>
  </si>
  <si>
    <t>Request credential by passing invalid c_nonce in the proof Ex: "nonce": "pm.environment.get('c_nonce')",</t>
  </si>
  <si>
    <t>Credential request with issued c_nonce by credential service Indiviual ID (UIN)</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</si>
  <si>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Hit {{url}}/v1/certify/issuance/credential -&gt; VC will be issued
 8. Hit {{url}}/v1/certify/issuance/credential again</t>
  </si>
  <si>
    <t>Should display error message { "error": "vci_exchange_failed" "error_description": "vci_exchange_failed",}</t>
  </si>
  <si>
    <t>Request credential with c_nonce issued by credential endpoint c_nonce is expired (1st issued c_nonce by credential service)</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</si>
  <si>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the c_nonce expiry which is issued by credential service
 8. Hit {{url}}/v1/certify/issuance/credential</t>
  </si>
  <si>
    <t>Request credential with c_nonce issued by credential endpoint c_nonce is expired (2nd issued c_nonce by credential service)</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</si>
  <si>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the c_nonce expiry which is issued by credential service
 8. Hit {{url}}/v1/certify/issuance/credential --&gt; c_nonce will be issued
 9. wait until the c_nonce expiry which is issued by credential service
 10. Hit {{url}}/v1/certify/issuance/credential</t>
  </si>
  <si>
    <t>Request credential with c_nonce issued by credential endpoint c_nonce is expired (3rd issued c_nonce by credential service)</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</si>
  <si>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the c_nonce expiry which is issued by credential service
 8. Hit {{url}}/v1/certify/issuance/credential --&gt; c_nonce will be issued
 9. wait until the c_nonce expiry which is issued by credential service
 10. Hit {{url}}/v1/certify/issuance/credential -- &gt; c_nonce will be issued
 11. wait until the c_nonce expiry which is issued by credential service
 12. Hit {{url}}/v1/certify/issuance/credential</t>
  </si>
  <si>
    <t>Should display error message "invalid_proof". Credential response should have c_nonce given by credential endpoint. Note : Credential service will issue n_nonce until access token is valid</t>
  </si>
  <si>
    <t>Request credential with c_nonce issued by credential service when access token is expired. c_nonce is not expired access token is expired</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</si>
  <si>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access token expiry</t>
  </si>
  <si>
    <t>Credential API (validation in jwt header in pre-request Script) Indiviual ID (UIN)</t>
  </si>
  <si>
    <t>Request credential with invalid 'type' in proof jwt header Ex: // Set headers for JWT var header = {"alg": "RS256", "typ" : "openid4vci-123@proof+jwt", "jwk" : JSON.parse(pm.environment.get("publicKey_jwk"))};</t>
  </si>
  <si>
    <t>Request credential when 'type' is empty in proof jwt header Ex:// Set headers for JWT var header = {"alg": "RS256", "typ" : "", "jwk" : JSON.parse(pm.environment.get("publicKey_jwk"))};</t>
  </si>
  <si>
    <t>Request credential and verify the response when 'type' field is removed from the pre-request Script Ex: // Set headers for JWT var header = { "alg": "RS256", "typ" : "openid4vci-proof+jwt", ---&gt; field is removed completely "jwk" : JSON.parse(pm.environment.get("publicKey_jwk"))};</t>
  </si>
  <si>
    <t>Request credential and verify the response when 'type' field values is only spaces the pre-request Script Ex: // Set headers for JWT var header = { "alg": "RS256", "typ" : " ", ---&gt; field is removed completely "jwk" : JSON.parse(pm.environment.get("holder_private_key"))};</t>
  </si>
  <si>
    <t>Credential API (validation of jwt payload in pre-request Script) Indiviual ID (UIN)</t>
  </si>
  <si>
    <t>Request credential by passing invalid proof jwt payload in pre-request Script Ex: const signed_jwt = pmlib.jwtSign(JSON.parse(pm.environment.get("privateKey_jwk")), {"aud" : pm.environment.get('url'), "nonce": "jwt_payload.c_nonce", "iss" : "pm.environment.get('clientId')", }, header, exp=600, alg = "RS256")</t>
  </si>
  <si>
    <t>Signature validation in credential end point Indiviual ID (UIN)</t>
  </si>
  <si>
    <t>VC verification Indiviual ID (UIN)</t>
  </si>
  <si>
    <t>Holder's public key verification Indiviual ID (UIN)</t>
  </si>
  <si>
    <t>1. Response should have credential data and credential ID 2. The public key passed in the request should be same as that of returned in credential response. Note: Should be verified using jwt.io</t>
  </si>
  <si>
    <t>Token validation (credential end point ) Indiviual ID (UIN)</t>
  </si>
  <si>
    <t>Credential is issued until access token and c_nonce is valid</t>
  </si>
  <si>
    <t>Vc should not get generated with error "401 unauthorized"</t>
  </si>
  <si>
    <t>Request credential invalid access token Ex: Append dummy text in the end of the access token in credential endpoint authorization header {{access_token}}mnabs</t>
  </si>
  <si>
    <t>Claim locale Indiviual ID (UIN)</t>
  </si>
  <si>
    <t>Request credential when claim locale language (en) 2 digit lang code is passed in Oauth details API is request</t>
  </si>
  <si>
    <t>Credential should be issued and claims should be displayed in english language</t>
  </si>
  <si>
    <t>Verify the attributes in issued credential</t>
  </si>
  <si>
    <t>All the attributes should be configured in certify default property and attribute name should be same as that of attributes in IDschema and identity json file in the config</t>
  </si>
  <si>
    <t>Request credential with indiviaul ID without email</t>
  </si>
  <si>
    <t>Credential should be issued with out email in the VC</t>
  </si>
  <si>
    <t>Request credential with indiviaul ID without phone number</t>
  </si>
  <si>
    <t>Credential should be issued with out phone in the VC</t>
  </si>
  <si>
    <t>Request credential with indiviaul ID with mock identity with face details</t>
  </si>
  <si>
    <t>Credential should be issued.</t>
  </si>
  <si>
    <t>Request credential with infants indiviual ID</t>
  </si>
  <si>
    <t>Should be able to get VC</t>
  </si>
  <si>
    <t>Verify VC when random value for credential defintion is passed along the existing values</t>
  </si>
  <si>
    <t>verify to get VC when signature value is given as PS256 in pre-request script for credential API</t>
  </si>
  <si>
    <t>verify to get VC when signature value is given as ES256 in pre-request script for credential API</t>
  </si>
  <si>
    <t>integration web</t>
  </si>
  <si>
    <t>Download VC for mock identity from inji web</t>
  </si>
  <si>
    <t>1. Go to injiweb portal
 2. Navigate to Mock identity (certify)issuer
 3. Enter Mock identity ID , enter otp and submit</t>
  </si>
  <si>
    <t>Download VC for mock identity for infant from inji web</t>
  </si>
  <si>
    <t>Download VC for mock identity is not having face details</t>
  </si>
  <si>
    <t>Injiweb</t>
  </si>
  <si>
    <t>Wellknown endpoint</t>
  </si>
  <si>
    <t>Fetch well known file(response of VC issuer meta data API) for version specified in params(vd13)/latest</t>
  </si>
  <si>
    <t>Response of vd13 version should have below points to be changes from earlier version
 1.change the structure of proof_types from an array to a proof_types_supported map that contains a required proof_signing_alg_values_supported parameter
 2. renamed cryptographic_suites_supported to credential_signing_alg_values_supported to clarify the purpose of the parameter
 3. renamed credentials_supported Credential Issuer metadata parameter to credential_configurations_supported
 4. added background_image credential issuer metadata</t>
  </si>
  <si>
    <t>VC response as per the version</t>
  </si>
  <si>
    <t>Verify VC response for latest version</t>
  </si>
  <si>
    <t>Should get successful response with requested credential data and response shouldnot have format</t>
  </si>
  <si>
    <t>Verify VC response for vd11 version</t>
  </si>
  <si>
    <t>1. OAuthdetails API is executed with scope "mock_identity_vc_ldp"
 2. User is Authenticated via Authenticate API by passing valid otp received as part of SendOtp API
 3. Hit {{url}}/authorization/auth-code API
 4. Hit {{url}}/oauth/v2/token API
 5. Hit {{url}}/v1/certify/issuance/vd11/credential</t>
  </si>
  <si>
    <t>Verify VC response for vd12 version</t>
  </si>
  <si>
    <t>1. OAuthdetails API is executed with scope "mock_identity_vc_ldp"
 2. User is Authenticated via Authenticate API by passing valid otp received as part of SendOtp API
 3. Hit {{url}}/authorization/auth-code API
 4. Hit {{url}}/oauth/v2/token API
 5. Hit {{url}}/v1/certify/issuance/vd12/credential</t>
  </si>
  <si>
    <t>INJICERT-189</t>
  </si>
  <si>
    <t>Issuance Segregation from MOSIP Identity</t>
  </si>
  <si>
    <t>1. OAuthdetails API is executed with scope "mosip_identity_vc_ldp"
 2. User is Authenticated via Authenticate API by passing valid otp received as part of SendOtp API
 3. Hit {{url}}/authorization/auth-code API
 4. Hit {{url}}/oauth/v2/token API
 5. Hit {{url}}/v1/certify/issuance/credential</t>
  </si>
  <si>
    <t>1. OAuthdetails API is executed with scope "openid profile"
 2. User is Authenticated via Authenticate API by passing valid otp received as part of SendOtp API
 3. Hit {{url}}/authorization/auth-code API
 4. Hit {{url}}/oauth/v2/token API
 5. Hit {{url}}/v1/certify/issuance/credential</t>
  </si>
  <si>
    <t>Verify the response when credential_definition attribute is passed with only a value "MOSIPVerifiableCredential".</t>
  </si>
  <si>
    <t>1. OAuthdetails API is executed with scope "mosip_identity_vc_ldp"
 2. User is Authenticated via Authenticate API by passing valid otp received as part of SendOtp API
 3. Hit {{url}}/authorization/auth-code API
 4. Hit {{url}}/oauth/v2/token API
 5. Hit {{url}}/v1/certify/issuance/credential --&gt; credential is requested with expired c_nonce
 6.Hit {{url}}/v1/certify/issuance/credential --&gt; c_nonce will be issued
 7. Hit {{url}}/v1/certify/issuance/credential with issued c_nonce</t>
  </si>
  <si>
    <t>Should display error message {
  "error": "IDA-KYE-003",
  "error_description": "IDA-KYE-003"
 }
 Note- Only once VC is generated, as otp validation is only once</t>
  </si>
  <si>
    <t>1. OAuthdetails API is executed with scope "mosip_identity_vc_ldp"
 2. User is Authenticated via Authenticate API by passing valid otp received as part of SendOtp API
 3. Hit {{url}}/authorization/auth-code API
 4. Hit {{url}}/oauth/v2/token API
 5. Hit {{url}}/v1/certify/issuance/credential --&gt; credential is requested with expired c_nonce
 6.Hit {{url}}/v1/certify/issuance/credential --&gt; c_nonce will be issued
 7. wait until the c_nonce expiry which is issued by credential service
 8. Hit {{url}}/v1/certify/issuance/credential again</t>
  </si>
  <si>
    <t>1. OAuthdetails API is executed with scope "mosip_identity_vc_ldp"
 2. User is Authenticated via Authenticate API by passing valid otp received as part of SendOtp API
 3. Hit {{url}}/authorization/auth-code API
 4. Hit {{url}}/oauth/v2/token API
 5. Hit {{url}}/v1/certify/issuance/credential --&gt; credential is requested with expired c_nonce
 6.Hit {{url}}/v1/certify/issuance/credential --&gt; c_nonce will be issued
 7. wait until the c_nonce expiry which is issued by credential service
 8. Hit {{url}}/v1/certify/issuance/credential</t>
  </si>
  <si>
    <t>Request credential and verify the response when 'type' field is removed from the pre-request Script Ex: // Set headers for JWT var header = { "alg": "RS256", "typ" : "openid4vci-proof+jwt", ---&gt; field is removed completely "jwk" : JSON.parse(pm.environment.get("holder_private_key"))};</t>
  </si>
  <si>
    <t>Request credential and verify the response when 'type' field is removed from the pre-request Script Ex: // Set headers for JWT var header = { "alg": "RS256", "typ" : "openid4vci-proof+jwt", ---&gt; field is removed completely "jwk" : JSON.parse(pm.environment.get) -----&gt;&gt; remove this field</t>
  </si>
  <si>
    <t>Should display error message {
  "error": "IDA-KYE-003",
  "error_description": "IDA-KYE-003"
 }
 Otp is valid only once</t>
  </si>
  <si>
    <t>Should display error message
 {"error": "invalid_token", "error_description": "invalid_token"}</t>
  </si>
  <si>
    <t>Credential request with UIN and VID</t>
  </si>
  <si>
    <t>Request credential for VID that belongs to same indiviual ID (UIN) using which access token was generated(request credential for both VID and UIN )</t>
  </si>
  <si>
    <t>1. OAuthdetails API is executed with scope "mosip_identity_vc_ldp"
 2. User is Authenticated via Authenticate API by passing valid otp received as part of SendOtp API
 3. Hit {{url}}/authorization/auth-code API
 4. Hit {{url}}/oauth/v2/token API
 5. OAuthdetails API is executed with scope "mosip_identity_vc_ldp"with VID that belongs to same UIN
 6. User is Authenticated via Authenticate API
 7. Hit {{url}}/authorization/auth-code API
 8. Hit {{url}}/oauth/v2/token API --&gt; access token is generated
 9. Hit {{url}}/v1/certify/issuance/credential</t>
  </si>
  <si>
    <t>1. credential should be issued to access token which was generated for UIN
 2. credential should be issued to access token which was generated for VID</t>
  </si>
  <si>
    <t>Verify the credential that is issued to both UIN and VID</t>
  </si>
  <si>
    <t>same credential should be issued to both UIN and VID as VID belongs to the same UIN</t>
  </si>
  <si>
    <t>Request credential with indiviaul ID that has only email</t>
  </si>
  <si>
    <t>Request credential with indiviaul ID that has only phone number</t>
  </si>
  <si>
    <t>Credential should be issued with out phone number in the VC</t>
  </si>
  <si>
    <t>Request credential with indiviaul ID which has exception in biometrics</t>
  </si>
  <si>
    <t>Request credential with indiviaul ID that has update of photo which had exception in other modalities</t>
  </si>
  <si>
    <t>Request credential after updating demographic details of indiviual ID</t>
  </si>
  <si>
    <t>Credential should be issued. VC data should be the latest updated data</t>
  </si>
  <si>
    <t>Authentication should fail with the error message "Unsupported Authentication Type" "errorCode": "IDA-MLC-011".</t>
  </si>
  <si>
    <t>Verify credential response for different versions(v11, v12 and latest)</t>
  </si>
  <si>
    <t>Credential should be issued. VC data should be the as per the version specifed in API request</t>
  </si>
  <si>
    <t>Verify credential reponse for different scopes, ex- sunbird and mosip_identity</t>
  </si>
  <si>
    <t>Should display error message as {
  "error": "invalid_scope",
  "error_description": "invalid_scope"
 }</t>
  </si>
  <si>
    <t>Verify credential API response when invalid c_nonce is used multiple times within the expiry time</t>
  </si>
  <si>
    <t>verify whether VC can be downloaded after Otp expiry</t>
  </si>
  <si>
    <t>verify whether VC can be downloaded by using same OTP multiples times</t>
  </si>
  <si>
    <t>Check whether attributes given in relying party policy allowedKycAttributes, are coming in VC downloaded</t>
  </si>
  <si>
    <t>1.Attribute has to be available in identity_cache table. (credential service auth partner policy should include the attribute in sharable list)
 2.Identity-mapping.json file should contain the attribute which needs to be get added in VC.
 3.relying party policy allowedKycAttributes should contain the attribute.
 4.OIDC client allowed user claims should contain the attribute</t>
  </si>
  <si>
    <t>Vc should get downladed, as empty array value is taking default context value
 {
  "error": "invalid_request",
  "error_description": "invalid_request"
 }</t>
  </si>
  <si>
    <t>Update c_nonce expiry time in certify-mosip-properties , restart inji certify-mosipid and verify whether updated time is getting applied in API</t>
  </si>
  <si>
    <t>1. OAuthdetails API is executed with scope "mosip_identity_vc_ldp"
 2. User is Authenticated via Authenticate {{url}}/authorization/authenticate API
 3. Hit {{url}}/authorization/auth-code API
 4. Hit {{url}}/oauth/v2/token API
 5. Hit {{url}}/v1/certify
 /issuance/credential</t>
  </si>
  <si>
    <t>Should get successful response with requested credential data as per the updated expiry time for c_nonce</t>
  </si>
  <si>
    <t>Integration with web</t>
  </si>
  <si>
    <t>Downalod VC for Adult Mosip ID</t>
  </si>
  <si>
    <t>1.GO to injiweb.qa-inji.mosip.net (inji-web portal)
 2.Navigate to National id department(certify)
 3. select credential type
 4. Enter UIN/VID and submit,</t>
  </si>
  <si>
    <t>Vc should get downloaded for given UIN/VID</t>
  </si>
  <si>
    <t>Download VC for ID who is having exception in biometrics</t>
  </si>
  <si>
    <t>download Vc for ID where demo details are updated</t>
  </si>
  <si>
    <t>Download VC for infant id</t>
  </si>
  <si>
    <t>Download VC for UIN/VID which doesn’t have phone</t>
  </si>
  <si>
    <t>VC has to be downloaded for given UIN/VID without phone details</t>
  </si>
  <si>
    <t>Download VC for UIN/VID which doesn’t have email</t>
  </si>
  <si>
    <t>VC has to be downloaded for given UIN/VID without email details</t>
  </si>
  <si>
    <t>1. OAuthdetails API is executed with scope "mosip_identity_vc_ldp"
 2. User is Authenticated via Authenticate API by passing valid otp received as part of SendOtp API
 3. Hit {{url}}/authorization/auth-code API
 4. Hit {{url}}/oauth/v2/token API
 5. Hit {{url}}/v1/certify/issuance/vd11/credential</t>
  </si>
  <si>
    <t>1. OAuthdetails API is executed with scope "mosip_identity_vc_ldp"
 2. User is Authenticated via Authenticate API by passing valid otp received as part of SendOtp API
 3. Hit {{url}}/authorization/auth-code API
 4. Hit {{url}}/oauth/v2/token API
 5. Hit {{url}}/v1/certify/issuance/vd12/credential</t>
  </si>
  <si>
    <t>INJICERT-434</t>
  </si>
  <si>
    <t>Data Model 2.0 Implementation with a VC credential</t>
  </si>
  <si>
    <t>Well known endpoint</t>
  </si>
  <si>
    <t>Verify the response of VC issuer meta data for vd13.1</t>
  </si>
  <si>
    <t>Well known endpoint
 1. hit {{url}}/v1/certify
 /issuance/.well-known/openid-credential-issuer</t>
  </si>
  <si>
    <t>Well known response should have metadata values which should include svg template enpoint also</t>
  </si>
  <si>
    <t>Verify the response of VC issuer meta data for vd13/latest version</t>
  </si>
  <si>
    <t>Well known response should have metadata values for both 1.1 and 2.0 models
 Note- its same for both models</t>
  </si>
  <si>
    <t>Verify the response of VC issuer meta data for vd11 version</t>
  </si>
  <si>
    <t>Verify the response of VC issuer meta data for vd12 version</t>
  </si>
  <si>
    <t>Verify the response of credential request with context values for both 1.1 and 2.0 models</t>
  </si>
  <si>
    <t>VC should not get fetch with appropriate error</t>
  </si>
  <si>
    <r>
      <rPr>
        <rFont val="Calibri"/>
        <color rgb="FF1155CC"/>
        <sz val="11.0"/>
        <u/>
      </rPr>
      <t>https://mosip.atlassian.net/browse/INJICERT-659</t>
    </r>
  </si>
  <si>
    <t>Verify the response of credential request with context value for 1.1 model</t>
  </si>
  <si>
    <t>Vc should get fetched successfully for the given idenitity</t>
  </si>
  <si>
    <t>Verify the response of credential request with context value for 2.0 model</t>
  </si>
  <si>
    <t>Verify the VC format of credential request with context value for 2.0 model</t>
  </si>
  <si>
    <t>Vc should get fetched successfully for the given idenitity without format value for vd13/latest version</t>
  </si>
  <si>
    <t>Verify VC reposne is updated with attribute expirationDate to validUntil when VC fetched using dataproviderplugin</t>
  </si>
  <si>
    <t>VC should have updated attributed renamed from expirationDate to validUntil in date model 2.0 VC</t>
  </si>
  <si>
    <t>Verify VC reposne is updated with attribute IssuanceDate to validFrom when VC fetched using dataproviderplugin</t>
  </si>
  <si>
    <t>VC should have updated attributed renamed from IssuanceDate to validFrom in data model 2.0 VC</t>
  </si>
  <si>
    <t>Verify VC reposne is updated with attribute Issuancedate and expirationDate for 1.1 VC when VC fetched using dataproviderplugin</t>
  </si>
  <si>
    <t>VC should have updated attributed Should have issuancedate and Expirationdate for 1.1VC</t>
  </si>
  <si>
    <t>Verify render method in 2.0 model VC</t>
  </si>
  <si>
    <t>VC fetched for 2.0 model should have render method, if credential template added with render method</t>
  </si>
  <si>
    <t>verify 2.0 model VC using vc-verifier tool</t>
  </si>
  <si>
    <t>VC fetched for 2.0 model shoud be able to verify using vc-verifier tool</t>
  </si>
  <si>
    <t>Tamper the data in VC for 2.0 and verify using vc-veriifer tool</t>
  </si>
  <si>
    <t>VC verification should get fail</t>
  </si>
  <si>
    <t>Fetch VC for 2.0 model vd11 version</t>
  </si>
  <si>
    <t>Vc should get fetched successfully for the given idenitity with Json LD- VC format</t>
  </si>
  <si>
    <t>Fetch VC for 2.0 model vd12 version</t>
  </si>
  <si>
    <t>verify the second url of context for 2.0 fetched VC</t>
  </si>
  <si>
    <t>Second url of context in fetched VC should have host url</t>
  </si>
  <si>
    <t>fetch the credential VC without the context value given</t>
  </si>
  <si>
    <t>VC should not get fetched successfully with appropriate error message</t>
  </si>
  <si>
    <t>fetch the credential VC with random value along with exiting context value</t>
  </si>
  <si>
    <t>VC should not get fetched successfully</t>
  </si>
  <si>
    <t>configure VC expirationdate</t>
  </si>
  <si>
    <t>Ahould be able to configure expiration time and same has to be appicable in VC</t>
  </si>
  <si>
    <t>Credential Endpoint
 (validation in format field)</t>
  </si>
  <si>
    <t>Should display error message{
 "error": "invalid_request",
 "error_description": "invalid_request"
 }.</t>
  </si>
  <si>
    <t>Credential endpoint
 (Validation of credential definition attribute)</t>
  </si>
  <si>
    <r>
      <rPr>
        <rFont val="Calibri"/>
        <color rgb="FF1155CC"/>
        <sz val="11.0"/>
        <u/>
      </rPr>
      <t>https://openid.net/specs/openid-4-verifiable-credential-issuance-1_0.html#issuer-provided-nonce</t>
    </r>
  </si>
  <si>
    <t>Missing context attribute</t>
  </si>
  <si>
    <t>VC should not get downloaded</t>
  </si>
  <si>
    <t>https://mosip.atlassian.net/browse/INJICERT-659</t>
  </si>
  <si>
    <t>Get VC with proof_signing_alg_values</t>
  </si>
  <si>
    <t>Verify to get VC with proof_signing_alg_value as PS256</t>
  </si>
  <si>
    <t>VC should get downloaded sucessfully</t>
  </si>
  <si>
    <t>Verify to get VC with proof_signing_alg_value as RS256</t>
  </si>
  <si>
    <t>Verify to get VC with proof_signing_alg_value as ES256</t>
  </si>
  <si>
    <t>INJIWEB integartion</t>
  </si>
  <si>
    <t>Download Mock VC from injiweb</t>
  </si>
  <si>
    <t>1. Go to injiweb portal
 2. navigate to mock identity issuer
 3. Enter details and otp and submit</t>
  </si>
  <si>
    <t>Download Mosip id VC from injiweb</t>
  </si>
  <si>
    <t>1. Go to injiweb portal
 2. navigate to Mosip identity issuer
 3. Enter details and otp and submit</t>
  </si>
  <si>
    <t>Download sunbird VC from injiweb</t>
  </si>
  <si>
    <t>1. Go to injiweb portal
 2. navigate to veridonia Issuer
 3. Enter details and submit</t>
  </si>
  <si>
    <t>1. Go to injiweb portal
 2. navigate to mock identity(dataprovider) issuer
 3. Enter details and otp and submit</t>
  </si>
  <si>
    <t>INJICERT-495</t>
  </si>
  <si>
    <t>SVG endpoint</t>
  </si>
  <si>
    <t>Validate SVG Template Structure</t>
  </si>
  <si>
    <t>Exceute endpoint
 GET {{url}}/certify/public/svg-template/{{id}}</t>
  </si>
  <si>
    <t>SVG structure should be valid along with proper placeholders</t>
  </si>
  <si>
    <t>Execute GET SVG template API without any authentication</t>
  </si>
  <si>
    <t>Endpoint should get executed without any authentications</t>
  </si>
  <si>
    <t>Db update requires restrat of POD cant automate</t>
  </si>
  <si>
    <t>Update template from DB and fetch template</t>
  </si>
  <si>
    <t>Updates values should be fetched properly from API</t>
  </si>
  <si>
    <t>Update template from config and fetch template</t>
  </si>
  <si>
    <t>Execute API without id value in path param</t>
  </si>
  <si>
    <t>Should get appropriate error message</t>
  </si>
  <si>
    <t>When template is not present in DB</t>
  </si>
  <si>
    <t>Should get appropriate error message
 {
 "errorCode": "invalid_request",
 "errorMessage": "template_with_id_not_found"
 }</t>
  </si>
  <si>
    <t>Credential endpoint</t>
  </si>
  <si>
    <t>Add rendermethod in velocity template of 2.0 VC and fetch VC</t>
  </si>
  <si>
    <t>1. OAuthdetails API is executed with scope mock_identity_vc_ldp
 2. User is Authenticated via Authenticate API by passing valid otp received as part of SendOtp API
 3. Hit {{url}}/authorization/auth-code API
 4. Hit {{url}}/oauth/v2/token API
 5. Hit {{url}}/v1/certify/issuance/credential</t>
  </si>
  <si>
    <t>VC fetched should have svg template details as per render method format given in velocity template</t>
  </si>
  <si>
    <t>Add rendermethod in velocity template of 2.0 and fetch VC when DB is not have template for the same</t>
  </si>
  <si>
    <t>VC gets fetch with id given in template, and when we execute it gives error</t>
  </si>
  <si>
    <t>fetch Vc with render method when id value is given different in DB and velocity template</t>
  </si>
  <si>
    <t>INJICERT-499</t>
  </si>
  <si>
    <t>Implement a Data Provider Plugin with Postgres</t>
  </si>
  <si>
    <t>wellknown endpoint</t>
  </si>
  <si>
    <t>Well known endpoint
 1. hit {{url}}/v1/certify
 /issuance/.well-known/openid-credential-issuer?version=vd11</t>
  </si>
  <si>
    <t>Well known endpoint
 1. hit {{url}}/v1/certify
 /issuance/.well-known/openid-credential-issuer?version=vd12</t>
  </si>
  <si>
    <t>credentail API for "LandStatementCredential"</t>
  </si>
  <si>
    <t>Fetch VC for "LandStatementCredential"</t>
  </si>
  <si>
    <t>1. OAuthdetails API is executed with scope "land_statement_vc_ldp"
 2. User is Authenticated via Authenticate API by passing valid otp received as part of SendOtp API
 3. Hit {{url}}/authorization/auth-code API
 4. Hit {{url}}/oauth/v2/token API
 5. Hit {{url}}/v1/certify/issuance/credential</t>
  </si>
  <si>
    <t>VC to get fetched succesfully for landstatment</t>
  </si>
  <si>
    <t>Fetch VC for "LandStatementCredential" when credential type is given invalid
 ex - "VerifiableCredential",
 "LandCredential"</t>
  </si>
  <si>
    <t>Vc shoul dnot get fetched with error {
 "error": "unsupported_credential_type",
 "error_description": "unsupported_credential_type"
 }</t>
  </si>
  <si>
    <t>Fetch 1.1 model VC for "LandStatementCredential"</t>
  </si>
  <si>
    <t>VC should get fetched succesfully without format value in VC</t>
  </si>
  <si>
    <t>Fetch 2.0 model VC for "LandStatementCredential"</t>
  </si>
  <si>
    <t>fetch VC "LandStatementCredential" with context values for both 1.1 and 2.0 models</t>
  </si>
  <si>
    <t>VC should not get fetch with appropriate error {
 "error": "expected_template_not_found",
 "error_description": "expected_template_not_found"
 }</t>
  </si>
  <si>
    <t>verify 2.0 model VC using vc-verifier tool/univerifier</t>
  </si>
  <si>
    <t>VC fetched for 2.0 model shoud be able to verify using vc-verifier tool/univerifer</t>
  </si>
  <si>
    <t>Fetch vd11 version -2.0 model VC for "LandStatementCredential"</t>
  </si>
  <si>
    <t>1. OAuthdetails API is executed with scope "land_statement_vc_ldp"
 2. User is Authenticated via Authenticate API by passing valid otp received as part of SendOtp API
 3. Hit {{url}}/authorization/auth-code API
 4. Hit {{url}}/oauth/v2/token API
 5. Hit {{url}}/v1/certify/issuance/vd11/credential</t>
  </si>
  <si>
    <t>VC should get fetched succesfully with format value specified in response</t>
  </si>
  <si>
    <t>Fetch vd12 version -2.0 model VC for "LandStatementCredential"</t>
  </si>
  <si>
    <t>1. OAuthdetails API is executed with scope "land_statement_vc_ldp"
 2. User is Authenticated via Authenticate API by passing valid otp received as part of SendOtp API
 3. Hit {{url}}/authorization/auth-code API
 4. Hit {{url}}/oauth/v2/token API
 5. Hit {{url}}/v1/certify/issuance/vd12/credential</t>
  </si>
  <si>
    <t>Fetch vd11 version -1.1 model VC for "LandStatementCredential"</t>
  </si>
  <si>
    <t>Fetch vd12 version -1.1 model VC for "LandStatementCredential"</t>
  </si>
  <si>
    <t>credentail API for "RegistrationReceiptCredential"</t>
  </si>
  <si>
    <t>Fetch VC for "RegistrationReceiptCredential"</t>
  </si>
  <si>
    <t>1. OAuthdetails API is executed with scope "land_registry_vc_ldp"
 2. User is Authenticated via Authenticate API by passing valid otp received as part of SendOtp API
 3. Hit {{url}}/authorization/auth-code API
 4. Hit {{url}}/oauth/v2/token API
 5. Hit {{url}}/v1/certify/issuance/credential</t>
  </si>
  <si>
    <t>VC to get fetched succesfully for landregistry</t>
  </si>
  <si>
    <t>Vc should not get fetched with error invalid credential type</t>
  </si>
  <si>
    <t>Fetch 1.1 model VC for "RegistrationReceiptCredential"</t>
  </si>
  <si>
    <t>Fetch 2.0 model VC for "RegistrationReceiptCredential"</t>
  </si>
  <si>
    <t>fetch VC "RegistrationReceiptCredential" with context values for both 1.1 and 2.0 models</t>
  </si>
  <si>
    <t>Fetch vd11 version -2.0 model VC for "RegistrationReceiptCredential"</t>
  </si>
  <si>
    <t>Fetch vd12 version -2.0 model VC for "RegistrationReceiptCredential"</t>
  </si>
  <si>
    <t>Fetch vd11 version -1.1 model VC for "RegistrationReceiptCredential"</t>
  </si>
  <si>
    <t>Fetch vd12 version -1.1 model VC for "RegistrationReceiptCredential"</t>
  </si>
  <si>
    <t>Configure mosip.certify.issuer.vc-sign-algo = RsaSignature2018 and in well known metadata</t>
  </si>
  <si>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{{url}}/v1/certify/issuance/vd11/credential</t>
  </si>
  <si>
    <t>VC downloaded should have RsaSignature2018 value in proof.type</t>
  </si>
  <si>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{{url}}/v1/certify/issuance/vd12/credential</t>
  </si>
  <si>
    <t>Fetch VC for 1.1 model vd11 version</t>
  </si>
  <si>
    <t>Fetch VC for 1.1 model vd12 version</t>
  </si>
  <si>
    <t>Verify the response of VC generated for 2.0 model is signing with RsaSignature2018</t>
  </si>
  <si>
    <t>1. OAuthdetails API is executed with scope "land_registry_vc_ldp"/"land_statement_vc_ldp"
 2. User is Authenticated via Authenticate API by passing valid otp received as part of SendOtp API
 3. Hit {{url}}/authorization/auth-code API
 4. Hit {{url}}/oauth/v2/token API
 5. Hit {{url}}/v1/certify/issuance/credential</t>
  </si>
  <si>
    <t>Verify the response of VC generated for 1.1 model is signing with RsaSignature2018</t>
  </si>
  <si>
    <t>Configure mosip.certify.issuer.vc-sign-algo = Ed25519Signature2018
 and in well known metadata</t>
  </si>
  <si>
    <t>VC downloaded should have Ed25519Signature2018 value in proof.type</t>
  </si>
  <si>
    <t>Verify the response of VC generated for 2.0 model is signing with Ed25519Signature2018</t>
  </si>
  <si>
    <t>Verify the response of VC generated for 1.1 model is signing with Ed25519Signature2018</t>
  </si>
  <si>
    <t>Update locale language in wellknown and config</t>
  </si>
  <si>
    <t>Fetch VC for CAR theme in 'en'</t>
  </si>
  <si>
    <t>VC to get fetched succesfully</t>
  </si>
  <si>
    <t>Fetch VC when id is not present in DB(registration_recepit_table and statement_data table)</t>
  </si>
  <si>
    <t>Fetch VC with newly created mok ID but same not present in DB of registration_recepit_table and statement_data tables</t>
  </si>
  <si>
    <t>VC should not get fetched with proper error message {
 "error": "ERROR_FETCHING_IDENTITY_DATA",
 "error_description": "ERROR_FETCHING_IDENTITY_DATA"
 }</t>
  </si>
  <si>
    <t>Injiweb intergration</t>
  </si>
  <si>
    <t>fetch VC from Mock identity dataprovider</t>
  </si>
  <si>
    <t>1. Go to injiweb portal
 2. navigate to mock identity data provider issuer
 3. Enter details and otp and submit</t>
  </si>
  <si>
    <t>Should be able to download VC successfully</t>
  </si>
  <si>
    <t>fetch VC from mock identity certify issuer</t>
  </si>
  <si>
    <t>1. Go to injiweb portal
 2. navigate to mock identity certify issuer
 3. Enter details and otp and submit</t>
  </si>
  <si>
    <t>Injicert-587</t>
  </si>
  <si>
    <t>Implement ability to read CSV with Mock Data Provider Plugin for Data Model 2.0</t>
  </si>
  <si>
    <t>Tc_01</t>
  </si>
  <si>
    <t>Fetch 2.0 VC to verify csv file data</t>
  </si>
  <si>
    <t>"1. OAuthdetails API is executed with scope ""mock_identity_vc_ldp""
 2. User is Authenticated via Authenticate API by passing valid otp received as part of SendOtp API
 3. Hit {{url}}/authorization/auth-code API
 4. Hit {{url}}/oauth/v2/token API
 5. Hit {{url}}/v1/certify/issuance/credential"</t>
  </si>
  <si>
    <t>Downloaded VC should have the data as the data present in csv file with signature siging as default ed255192020</t>
  </si>
  <si>
    <t>Tc_02</t>
  </si>
  <si>
    <t>Update csv file data in folder</t>
  </si>
  <si>
    <t>Downloaded VC should have the data as the data updated in csv file</t>
  </si>
  <si>
    <t>Tc_03</t>
  </si>
  <si>
    <t>Fetch Vc with Mock id which is not present in CSV file</t>
  </si>
  <si>
    <t>VC download should get failed with error {
 "error": "ERROR_FETCHING_IDENTITY_DATA",
 "error_description": "ERROR_FETCHING_IDENTITY_DATA"
 }</t>
  </si>
  <si>
    <t>Tc_04</t>
  </si>
  <si>
    <t>Fetch 1.1 model VC</t>
  </si>
  <si>
    <t>Downloaded VC should have the data as the data present in csv file</t>
  </si>
  <si>
    <t>Tc_05</t>
  </si>
  <si>
    <t>Download vd11 VC for 2.0 model</t>
  </si>
  <si>
    <t>"1. OAuthdetails API is executed with scope ""mock_identity_vc_ldp""
 2. User is Authenticated via Authenticate API by passing valid otp received as part of SendOtp API
 3. Hit {{url}}/authorization/auth-code API
 4. Hit {{url}}/oauth/v2/token API
 5. Hit {{url}}/v1/certify/issuance/vd11/credential"</t>
  </si>
  <si>
    <t>Tc_06</t>
  </si>
  <si>
    <t>Download vd12 VC for 2.0 model</t>
  </si>
  <si>
    <t>"1. OAuthdetails API is executed with scope "mock_identity_vc_ldp"
 2. User is Authenticated via Authenticate API by passing valid otp received as part of SendOtp API
 3. Hit {{url}}/authorization/auth-code API
 4. Hit {{url}}/oauth/v2/token API
 5. Hit {{url}}/v1/certify/issuance/vd12/credential"</t>
  </si>
  <si>
    <t>Tc_07</t>
  </si>
  <si>
    <t>Tc_08</t>
  </si>
  <si>
    <t>Tc_09</t>
  </si>
  <si>
    <t>Configure mosip.certify.data-provider-plugin.issuer.vc-sign-algo= RsaSignature2018 and in well known metadata</t>
  </si>
  <si>
    <t>Tc_10</t>
  </si>
  <si>
    <t>Tc_11</t>
  </si>
  <si>
    <t>Tc_12</t>
  </si>
  <si>
    <t>Tc_13</t>
  </si>
  <si>
    <t>Tc_14</t>
  </si>
  <si>
    <t>Tc_15</t>
  </si>
  <si>
    <t>Configure mosip.certify.data-provider-plugin.issuer.vc-sign-algo= Ed25519Signature2018
 and in well known metadata</t>
  </si>
  <si>
    <t>Tc_16</t>
  </si>
  <si>
    <t>Tc_17</t>
  </si>
  <si>
    <t>Tc_18</t>
  </si>
  <si>
    <t>Tc_19</t>
  </si>
  <si>
    <t>Tc_20</t>
  </si>
  <si>
    <t>Tc_21</t>
  </si>
  <si>
    <t>Verify VC downladed for 1.1 and 2.0 models</t>
  </si>
  <si>
    <t>Verify 1.1 Vc with ed255192020 signature</t>
  </si>
  <si>
    <r>
      <rPr>
        <rFont val="Calibri"/>
        <color rgb="FF1155CC"/>
        <sz val="12.0"/>
        <u/>
      </rPr>
      <t>Should be able to verify using univerifer.io</t>
    </r>
  </si>
  <si>
    <t>Tc_22</t>
  </si>
  <si>
    <t>Verify 1.1 Vc with ed255192018 signature</t>
  </si>
  <si>
    <r>
      <rPr>
        <rFont val="Calibri"/>
        <color rgb="FF1155CC"/>
        <sz val="12.0"/>
        <u/>
      </rPr>
      <t>Should be able to verify using univerifer.io</t>
    </r>
  </si>
  <si>
    <t>Tc_23</t>
  </si>
  <si>
    <t>Verify 1.1 Vc with rsasignature2018</t>
  </si>
  <si>
    <r>
      <rPr>
        <rFont val="Calibri"/>
        <color rgb="FF1155CC"/>
        <sz val="12.0"/>
        <u/>
      </rPr>
      <t>Should be able to verify using univerifer.io</t>
    </r>
  </si>
  <si>
    <t>Tc_24</t>
  </si>
  <si>
    <t>Verify 2.0 Vc with ed255192020 signature</t>
  </si>
  <si>
    <t>VC should be verifed</t>
  </si>
  <si>
    <t>Tc_25</t>
  </si>
  <si>
    <t>Verify 2.0 Vc with ed255192018 signature</t>
  </si>
  <si>
    <t>Tc_26</t>
  </si>
  <si>
    <t>Verify 2.0 Vc with rsasignature2018</t>
  </si>
  <si>
    <t>INJICERT-695</t>
  </si>
  <si>
    <t>Issuance of Verifiable Credentials (VC) in mDL Format</t>
  </si>
  <si>
    <t>Verify the driving license(mDL) VC download</t>
  </si>
  <si>
    <t>1. OAuthdetails API is executed with scope "sample_vc_mdoc"
 2. User is Authenticated via Authenticate API by passing valid otp received as part of SendOtp API
 3. Hit {{url}}/authorization/auth-code API
 4. Hit {{url}}/oauth/v2/token API
 5. Hit {{url}}/v1/certify/issuance/credential</t>
  </si>
  <si>
    <t>User should be able to download mdl successfully</t>
  </si>
  <si>
    <t>Verify the driving license(mDL) VC download with invalid mDL ID</t>
  </si>
  <si>
    <t>User should be get "Invalid Individual ID".</t>
  </si>
  <si>
    <t>Verify the driving license(mDL) VC download with invalid OTP</t>
  </si>
  <si>
    <t>1. OAuthdetails API is executed with scope "sample_vc_mdoc"
 2. User is Authenticated via Authenticate API by passing valid otp received as part of SendOtp API, enter invalid otp in 3rd step
 3. Hit {{url}}/authorization/auth-code API
 4. Hit {{url}}/oauth/v2/token API
 5. Hit {{url}}/v1/certify/issuance/credential</t>
  </si>
  <si>
    <t>User should not get the error as "Incorrret OTP. Please try again."</t>
  </si>
  <si>
    <t>Download multiple mDL VC and verify</t>
  </si>
  <si>
    <t>User should be able to download mdl successfully multiple times</t>
  </si>
  <si>
    <t>Verify the driving license(mDL) VC from detail view page</t>
  </si>
  <si>
    <t>Take credentail value and fetch details using CBOR.zone</t>
  </si>
  <si>
    <t>INJICERT-882</t>
  </si>
  <si>
    <t>Enabling Signing of VC Request using Ed25519 (2018 &amp; 2020)</t>
  </si>
  <si>
    <t>Generate VC with credential request signing/proof_jwt value as Ed25519 with VC signature value as ed255192020</t>
  </si>
  <si>
    <t>Generate 1.1 VC with proof_jwt value for Ed25519</t>
  </si>
  <si>
    <t>1. Get proof_jwt
 2. Authentication using esignet endpoints
 3. Use the same proof_jwt generated in Get credentail API and execute</t>
  </si>
  <si>
    <r>
      <rPr>
        <rFont val="Calibri"/>
        <color rgb="FF1155CC"/>
        <sz val="12.0"/>
        <u/>
      </rPr>
      <t>Vc should get generated and same has to be verified in univerifer.io</t>
    </r>
  </si>
  <si>
    <t>Generate 2.0 VC with proof_jwt value for Ed25519</t>
  </si>
  <si>
    <t>Vc should get generted successfully</t>
  </si>
  <si>
    <t>Generate VC with credential request signing/proof_jwt value as Ed25519 with VC signature value as EcdsaSecp256k1Signature2020</t>
  </si>
  <si>
    <t>Generate 1.1 VC</t>
  </si>
  <si>
    <t>Vc should get generated and same has to be verified in univerifer.io</t>
  </si>
  <si>
    <t>Generate 2.0 VC</t>
  </si>
  <si>
    <t>Vc should get generated successfully</t>
  </si>
  <si>
    <t>Generate VC with credential request signing/proof_jwt value as Ed25519 with VC signature value as RSA signature</t>
  </si>
  <si>
    <t>Generate VC with credential request signing/proof_jwt value as Ed25519 with VC signature value as Ed25519 with did.json invalid</t>
  </si>
  <si>
    <t>Vc should get generated and Vc verification has to be failed</t>
  </si>
  <si>
    <t>Genarate VC without Proof_jwt value</t>
  </si>
  <si>
    <t>1. Get proof_jwt
 2. Authentication using esignet endpoints
 3. Do not use proof_jwt in Get credentail API and execute</t>
  </si>
  <si>
    <t>Vc generation should get fail with error invalid_proof</t>
  </si>
  <si>
    <t>Generate VC with invalid proof_jwt</t>
  </si>
  <si>
    <t>INJICERT-555</t>
  </si>
  <si>
    <t>ECC K1 2019 Key Signing and Verification</t>
  </si>
  <si>
    <t>Well known response should specify the signature suite supported.</t>
  </si>
  <si>
    <t>Fetch VC with default issuer VC signature algo</t>
  </si>
  <si>
    <t>Verify the response of VC generated for 2.0 model is signing with Ed25519Signature2020</t>
  </si>
  <si>
    <t>1. OAuthdetails API is executed with scope "land_registry_vc_ldp/land_statement_vc_ldp"
 2. User is Authenticated via Authenticate API by passing valid otp received as part of SendOtp API
 3. Hit {{url}}/authorization/auth-code API
 4. Hit {{url}}/oauth/v2/token API
 5. Hit {{url}}/v1/certify/issuance/credential</t>
  </si>
  <si>
    <t>VC downloaded should have Ed25519Signature2020 value in proof.type</t>
  </si>
  <si>
    <t>Verify the response of VC generated for 1.0 model is signing with Ed25519Signature2020</t>
  </si>
  <si>
    <r>
      <rPr>
        <rFont val="Calibri"/>
        <color rgb="FF1155CC"/>
        <sz val="12.0"/>
        <u/>
      </rPr>
      <t>VC downloaded should have Ed25519Signature2020 value in proof.type and same to be verified in univerifier.io</t>
    </r>
  </si>
  <si>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{{url}}/v1/certify/issuance/vd11/credential</t>
  </si>
  <si>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{{url}}/v1/certify/issuance/vd12/credential</t>
  </si>
  <si>
    <t>Fetch VC for 1.0 model vd11 version</t>
  </si>
  <si>
    <t>VC downloaded should have Ed25519Signature2020 value in proof.type and same to be verified in univerifier.io</t>
  </si>
  <si>
    <t>Fetch VC for 1.0 model vd12 version</t>
  </si>
  <si>
    <t>Update property for issuer Vc signature algo to EcdsaSecp256k1Signature2019</t>
  </si>
  <si>
    <t>Verify the response of VC generated for 2.0 model is signing with EcdsaSecp256k1Signature2019</t>
  </si>
  <si>
    <t>VC downloaded should have EcdsaSecp256k1Signature2019 value in proof.type</t>
  </si>
  <si>
    <t>Verify the response of VC generated for 1.0 model is signing with EcdsaSecp256k1Signature2019</t>
  </si>
  <si>
    <r>
      <rPr>
        <rFont val="Calibri"/>
        <color rgb="FF1155CC"/>
        <sz val="12.0"/>
        <u/>
      </rPr>
      <t>VC downloaded should have EcdsaSecp256k1Signature2019 value in proof.type and same to be verified in univerifier.io</t>
    </r>
  </si>
  <si>
    <t>Fetch VC for 2.0 model vd11 version for EcdsaSecp256k1Signature2019</t>
  </si>
  <si>
    <t>Fetch VC for 2.0 model vd12 version for EcdsaSecp256k1Signature2019</t>
  </si>
  <si>
    <t>Fetch VC for 1.0 model vd11 version for EcdsaSecp256k1Signature2019</t>
  </si>
  <si>
    <t>VC downloaded should have EcdsaSecp256k1Signature2019 value in proof.type and same to be verified in univerifier.io</t>
  </si>
  <si>
    <t>Fetch VC for 1.0 model vd12 version EcdsaSecp256k1Signature2019</t>
  </si>
  <si>
    <t>Fetch 1.1 Vc for EcdsaSecp256k1Signature2019 when did.json is given for differnt signature in issuer uri</t>
  </si>
  <si>
    <r>
      <rPr>
        <rFont val="Calibri"/>
        <color rgb="FF1155CC"/>
        <sz val="12.0"/>
        <u/>
      </rPr>
      <t>VC should get fetch but verification should get failed in univerifier.io</t>
    </r>
  </si>
  <si>
    <t>Update property for issuer Vc signature algo to RsaSignature2018</t>
  </si>
  <si>
    <t>Fetch 2.0 Vc for Rsasignature</t>
  </si>
  <si>
    <t>Vc should get fetched succesfully</t>
  </si>
  <si>
    <t>Fetch 1.1 Vc for Rsasignature</t>
  </si>
  <si>
    <r>
      <rPr>
        <rFont val="Calibri"/>
        <color rgb="FF1155CC"/>
        <sz val="12.0"/>
        <u/>
      </rPr>
      <t>Vc should get fetched succesfully and same has to verified in univerifier.io</t>
    </r>
  </si>
  <si>
    <t>Fetch Vc when c_nonce value is invalid</t>
  </si>
  <si>
    <t>Vc should not get fetched with error "invalid proof"</t>
  </si>
  <si>
    <t>Fetch VC when proof jwt value is invalid</t>
  </si>
  <si>
    <t>VC should not get fetch with error {
  "error": "invalid_proof",
  "error_description": "invalid_proof"
 }</t>
  </si>
  <si>
    <t>Fetch Vc when when proof signing alg value is invalid</t>
  </si>
  <si>
    <t>Vc should not get fetched with error Error: [jwtSign] unsupported alg name:</t>
  </si>
  <si>
    <t>Request credential with an empty value of "proof" attribute. Ex:"proof": {}</t>
  </si>
  <si>
    <t>Fetch Vc from Injweb when issuer vc signature is configured for EcdsaSecp256k1Signature2019</t>
  </si>
  <si>
    <t>VC fetch</t>
  </si>
  <si>
    <t>Fetch VC 1.1/2.0 model without iss(issuer value)</t>
  </si>
  <si>
    <t>INJICERT-661</t>
  </si>
  <si>
    <t>Removal of dependency of artifactory in Inji Certify</t>
  </si>
  <si>
    <t>Fetch VC without adding plugin manually when testing localy using docker compose</t>
  </si>
  <si>
    <t>Fetch VC without adding plugin manaully</t>
  </si>
  <si>
    <t>Plugin should come by default and VC shoud get fetched succesfully</t>
  </si>
  <si>
    <t>Fetch VC by adding plugin manually when testing localy using docker compose</t>
  </si>
  <si>
    <t>Configure .yml property to add plugin manually</t>
  </si>
  <si>
    <t>Should be able to configure yml file to add plugins manually</t>
  </si>
  <si>
    <t>Add plugin but configure to take plugin by default when testing localy using docker compose</t>
  </si>
  <si>
    <t>Add jar manually and use image certify-with-plugins</t>
  </si>
  <si>
    <t>Jar should get overwritten with default jars and shoud be able to fetch VC</t>
  </si>
  <si>
    <t>Fetch VC by configuring Different signatures when testing localy using docker compose</t>
  </si>
  <si>
    <t>Fetch 1.1 VC with signature ECCk1(EcdsaSecp256k1Signature2019)</t>
  </si>
  <si>
    <r>
      <rPr>
        <rFont val="Calibri"/>
        <color rgb="FF1155CC"/>
        <sz val="12.0"/>
        <u/>
      </rPr>
      <t>Should be able to fetch VC with prooftype EcdsaSecp256k1Signature2019 and same should be verified in univerifier.io</t>
    </r>
  </si>
  <si>
    <t>Fetch 2.0 VC with signature ECCk1(EcdsaSecp256k1Signature2019)</t>
  </si>
  <si>
    <t>Should be able to fetch VC with prooftype EcdsaSecp256k1Signature2019</t>
  </si>
  <si>
    <t>Fetch 1.1 VC with signature Ed255192020</t>
  </si>
  <si>
    <r>
      <rPr>
        <rFont val="Calibri"/>
        <color rgb="FF1155CC"/>
        <sz val="12.0"/>
        <u/>
      </rPr>
      <t>Should be able to fetch VC with prooftype Ed255192020 and same should be verified in univerifier.io</t>
    </r>
  </si>
  <si>
    <t>Fetch 2.0 VC with signature Ed255192020</t>
  </si>
  <si>
    <t>Should be able to fetch VC with prooftype Ed255192020</t>
  </si>
  <si>
    <t>Fetch 1.1 VC with signature RSAsignature</t>
  </si>
  <si>
    <r>
      <rPr>
        <rFont val="Calibri"/>
        <color rgb="FF1155CC"/>
        <sz val="12.0"/>
        <u/>
      </rPr>
      <t>Should be able to fetch VC with prooftype RsaSignature and same should be verified in univerifier.io</t>
    </r>
  </si>
  <si>
    <t>Fetch 2.0 VC with signature RsaSignature</t>
  </si>
  <si>
    <t>Should be able to fetch VC with prooftype RsaSignature</t>
  </si>
  <si>
    <t>Fetch VC when issuer uri value is invalid</t>
  </si>
  <si>
    <r>
      <rPr>
        <rFont val="Calibri"/>
        <color rgb="FF1155CC"/>
        <sz val="12.0"/>
        <u/>
      </rPr>
      <t>Should be able to fetch VC but verification should get fail in univeriifer.io</t>
    </r>
  </si>
  <si>
    <t>Fetch VC in injiweb</t>
  </si>
  <si>
    <t>using localhost:3001 when testing in docker compose</t>
  </si>
  <si>
    <t>1. From localhost:3001, navigate to issuers
 2.Select farmer credential type
 3. enter UIN and otp</t>
  </si>
  <si>
    <t>Vc should get fetched for given UIN</t>
  </si>
  <si>
    <t>This scenario is for external wallet support, keycloak taken from dev2 env</t>
  </si>
  <si>
    <t>when did.json is invalid</t>
  </si>
  <si>
    <t>VC download should get failed with unknown error</t>
  </si>
  <si>
    <t>INJICERT-871</t>
  </si>
  <si>
    <t>Key cloak Integration for VC Issuance</t>
  </si>
  <si>
    <t>Fetch VC when authentication is done using keyclock</t>
  </si>
  <si>
    <t>Fetch Academic VC without authentication</t>
  </si>
  <si>
    <t>1. Execute Get Credential API without authentication</t>
  </si>
  <si>
    <t>Vc should not get downloaded with error "401 authentication failed"</t>
  </si>
  <si>
    <t>Fetch Academic VC After sucessful authentication</t>
  </si>
  <si>
    <t>1. Authentication/login into keyclock with valid credentials
 2.Use same token &amp; Execute Get Credential API with authentication</t>
  </si>
  <si>
    <t>Vc should get fetched succesfully as oer the attributes and values in DB for the logged in credentials</t>
  </si>
  <si>
    <t>Fetch Academic VC with expired token</t>
  </si>
  <si>
    <t>1. Authentication/login into keyclock with valid credentials
 2.wait till token expires &amp; Execute Get Credential API with authentication</t>
  </si>
  <si>
    <t>Vc should not get downloaded with error "invalid_proof"</t>
  </si>
  <si>
    <t>Fetch Vc when refreshed token is used</t>
  </si>
  <si>
    <t>1. Authentication/login into keyclock with valid credentials
 2.wait till token expires , refresh to get new token &amp; Execute Get Credential API with authentication</t>
  </si>
  <si>
    <t>Vc should get fetched successfully</t>
  </si>
  <si>
    <t>Fetch Vc without iss(issuer) value</t>
  </si>
  <si>
    <t>1. Authentication/login into keyclock with valid credentials
 2.Use same token &amp; Execute Get Credential API without authentication</t>
  </si>
  <si>
    <t>Fetch 1.1 VC and verify the same</t>
  </si>
  <si>
    <r>
      <rPr>
        <rFont val="Calibri"/>
        <color rgb="FF1155CC"/>
        <sz val="12.0"/>
        <u/>
      </rPr>
      <t>Vc should get fetched successfully and should be verifiable using univerifier.io</t>
    </r>
  </si>
  <si>
    <t>Fetch 2.0 VC with keycloak authentiaction</t>
  </si>
  <si>
    <t>2.0 Vc should get fetched successfully</t>
  </si>
  <si>
    <t>fetch VC without nonce</t>
  </si>
  <si>
    <t>Vc downlaod should get failed with error {
 "error": "invalid_proof",
 "error_description": "invalid_proof"
 }</t>
  </si>
  <si>
    <t>Fetch VC and verify when did.json is invalid</t>
  </si>
  <si>
    <t>Vc should get fetched successfully and verification should fail</t>
  </si>
  <si>
    <t>Well known response should have metadata values</t>
  </si>
  <si>
    <t>Fetch VC for backward verisons</t>
  </si>
  <si>
    <t>Fetch Academic VC After sucessful authentication for vd11 version</t>
  </si>
  <si>
    <t>Fetch Academic VC After sucessful authentication for vd12 version</t>
  </si>
  <si>
    <t>Fetch VC whne data is not avaiable in DB</t>
  </si>
  <si>
    <t>fetch VC when user data not availble in DB</t>
  </si>
  <si>
    <t>Vc should not get downloaded with error {
 "error": "ERROR_FETCHING_DATA_RECORD_FROM_TABLE",
 "error_description": "ERROR_FETCHING_DATA_RECORD_FROM_TABLE"
 }</t>
  </si>
  <si>
    <t>Update scope in keycloak and config and fetch VC for 1.1/2.0 model</t>
  </si>
  <si>
    <t>Fetch VC after scope is updated</t>
  </si>
  <si>
    <t>VC should get fetched abd successfully verified for 1.1vc,
 and 2.0 vc should get fetched</t>
  </si>
  <si>
    <t>INJICERT-769</t>
  </si>
  <si>
    <t>Adding new verifiable credential (VC) type to the existing issuer</t>
  </si>
  <si>
    <t>Add new verifiabe credential type</t>
  </si>
  <si>
    <t>Add new VC type</t>
  </si>
  <si>
    <t>1. Navigate to API /credential-configurations to add new VC type
 2. Provide required details and submit</t>
  </si>
  <si>
    <t>New VC type is added and visible in the issuer's list of supported VC types</t>
  </si>
  <si>
    <t>Generate VC with newly added VCtype</t>
  </si>
  <si>
    <t>1. Perform authentication and fetch VC for the newly added VC type</t>
  </si>
  <si>
    <t>VC should get generated for new VC type</t>
  </si>
  <si>
    <t>Fetch newly added VC type</t>
  </si>
  <si>
    <t>1. Navigate to GET credential configuration API and execute</t>
  </si>
  <si>
    <t>New VC type added should get appear in the repsonse list</t>
  </si>
  <si>
    <t>Update existing VC type after added newly</t>
  </si>
  <si>
    <t>1. Navigate to Update credential configuration and excute with details</t>
  </si>
  <si>
    <t>VC Type should be allowed to get updated</t>
  </si>
  <si>
    <t>Delete existing VC type</t>
  </si>
  <si>
    <t>1. Navigate to delete VC and excute with details given</t>
  </si>
  <si>
    <t>VC type to get deleted successfully</t>
  </si>
  <si>
    <t>Add VC type with missing mandatory fields(vc template) for Data provider plugin</t>
  </si>
  <si>
    <t>1. Navigate to API to add new VC type
 2. Donot add mandatory details and submit</t>
  </si>
  <si>
    <t>New Vc type should not get added with appropriate error message{
  "errorCode": "Credential Template is mandatory for this `DataProvider` plugin issuer.",
  "errorMessage": "Credential Template is mandatory for this `DataProvider` plugin issuer."
  }</t>
  </si>
  <si>
    <t>Add duplicate VC type</t>
  </si>
  <si>
    <t>1. Navigate to API to add new VC type
 2.Provide existing VC type and submit</t>
  </si>
  <si>
    <t>New Vc type should not get added with appropriate error message [
  {
  "errorCode": "Credential type already exists. Try updating the credential.",
  "errorMessage": "Credential type already exists. Try updating the credential."
  }
  ]</t>
  </si>
  <si>
    <t>Add VC type with invalid validation</t>
  </si>
  <si>
    <t>1. Navigate to API to add new VC type
 2. Enter Vc type with invalid validation and submit</t>
  </si>
  <si>
    <t>New Vc type should not get added with appropriate error message</t>
  </si>
  <si>
    <t>Add VC type with random scope</t>
  </si>
  <si>
    <t>1. Navigate to API to add new VC type
 2. Enter Vc type with random Scope and submit</t>
  </si>
  <si>
    <t>New Vc type should get added</t>
  </si>
  <si>
    <t>Add VC type with special characters</t>
  </si>
  <si>
    <t>1. Navigate to API to add new VC type
 2. Enter Vc type with only special charcters and submit</t>
  </si>
  <si>
    <t>Should be able to add VC type with only special characters</t>
  </si>
  <si>
    <t>Add VC type with extermly long VC type</t>
  </si>
  <si>
    <t>1. Navigate to API to add new VC type
 2. Enter Vc type with with extermely long length and submit</t>
  </si>
  <si>
    <t>Should be able to add VC type with extermly long VC type</t>
  </si>
  <si>
    <t>Add multiple new VC type in a single request</t>
  </si>
  <si>
    <t>1. Navigate to API to add new VC type
 2. Enter multiple VC types in single request and submit</t>
  </si>
  <si>
    <t>Should be able to add multiple VC types</t>
  </si>
  <si>
    <t>Add VCtype with invalid json</t>
  </si>
  <si>
    <t>1. Navigate to API to add VC type
 2.Provide invalid json and excute API</t>
  </si>
  <si>
    <t>Vc should not get added with appropriate error message
 {
  "errorCode": "unknown_error",
  "errorMessage": "JSON parse error: Unexpected character ('\"' (code 34)): was expecting comma to separate Object entries"
  }</t>
  </si>
  <si>
    <t>Add VC type without authentication</t>
  </si>
  <si>
    <t>1. Navigate to API to add new VC type
 2. Provide required details and submit</t>
  </si>
  <si>
    <t>API should work without authentication</t>
  </si>
  <si>
    <t>Fetch VD11 /Vd12 VC with new VC type added</t>
  </si>
  <si>
    <t>1. Fetch VC for the newly added VC type</t>
  </si>
  <si>
    <t>Add vctype for mdoc format</t>
  </si>
  <si>
    <t>1. Navigate to API to add new VC type for mdoc format
 2. Provide required details and submit</t>
  </si>
  <si>
    <t>Should be able to add VC type for mdoc format</t>
  </si>
  <si>
    <t>Fetch VC for Both for DP and VC issuance pluginusing newly added VC type</t>
  </si>
  <si>
    <t>New VC type is to get added for both plugins and visible in the issuer's list of supported VC types</t>
  </si>
  <si>
    <t>random keymanager appid/refid to create vctype</t>
  </si>
  <si>
    <t>Vc type can be created but vc signing should fail</t>
  </si>
  <si>
    <t>Ftech config with invalid config-id</t>
  </si>
  <si>
    <t>1. Enter invalid config id and execute GET config API</t>
  </si>
  <si>
    <t>"Config fetch should get fail with error {
  "errorCode": "Configuration not found with the provided id: cfdbe98f-631d-4ee6-b350-10f36b9b9"",
  ""errorMessage"": Configuration not found with the provided id: cfdbe98f-631d-4ee6-b350-10f36b9b9
  }</t>
  </si>
  <si>
    <t>Deleet config with invalid Config id</t>
  </si>
  <si>
    <t>"Config fetch should get fail with error {
  ""errorCode"": ""Configuration not found with the provided id: cfdbe98f-631d-4ee6-b350-10f36b9b9"",
  ""errorMessage"": ""Configuration not found with the provided id: cfdbe98f-631d-4ee6-b350-10f36b9b9""
  }"</t>
  </si>
  <si>
    <t>Update config with invalid config id</t>
  </si>
  <si>
    <t>1. Enter invalid config id and execute UPDATE config API</t>
  </si>
  <si>
    <t>Add credential config without context</t>
  </si>
  <si>
    <t>1. Execute API without context in request body</t>
  </si>
  <si>
    <t>VC type addition should get fail with error[
  {
  "errorCode": "Context, credentialType and signatureCryptoSuite are mandatory for ldp_vc format",
  "errorMessage": "Context, credentialType and signatureCryptoSuite are mandatory for ldp_vc format"
  }
  ]</t>
  </si>
  <si>
    <t>Add credential config without credential Type</t>
  </si>
  <si>
    <t>1. Execute API without credential Type in request body</t>
  </si>
  <si>
    <t>"VC type addition should get fail with error [
  {
  "errorCode": "Context, credentialType and signatureCryptoSuite are mandatory for ldp_vc format",
  "errorMessage": "Context, credentialType and signatureCryptoSuite are mandatory for ldp_vc format"
  }
  ]</t>
  </si>
  <si>
    <t>Add credential config for VC issunace plugin(sunbird) without VC template</t>
  </si>
  <si>
    <t>1. Execute API without VC template for VC issuance plugin(sunbird)</t>
  </si>
  <si>
    <t>Should be able to add credential config for the VC issunace plugin</t>
  </si>
  <si>
    <t>Add Credential config with invalid VC format</t>
  </si>
  <si>
    <t>1. Navigate to Add API and execute with details
 2. Add invalid format and execute API</t>
  </si>
  <si>
    <t>Add new credential config shoud get fail with error "Unsupported format"</t>
  </si>
  <si>
    <t>Add Credential config for sd_jwt without context and credential type</t>
  </si>
  <si>
    <t>1. Add VCT for sd-jwt format without context and credential type</t>
  </si>
  <si>
    <t>Should be able to add VCT for sd_jwt as context and credential type is not required for sd_jwt</t>
  </si>
  <si>
    <t>Add credential config for mdoc_mso format</t>
  </si>
  <si>
    <t>1. Add VC type for mdoc_mso fromat</t>
  </si>
  <si>
    <t>new config has to be added to mdoc_mso format</t>
  </si>
  <si>
    <t>Add credential config for sd_jwt without Vct field</t>
  </si>
  <si>
    <t>1. Add VCT for sd-jwt format without VCT attribute</t>
  </si>
  <si>
    <t>Response should have error [
  {
  "errorCode": "Vct and signatureAlgo fields are mandatory for vc+sd-jwt format",
  "errorMessage": "Vct and signatureAlgo fields are mandatory for vc+sd-jwt format"
  }
  ]</t>
  </si>
  <si>
    <t>Add credential config for sd_jwt format with sdclaims</t>
  </si>
  <si>
    <t>1. Add VCT for sd-jwt format without claims attribute</t>
  </si>
  <si>
    <t>Add credential config for idp_vc format Data integrity proof without cryptosuite siganture</t>
  </si>
  <si>
    <t>1. Add Vc type without signature cryptosuite</t>
  </si>
  <si>
    <t>Response should have error [
  {
  "errorCode": "Context, credentialType and signatureCryptoSuite are mandatory for ldp_vc format",
  "errorMessage": "Context, credentialType and signatureCryptoSuite are mandatory for ldp_vc format"
  }
  ]</t>
  </si>
  <si>
    <t>Add credential config for idp_vc format Data integrity proof without siganture algo</t>
  </si>
  <si>
    <t>1. Add Vc type without signature algo</t>
  </si>
  <si>
    <t>Response should have error [{
  "errorCode": "Signature algorithm is mandatory for the provided crypto suite: ecdsa-jcs-2019",
  "errorMessage": "Signature algorithm is mandatory for the provided crypto suite: ecdsa-jcs-2019"
  }</t>
  </si>
  <si>
    <t>INJICERT-977</t>
  </si>
  <si>
    <t>ECC R1 Key Signing and Verification</t>
  </si>
  <si>
    <t>Verify the response of VC generated for 2.0 model is signing with EcdsaSecp256r1Signature2019</t>
  </si>
  <si>
    <t>VC downloaded should have EcdsaSecp256r1Signature2019value in proof.type</t>
  </si>
  <si>
    <t>Verify the response of VC generated for 1.0 model is signing with EcdsaSecp256r1Signature2019</t>
  </si>
  <si>
    <r>
      <rPr>
        <rFont val="Calibri"/>
        <color rgb="FF1155CC"/>
        <sz val="12.0"/>
        <u/>
      </rPr>
      <t>VC downloaded should have EcdsaSecp256k1Signature2019 value in proof.type and same to be verified in univerifier.io</t>
    </r>
  </si>
  <si>
    <r>
      <rPr>
        <rFont val="Calibri"/>
        <color rgb="FF1155CC"/>
        <sz val="12.0"/>
        <u/>
      </rPr>
      <t>VC should get fetch but verification should get failed in univerifier.io</t>
    </r>
  </si>
  <si>
    <t>Fetch sunird VC with EcdsaSecp256r1Signature2019 signature</t>
  </si>
  <si>
    <t>1. OAuthdetails API is executed with scope "sunbird_rc_insurance_vc_ldp"
 2. User is Authenticated via Authenticate API by passing valid otp received as part of SendOtp API
 3. Hit {{url}}/authorization/auth-code API
 4. Hit {{url}}/oauth/v2/token API
 5. Hit {{url}}/v1/certify/issuance/vd12/credential</t>
  </si>
  <si>
    <t>VC fetched shoud not support EcdsaSecp256r1Signature2019 signature</t>
  </si>
  <si>
    <t>Fetch MosipId VC with EcdsaSecp256r1Signature2019 signature</t>
  </si>
  <si>
    <t>Verify the VC fetched for ECC R1 signature</t>
  </si>
  <si>
    <t>VC fetched should get verified successfuly</t>
  </si>
  <si>
    <t>Fetch Vc where holder signs request with valid r1 private key(p-256) ie., ES256</t>
  </si>
  <si>
    <t>1. Authenticate using eSignet endpoints
 2. provide valid proof_jwt with ES256 alg</t>
  </si>
  <si>
    <t>Sign request with invalid curve</t>
  </si>
  <si>
    <t>1. Authenticate using eSignet endpoints
 2.provide proof_jwt with non r1 curve</t>
  </si>
  <si>
    <t>Vc fetch should get failed with proper error message, invalid proof</t>
  </si>
  <si>
    <t>Reuse same valid proof_jwt multiple times for r1 curve</t>
  </si>
  <si>
    <t>1. Authenticate using eSignet endpoints
 2. Provide already used proof_jwt and fetch VC</t>
  </si>
  <si>
    <t>VC fetch should get success until token is valid</t>
  </si>
  <si>
    <t>Verify to fetch VC with invalid proof_jwt</t>
  </si>
  <si>
    <t>1. Authenticate using eSignet endpoints
 2. Provide invalid proof_jwt and fetch VC</t>
  </si>
  <si>
    <t>VC fetch should get failed with invalid_proof error</t>
  </si>
  <si>
    <t>Support of ECC R1 curve algorithm during VC request signing validation
 Update proof_signing_alg_values_supported values to curves supported for ECC r1</t>
  </si>
  <si>
    <t>Verify to fetch VC with null proof_jwt</t>
  </si>
  <si>
    <t>fetch vc with RS256 vc request signature</t>
  </si>
  <si>
    <t>1.Authenicate using esignet endpoints
 2. Request VC with RS256 alg from certify endpoint</t>
  </si>
  <si>
    <t>Vc fetch should be succesfull</t>
  </si>
  <si>
    <t>fetch vc with PS256 vc request signature</t>
  </si>
  <si>
    <t>1.Authenicate using esignet endpoints
 2. Request VC with PS256 alg from certify endpoint</t>
  </si>
  <si>
    <t>fetch vc with ed25519 vc request signature</t>
  </si>
  <si>
    <t>1.Authenicate using esignet endpoints
 2. Request VC with Ed25519 alg from certify endpoint</t>
  </si>
  <si>
    <t>INJICERT-522</t>
  </si>
  <si>
    <t>add support for did:key for Inji Certify as a Factory</t>
  </si>
  <si>
    <t>did.key support for injicertify</t>
  </si>
  <si>
    <t>Issue VC where proofjwt contains public key in did:key format RSA(RS256)</t>
  </si>
  <si>
    <t>1. Authenticate using esignet Endpoints
 2. In credential API update did.key value and execute</t>
  </si>
  <si>
    <t>VC with did.key for RSA is not supported</t>
  </si>
  <si>
    <t>verify the issued VC</t>
  </si>
  <si>
    <t>1. Authenticate using esignet Endpoints
 2. In credential API update did.key value and execute
 3. verify VC</t>
  </si>
  <si>
    <t>VC to get verified succesfully</t>
  </si>
  <si>
    <t>Issue VC with key type PS256</t>
  </si>
  <si>
    <t>Issue VC with key type Ed25519</t>
  </si>
  <si>
    <t>VC to get issued succesfully with same proof value passed in proof_jwt of request</t>
  </si>
  <si>
    <t>Issue VC with key type Ecc k1(ES256k)</t>
  </si>
  <si>
    <t>VC to get issued succesfully</t>
  </si>
  <si>
    <t>Issue VC with key type Ecc r1(ES256)</t>
  </si>
  <si>
    <t>Issue VC where proofjwt contains public key in did:key format for sunbird usecase</t>
  </si>
  <si>
    <t>Sunbird VC to get issued with the issuer filed set to did.key and same has to get verified successfully</t>
  </si>
  <si>
    <t>Issue VC where proofjwt contains public key in did:key format for Mock data provider postgres plugin usecase</t>
  </si>
  <si>
    <t>Mock data provider postgres plugin VC to get issued with the issuer filed set to did.key and same has to get verified successfully</t>
  </si>
  <si>
    <t>Issue VC where proofjwt contains public key in did:key format for Mock data provider CSV plugin usecase</t>
  </si>
  <si>
    <t>Mock data provider CSV plugin VC to get issued with the issuer filed set to did.key and same has to get verified successfully</t>
  </si>
  <si>
    <t>Issue VC where proofjwt contains public key in did:key format for Mosipid usecase</t>
  </si>
  <si>
    <t>VC should not get issued with error invalid proof as Mosip support only RSA key</t>
  </si>
  <si>
    <t>Issue VC where proofjwt contains public key in did:key format for 2.0 model</t>
  </si>
  <si>
    <t>VC to get issued with the issuer filed set to did.key and same has to get verified successfully</t>
  </si>
  <si>
    <t>Issue VC using invalid did.key value or invalid length</t>
  </si>
  <si>
    <t>VC should not get issued with error invalid proof</t>
  </si>
  <si>
    <t>Issue VC with diiferent did.key and use another keypair to sign it(generate 2 keypairs , use one to sign and use another to issue)</t>
  </si>
  <si>
    <t>1. Authenticate using esignet Endpoints
 2. In credential API update did.key value and execute
 3. use the differnt public key than one used to sign</t>
  </si>
  <si>
    <t>Vc to get issued and verifications gets failed</t>
  </si>
  <si>
    <t>In wellknown given cryptographic_binding_methods_supported": [
 "did:jwk" , "did:key"
 ]</t>
  </si>
  <si>
    <t>Issue VC with proof_jwt contains did:key</t>
  </si>
  <si>
    <t>1. Authenticate using esignet Endpoints
 2. In credential API update proof_jwt value contains did:key and execute</t>
  </si>
  <si>
    <t>Vc fetch should get successfull</t>
  </si>
  <si>
    <t>Issue VC with proof_jwt contains did:jwk</t>
  </si>
  <si>
    <t>1. Authenticate using esignet Endpoints
 2. In credential API update proof_jwt value contains did:jwk and execute</t>
  </si>
  <si>
    <t>In wellknown given cryptographic_binding_methods_supported": [
 "did:key"
 ]</t>
  </si>
  <si>
    <t>Vc fetch should get fail</t>
  </si>
  <si>
    <t>In wellknown given cryptographic_binding_methods_supported": [
 "did:jwk"
 ]</t>
  </si>
  <si>
    <t>INJICERT-61</t>
  </si>
  <si>
    <t>Support Selective Disclosure JWT (SD-JWT) for Issuing Verifiable Credentials (VCs)</t>
  </si>
  <si>
    <t>Sd-jwt issuance and structure</t>
  </si>
  <si>
    <t>Issue Vc in sd-jwt format with atleast one selectively disclosure claim</t>
  </si>
  <si>
    <t>1. Mention sd_claims during addition of credentail config like $.credentialSubject.id
 2. use the same vct value given in credential config and issue VC</t>
  </si>
  <si>
    <t>Credential to get issued in sd-jwt format and after decoding of credentails disclosurses to be mentioned clearly</t>
  </si>
  <si>
    <t>https://mosip.atlassian.net/browse/INJICERT-1162</t>
  </si>
  <si>
    <t>fetch wellknown endpoint to get issuer metadata</t>
  </si>
  <si>
    <t>1. Execute wellknown endpoint for issuer metadata</t>
  </si>
  <si>
    <t>Should be able to fetch issuer metadata</t>
  </si>
  <si>
    <t>Issue VC with VCT (request structure)</t>
  </si>
  <si>
    <t>1. Authenticate with esignet endpoints
 2. Give format as vct and exceute</t>
  </si>
  <si>
    <t>VC fetch should be successfull</t>
  </si>
  <si>
    <t>Issue VC with format given as ldp_vc</t>
  </si>
  <si>
    <t>1. Mention sd_claims during addition of credentail config like $.credentialSubject.face
 2. use the same vct value given in credential config , given format as ldp_vc and issue VC</t>
  </si>
  <si>
    <t>Credential fetch should get failed</t>
  </si>
  <si>
    <t>Issue Vc with no SD claims</t>
  </si>
  <si>
    <t>1. Dont mention sd_claims while adding of credentail config
 2. use the same vct value given in credential config and issue VC</t>
  </si>
  <si>
    <t>Credential fetch should be succesfull with no claims marked for disclousre as sd_claims is optional field</t>
  </si>
  <si>
    <t>Issue Vc with invalid type header</t>
  </si>
  <si>
    <t>1.Issue VC with invalid typ header ex- "jwt"</t>
  </si>
  <si>
    <t>Vc fetch should get fail with error as type expected to be "vc+sd-jwt"</t>
  </si>
  <si>
    <t>issue VC without exp in jwt claims</t>
  </si>
  <si>
    <t>Issue VC without exp</t>
  </si>
  <si>
    <t>vc fetch should be successful as exp is optional claim</t>
  </si>
  <si>
    <t>Issue Vc with invalid issuer metadata</t>
  </si>
  <si>
    <t>Issue Vc with invalid issuer url</t>
  </si>
  <si>
    <t>VC fetch should get fail with approrpriate error message</t>
  </si>
  <si>
    <t>Issue VC with all the attributes as disclosuers</t>
  </si>
  <si>
    <t>1. Add credential config for sd_jwt with all attributes as sd_claims and fetch VC</t>
  </si>
  <si>
    <t>Credentail fetch should be successful with so many number of hash values in sd_claims</t>
  </si>
  <si>
    <t>Using the same plugin fetch VC in ldp_vc format</t>
  </si>
  <si>
    <t>1. Authenticate using esignet endpoints
 2. Issue VC for Idp_Vc format</t>
  </si>
  <si>
    <t>VC fetch should fail</t>
  </si>
  <si>
    <t>INJICERT-1033</t>
  </si>
  <si>
    <t>Ensure data integrity for VC issued using Data Model 2.0</t>
  </si>
  <si>
    <t>Data integrity for VCs issued</t>
  </si>
  <si>
    <t>Configure certify prorties with verfication to have data integirty proof generation</t>
  </si>
  <si>
    <t>1. Authenticate with esignet endpoints
 2. Issue VC from certify endpoint</t>
  </si>
  <si>
    <t>Vc issunace should be succesful with data integrity proof</t>
  </si>
  <si>
    <t>Disable certify configuration for data integrity proof and fetch VC</t>
  </si>
  <si>
    <t>Vc issunace should be succesful without data integrity proof</t>
  </si>
  <si>
    <t>verify proof object for fetched VC</t>
  </si>
  <si>
    <t>1. Properties has to be enabled for data integrity
 2. Authenticate with esignet endpoints
 3. Issue VC from certify endpoint</t>
  </si>
  <si>
    <t>Vc issuance should be succesful and proof object should have data integrity values
 like
 VC contains a 'proof' object with 'type', 'created', 'proofPurpose', cryptosuite,'verificationMethod', 'proofValue'.</t>
  </si>
  <si>
    <t>Support for Ed25519 signature Suite</t>
  </si>
  <si>
    <t>1. Properties has to be enabled for data integrity
 2. Authenticate with esignet endpoints
 3. Issue VC with Ed25519 signature configured from certify endpoints</t>
  </si>
  <si>
    <t>Vc fetched having Proof to show cryptosuite value as eddsa-rdfc-2022/eddsa-rdfc-2019</t>
  </si>
  <si>
    <t>Support for EccK1 signature Suite (ecdsa-rdfc-2019/ecdsa-jcs-2019)</t>
  </si>
  <si>
    <t>1. Properties has to be enabled for data integrity
 2. Authenticate with esignet endpoints
 3. Issue VC with EccK1 signature configured from certify endpoints</t>
  </si>
  <si>
    <t>proof' contains 'proofValue' generated using Ecck1.(ecdsa-rdfc-2019/ecdsa-jcs-2019)</t>
  </si>
  <si>
    <t>Support for EccR1 signature Suite(ecdsa-rdfc-2019/ecdsa-jcs-2019)</t>
  </si>
  <si>
    <t>1. Properties has to be enabled for data integrity
 2. Authenticate with esignet endpoints
 3. Issue VC with EccR1 signature configured from certify endpoints</t>
  </si>
  <si>
    <t>proof' contains 'proofValue' generated using EccR1.(ecdsa-rdfc-2019/ecdsa-jcs-2019)</t>
  </si>
  <si>
    <t>Check support for RSA</t>
  </si>
  <si>
    <t>1. Properties has to be enabled for data integrity
 2. Authenticate with esignet endpoints
 3. Issue VC with RSA signature configured from certify endpoints</t>
  </si>
  <si>
    <t>Support for RSA sugnature is not present, VC fetch will fail as crypto suite is not available for RSA signature as per Danubtech libarary</t>
  </si>
  <si>
    <t>Configure signature differently for each credential type</t>
  </si>
  <si>
    <t>1. Properties has to be enabled for data integrity
 2. Authenticate with esignet endpoints
 3. Issue VC with signature configured differently for each credential type from certify endpoints</t>
  </si>
  <si>
    <t>Vc fetch should be successful with proofvalue as per signatures configured for each credential type</t>
  </si>
  <si>
    <t>verify VC fetched when data proof integrity is enabled</t>
  </si>
  <si>
    <t>Vc fetch should be successful and same VC should be verified succesflly
 Note- only 1.1 VCs can be verfied</t>
  </si>
  <si>
    <t>Configure invalid signature in siganture algo and cryprosuite and fetch VC</t>
  </si>
  <si>
    <t>VC fetch should get failed with appropriate error message</t>
  </si>
  <si>
    <t>Fetch 1.1 VC</t>
  </si>
  <si>
    <t>VC fetch should be Successful</t>
  </si>
  <si>
    <t>Check for backward compatibilty</t>
  </si>
  <si>
    <t>Fetch vd11 VC</t>
  </si>
  <si>
    <t>Fetch Vd12 VC</t>
  </si>
  <si>
    <t>Fetch MosipID VC</t>
  </si>
  <si>
    <t>VC fetch would fail as Mosipid supports only RSA siganture</t>
  </si>
  <si>
    <t>Fetch Sunbird VC</t>
  </si>
  <si>
    <t>VC fetch should get success</t>
  </si>
  <si>
    <t>Fetch VC with VC type doesnt have Data integrity prrof</t>
  </si>
  <si>
    <t>1. Disable property or give empty value
 2. Authenticate with esignet endpoints
 3. Issue VC from certify endpoint</t>
  </si>
  <si>
    <t>Vc fteched should not have data integrity proof</t>
  </si>
  <si>
    <t>Config different signature at crypro suite and issuer sign and fetch VC</t>
  </si>
  <si>
    <t>1. Config properties for signature differntly at cryptosuie and issuer sign
 2. Authenticate using esignet endpoints
 3. Issue VC from certify endpoint</t>
  </si>
  <si>
    <t>Configure one sign but request VC with other sign</t>
  </si>
  <si>
    <t>1. Authenticate using esignet endpoints
 2. Issue VC from certify endpoint using differnt signature apart from signature given in configurations</t>
  </si>
  <si>
    <t>VC fetch should get fail with appropriate error message</t>
  </si>
  <si>
    <t>fetch VC with data integraity when contxt url is given for ed25519</t>
  </si>
  <si>
    <t>1. Add credentail config with Vctemplate containing context for ed25519
 2. Authenticate using esignet endpoints
 3. Fetch vc from certify endpoint</t>
  </si>
  <si>
    <t>VC fetch will be success but verification would fail</t>
  </si>
  <si>
    <t>INJICERT-1116</t>
  </si>
  <si>
    <t>&lt;Feature&gt; Search for Verifiable Credential (VC) to be Revoked</t>
  </si>
  <si>
    <t>ledger-search API</t>
  </si>
  <si>
    <t>Execute API without credentialId value</t>
  </si>
  <si>
    <t>1. Execute API without credentialId value</t>
  </si>
  <si>
    <t>Response should have 204 error as other mandatory fields is not given in request body</t>
  </si>
  <si>
    <t>Execute API without credentialtype value</t>
  </si>
  <si>
    <t>1. Execute API without CredentialType value</t>
  </si>
  <si>
    <t>Response shoud have proper error messaeg[
  {
  "errorCode": "credentialType is mandatory",
  "errorMessage": "credentialType: credentialType is mandatory"
  }
  ]</t>
  </si>
  <si>
    <t>Execute API without issuerId value</t>
  </si>
  <si>
    <t>1. Execute API without Issuerid value</t>
  </si>
  <si>
    <t>Response shoud have proper error messaeg [
  {
  "errorCode": "issuerId is mandatory",
  "errorMessage": "issuerId: issuerId is mandatory"
  }
  ]</t>
  </si>
  <si>
    <t>Execute API with all valid details</t>
  </si>
  <si>
    <t>1. Execute API with all valid details</t>
  </si>
  <si>
    <t>Response should have credential status list record with combination of given entries</t>
  </si>
  <si>
    <t>Execute API without mandatory fields</t>
  </si>
  <si>
    <t>1. Execute API without mandatory fields</t>
  </si>
  <si>
    <t>Response should have proepr error message thrown</t>
  </si>
  <si>
    <t>Execute API with invalid details</t>
  </si>
  <si>
    <t>1. Execute API with invalid details</t>
  </si>
  <si>
    <t>Execute API without credentailId attribute in request body</t>
  </si>
  <si>
    <t>1. Execute API without credentialId attribute</t>
  </si>
  <si>
    <t>Exceute API without Authentication</t>
  </si>
  <si>
    <t>1. Exceute API without Authentication</t>
  </si>
  <si>
    <t>Reposne shoud have error</t>
  </si>
  <si>
    <t>Execute API without Indexed attribute value</t>
  </si>
  <si>
    <t>1. Execute API without indexed attribute value</t>
  </si>
  <si>
    <t>Response shoud have proper error messaeg [
  {
  "errorCode": "INVALID_SEARCH_CRITERIA",
  "errorMessage": "INVALID_SEARCH_CRITERIA"
  }
  ]</t>
  </si>
  <si>
    <t>INJICERT-792</t>
  </si>
  <si>
    <t>Implementation of a Revocation Feature in Inji Certify for Verifiable Credentials</t>
  </si>
  <si>
    <t>Issue credential with credentialStatus</t>
  </si>
  <si>
    <t>Check VC with credentialStatus entry</t>
  </si>
  <si>
    <t>1. VC type should have enabled revocation
 2. Issue credential</t>
  </si>
  <si>
    <t>VC issued shoud have credentail statuslist details</t>
  </si>
  <si>
    <t>Issue VC with credential status list for 1.1 model</t>
  </si>
  <si>
    <t>VC issued should not have credential status list details, as revocation supports for 2.0 model only</t>
  </si>
  <si>
    <t>Issue VC with credential status list for data integrity proof</t>
  </si>
  <si>
    <t>VC issued shoud have credentail status list details</t>
  </si>
  <si>
    <t>Credential status update API</t>
  </si>
  <si>
    <t>update credential status for given credential</t>
  </si>
  <si>
    <t>1. Excecute issuance/credential/status API
 2. enter all valid details and execute</t>
  </si>
  <si>
    <t>Status for given given credentail id should get updated succesfully</t>
  </si>
  <si>
    <t>update credential status for invalid credentialId</t>
  </si>
  <si>
    <t>1. Excecute issuance/credential/status API
 2. enter invalid crdentialid details and execute</t>
  </si>
  <si>
    <t>Status update shoud get fail with appropriate error mesasge
 404</t>
  </si>
  <si>
    <t>without credentialid</t>
  </si>
  <si>
    <t>1. Exceute API without credentialid</t>
  </si>
  <si>
    <t>with v1 endpoint error should be thrown and with v2 endpoint success response too come</t>
  </si>
  <si>
    <t>Update credentail status with status purpose given invalid value</t>
  </si>
  <si>
    <t>Status update shoud get fail with appropriate error mesasge</t>
  </si>
  <si>
    <t>without status in request body</t>
  </si>
  <si>
    <t>[
 {
 "errorCode": "must not be null",
 "errorMessage": "status: must not be null"
 }
 ]</t>
  </si>
  <si>
    <t>https://mosip.atlassian.net/browse/INJICERT-1260</t>
  </si>
  <si>
    <t>Update credentail status with status value given as false</t>
  </si>
  <si>
    <t>1. Excecute issuance/credential/status API
 2. enter valid details and status value given as falase and execute</t>
  </si>
  <si>
    <t>Status details for credentials to get updated</t>
  </si>
  <si>
    <t>Update credential status for already revoked VC</t>
  </si>
  <si>
    <t>1. Enter all required details and execute
 2. Use the same details and eecute again</t>
  </si>
  <si>
    <t>Shoud throw and error</t>
  </si>
  <si>
    <t>https://mosip.atlassian.net/browse/INJICERT-1265</t>
  </si>
  <si>
    <t>Update credential status with invalid statuspurpose</t>
  </si>
  <si>
    <t>1. Enter all valid details except statuspurpose value</t>
  </si>
  <si>
    <t>response should have proper error</t>
  </si>
  <si>
    <t>Credential status list API</t>
  </si>
  <si>
    <t>Fetch status list with valid statusListId</t>
  </si>
  <si>
    <t>1. Enter valid statusListId and exceute</t>
  </si>
  <si>
    <t>Response should have Status List VC JSON document, including encodedList and proof</t>
  </si>
  <si>
    <t>Fetch status list with invalid statusListId</t>
  </si>
  <si>
    <t>1. Enter invalid statusListId and exceute</t>
  </si>
  <si>
    <t>Response should have appropriate error [
 {
 "errorCode": "error_parsing_status_list_credential_document",
 "errorMessage": "error_parsing_status_list_credential_document"
 }
 ]</t>
  </si>
  <si>
    <t>Fetch status list without statuslist id</t>
  </si>
  <si>
    <t>1. Enter without statusListId and exceute</t>
  </si>
  <si>
    <t>Response shoud have error indication for mandatory field</t>
  </si>
  <si>
    <t>Execute API without authentication</t>
  </si>
  <si>
    <t>1. Enter all required details and execute</t>
  </si>
  <si>
    <t>Status list details to be fetch for given id</t>
  </si>
  <si>
    <t>Response shoud have proper error messaeg[
 {
 "errorCode": "credentialType is mandatory",
 "errorMessage": "credentialType: credentialType is mandatory"
 }
 ]</t>
  </si>
  <si>
    <t>Response shoud have proper error messaeg [
 {
 "errorCode": "issuerId is mandatory",
 "errorMessage": "issuerId: issuerId is mandatory"
 }
 ]</t>
  </si>
  <si>
    <t>Response shoud have proper error messaeg [
 {
 "errorCode": "INVALID_SEARCH_CRITERIA",
 "errorMessage": "INVALID_SEARCH_CRITERIA"
 }
 ]</t>
  </si>
  <si>
    <t>Enable Data integirty property and revocation property for Vc fetch</t>
  </si>
  <si>
    <t>Fetch VC from certify</t>
  </si>
  <si>
    <t>1. Enable proeprties and fetch VC</t>
  </si>
  <si>
    <t>VC fetch should be succesful with data integirty proof</t>
  </si>
  <si>
    <t>INJICERT-1192</t>
  </si>
  <si>
    <t>Enhancement - Redefine credentialId value</t>
  </si>
  <si>
    <t>CredentialId Value in ledger table</t>
  </si>
  <si>
    <t>Verify credentialId value from Ledger table when Vc doesnt have VC id</t>
  </si>
  <si>
    <t>1. Fetch VC for Credential where revocation is enabled
 2. Check credentialid Value from ledger table</t>
  </si>
  <si>
    <t>Credentialid value from Ledger table shoud be NULL</t>
  </si>
  <si>
    <t>Verify credentialId value from Ledger table when VC have VC id</t>
  </si>
  <si>
    <t>Credentialid value from Ledger table shoud be same as VC id</t>
  </si>
  <si>
    <t>Verify response from ledger API when VC doesnt have VC id</t>
  </si>
  <si>
    <t>1. Exceute Ledger serach API without credentailId value(Null)</t>
  </si>
  <si>
    <t>API response shouldnot have credentailID for the given combination search</t>
  </si>
  <si>
    <t>Fetch ledegr details without credentialId attribute/field</t>
  </si>
  <si>
    <t>1. Excuet ledger search API without credentialId value</t>
  </si>
  <si>
    <t>Response should have list of details with other combination of details</t>
  </si>
  <si>
    <t>Check backward compatibility when credentialid is auto genertaed</t>
  </si>
  <si>
    <t>1. Execute ledger API with all details given</t>
  </si>
  <si>
    <t>resposne should have details for the given combination</t>
  </si>
  <si>
    <t>1. exceute API by passing credentialID value as NULL</t>
  </si>
  <si>
    <t>Resposne should have details for the given combination</t>
  </si>
  <si>
    <t>Execute API with credentialId value as empty string</t>
  </si>
  <si>
    <t>1. execute API by passing credentialid value as empty string</t>
  </si>
  <si>
    <t>Resposne should have details for the given combination considering empty string as null value</t>
  </si>
  <si>
    <t>when VC have VC id, but not passed the same in API input</t>
  </si>
  <si>
    <t>1. Fetch Vc an take credentialid
 2. In ledger API donot provide credentailid and execute</t>
  </si>
  <si>
    <t>Response should have credentialid value</t>
  </si>
  <si>
    <t>INJICERT-1172</t>
  </si>
  <si>
    <t>Refactor KeyChooser Usage and Replace with Config-Driven Key Resolution</t>
  </si>
  <si>
    <t>Keyapp and ref id mapping for algorithm</t>
  </si>
  <si>
    <t>verify keymanger mapping is choosen from property mosip.certify.signature-cryptosuite.key-alias-mapper</t>
  </si>
  <si>
    <t>1. Go to injicertify-default-properties and check for property is enabled</t>
  </si>
  <si>
    <t>Default preopties hsould have property enabled with lag and required key ref and app id</t>
  </si>
  <si>
    <t>Config dependency</t>
  </si>
  <si>
    <t>Add credential type using credential config API with invalid key app and ref id</t>
  </si>
  <si>
    <t>1. Add new VC type with invalid key app and ref id for given siganture alg
 based on values specified in confg=ig</t>
  </si>
  <si>
    <t>VC type addition shoudl get fail with error "No matching appId and refId found in the key chooser list".</t>
  </si>
  <si>
    <t>Duplicate entry for siganture algo</t>
  </si>
  <si>
    <t>1. Update property with new app and ref id for signature algo, restrat services
 2. add new VC type using same app and ref id</t>
  </si>
  <si>
    <t>Vc type addition should be success finiding if first entry is valid from config</t>
  </si>
  <si>
    <t>Remove signature from config and try to add same from config API for normal proof</t>
  </si>
  <si>
    <t>1. Remove any signature in certify-default-properties mosip.certify.signature-cryptosuite.key-alias-mapper
 2. restart required services
 3. Add/update VC type using credential config API</t>
  </si>
  <si>
    <t>VC type addition should get fail with error
 No matching appId and refId found in the key chooser list.</t>
  </si>
  <si>
    <t>Remove signature from config and try to add same from config API for Data integrity proof</t>
  </si>
  <si>
    <t>1. Remove any signature in certify-default-properties mosip.certify.signature-cryptosuite.key-alias-mapper
 2. restart required services
 3. Add/update VC type for data integrity prrof using credential config API</t>
  </si>
  <si>
    <t>mismatch app and ref id while adding details in config API</t>
  </si>
  <si>
    <t>1. Mismatch app and refid from while add/update of credential config</t>
  </si>
  <si>
    <t>https://mosip.atlassian.net/browse/INJICERT-1254</t>
  </si>
  <si>
    <t>INJICERT-1237</t>
  </si>
  <si>
    <t>Allow issuer to generate CSR for appid and refid to enable external CA signing and certificate upload into Certify.</t>
  </si>
  <si>
    <t>Generate CSR for app and refid</t>
  </si>
  <si>
    <t>Verify API endpoint to generate CSR for appid and refid.</t>
  </si>
  <si>
    <t>1. Enter all valid details and execute
 /v1/certify/system-info/generate-csr</t>
  </si>
  <si>
    <t>CSR is generated successfully; response includes PEM-formatted CSR.</t>
  </si>
  <si>
    <t>Certify forwards CSR generation request to Key Manager without refid</t>
  </si>
  <si>
    <t>1. Enter all valid details without refid and generate-csr</t>
  </si>
  <si>
    <t>Certify’s CSR API triggers Key Manager’s generateCSR correctly with proper parameters</t>
  </si>
  <si>
    <t>Verify CSR generation fails for invalid appid.</t>
  </si>
  <si>
    <t>1. Enter invalid details(appid) and execute
 /v1/certify/system-info/generate-csr</t>
  </si>
  <si>
    <t>Certify should validate input and rejects before contacting Key Manager and generating csr and give appropriate error message "KER-KMS-002 --&gt; ApplicationId not found in Key Policy. Key/CSR generation not allowed."</t>
  </si>
  <si>
    <t>Verify CSR generation without appid</t>
  </si>
  <si>
    <t>1. Donot give appid and execute
 /v1/certify/system-info/generate-csr</t>
  </si>
  <si>
    <t>Response should have appropriate error message [
 {
 "errorCode": "should not be null or empty",
 "errorMessage": "request.applicationId: should not be null or empty"
 }
 ]</t>
  </si>
  <si>
    <t>Generate csr with only app id</t>
  </si>
  <si>
    <t>1. Enter only appid details and execute
 /v1/certify/system-info/generate-csr</t>
  </si>
  <si>
    <t>Response shoud have cerificate generated as only appid is mandatory</t>
  </si>
  <si>
    <t>Certificate Upload API</t>
  </si>
  <si>
    <t>Verify uploading valid signed certificate</t>
  </si>
  <si>
    <t>1. CSR has been generated
 2. Sign certifcate
 3. Upload certificate in PEM format using API /v1/certify/system-info/uploadCertificate</t>
  </si>
  <si>
    <t>API returns 200 OK; certificate to stored securely</t>
  </si>
  <si>
    <t>Validate certificate format.</t>
  </si>
  <si>
    <t>1. CSR has been generated
 2. Sign certifcate
 3. Upload certificate in invalid format using API /v1/certify/system-info/uploadCertificate</t>
  </si>
  <si>
    <t>Response should have appropriate error message</t>
  </si>
  <si>
    <t>Upload certifiacte with invalid appid</t>
  </si>
  <si>
    <t>1. CSR has been generated
 2. Sign certifcate
 3. Upload certificate in invalid appid using API /v1/certify/system-info/uploadCertificate</t>
  </si>
  <si>
    <t>Response should have appropriate error message [
 {
 "errorCode": "unknown_error",
 "errorMessage": "KER-KMS-002 --&gt; ApplicationId not found in Key Policy. Key/CSR generation not allowed."
 }
 ]</t>
  </si>
  <si>
    <t>upload certificate without appid value</t>
  </si>
  <si>
    <t>1. CSR has been generated
 2. Sign certifcate
 3. Upload certificate without appid using API /v1/certify/system-info/uploadCertificate</t>
  </si>
  <si>
    <t>upload certifcate with invalid certificate/tampered data for given appid</t>
  </si>
  <si>
    <t>1. CSR has been generated
 2. Sign certifcate
 3. Upload certificate with invalid certificate data fro given appid using API /v1/certify/system-info/uploadCertificate</t>
  </si>
  <si>
    <t>Response should have appropriate error message [
 {
 "errorCode": "unknown_error",
 "errorMessage": "KER-KMS-003 --&gt; No unique alias is found"
 }
 ]</t>
  </si>
  <si>
    <t>upload certificate without certificate data</t>
  </si>
  <si>
    <t>1. CSR has been generated
 2. Sign certifcate
 3. Upload certificate without certificate data using API /v1/certify/system-info/uploadCertificate</t>
  </si>
  <si>
    <t>Response should have appropriate error message [
 {
 "errorCode": "should not be null or empty",
 "errorMessage": "request.certificateData: should not be null or empty"
 }
 ]</t>
  </si>
  <si>
    <t>upload certificate without signing</t>
  </si>
  <si>
    <t>1. CSR has been generated
 2. Upload certificate without certificate data using API /v1/certify/system-info/uploadCertificate</t>
  </si>
  <si>
    <t>Verify full workflow from CSR generation to VC signing.</t>
  </si>
  <si>
    <t>1. Generate CSR
 2. Sign certificate
 3. Upload certificate
 4. Issue VC</t>
  </si>
  <si>
    <t>VC fetch to be successfull and Vc verification has to be success</t>
  </si>
  <si>
    <t>Fetch VC when certificate is expired</t>
  </si>
  <si>
    <t>1. Fetch VC when CSR certficate is expired</t>
  </si>
  <si>
    <t>VC fetch will not fail as keymanger will generate set of certificates</t>
  </si>
  <si>
    <t>reupload same certificate</t>
  </si>
  <si>
    <t>1. Execute upload certificate API multiple times</t>
  </si>
  <si>
    <t>we should be able to reupload</t>
  </si>
  <si>
    <t>Upload certificate with invalid refid</t>
  </si>
  <si>
    <t>1. CSR has been generated
 2. Sign certifcate
 3. Upload certificate with invalid refid for given appid using API /v1/certify/system-info/uploadCertificate</t>
  </si>
  <si>
    <t>[
 {
 "errorCode": "unknown_error",
 "errorMessage": "KER-KMS-003 --&gt; No unique alias is found"
 }
 ]</t>
  </si>
  <si>
    <t>without refid value for upload certificate</t>
  </si>
  <si>
    <t>[
 {
 "errorCode": "unknown_error",
 "errorMessage": "KER-KMS-014 --&gt; Certificate Key Not Matching with stored Key."
 }
 ]</t>
  </si>
  <si>
    <t>without refid attribute</t>
  </si>
  <si>
    <t>1. CSR has been generated
 2. Sign certifcate
 3. Upload certificate with without refid for given appid using API /v1/certify/system-info/uploadCertificate</t>
  </si>
  <si>
    <t>[
 {
 "errorCode": "unknown_error",
 "errorMessage": "Cannot invoke \"String.isEmpty()\" because \"referenceId\" is null"
 }
 ]</t>
  </si>
  <si>
    <t>invalid refid appid</t>
  </si>
  <si>
    <t>INJICERT-1207</t>
  </si>
  <si>
    <t>Update VC status search logic in Update Status List API</t>
  </si>
  <si>
    <t>Update status list API v2 endpoint</t>
  </si>
  <si>
    <t>Update status to revoked (true)</t>
  </si>
  <si>
    <t>1. VC should have credentailstatuslist
 2. Enter all valid deatils like id, statusListIndex,statusPurpose,statusListCredential and status as true and execute</t>
  </si>
  <si>
    <t>VC revocation status is updated to true</t>
  </si>
  <si>
    <t>Update status to revoked (false)</t>
  </si>
  <si>
    <t>1. VC should have credentailstatuslist
 2. Enter all valid deatils like id, statusListIndex,statusPurpose,statusListCredential and status as false and execute</t>
  </si>
  <si>
    <t>Revocation status changes back to false</t>
  </si>
  <si>
    <t>Ensure lookup ignores credentialId</t>
  </si>
  <si>
    <t>1. VC should have credentailstatuslist
 2. Enter all valid deatils like id, statusListIndex,statusPurpose,statusListCredential and input credentailid value as null/unique value</t>
  </si>
  <si>
    <t>Response should have appropriate error for extra attribute- credentailid</t>
  </si>
  <si>
    <t>Execute API with invalid id</t>
  </si>
  <si>
    <t>1. VC should have credentailstatuslist
 2. Enter all valid deatils like statusListIndex,statusPurpose,statusListCredential and status as true and invalid id and execute</t>
  </si>
  <si>
    <t>Response should have no match found error with appropriate message</t>
  </si>
  <si>
    <t>Exceute API without statuspurpose</t>
  </si>
  <si>
    <t>1. VC should have credentailstatuslist
 2. Enter all valid deatils and without statuspurpose and execute</t>
  </si>
  <si>
    <t>Response should have appropriate error</t>
  </si>
  <si>
    <t>Exceute API without indexlist</t>
  </si>
  <si>
    <t>1. VC should have credentailstatuslist
 2. Enter all valid deatils and without indexlist and execute</t>
  </si>
  <si>
    <t>[
 {
 "errorCode": "must not be null",
 "errorMessage": "credentialStatus.statusListIndex: must not be null"
 }
 ]</t>
  </si>
  <si>
    <t>Exceute API without credentialstatuslist</t>
  </si>
  <si>
    <t>1. VC should have credentailstatuslist
 2. Enter all valid deatils and without credentialstatus and execute</t>
  </si>
  <si>
    <t>[
 {
 "errorCode": "must not be null",
 "errorMessage": "credentialStatus.statusListCredential: must not be null"
 }
 ]</t>
  </si>
  <si>
    <t>https://mosip.atlassian.net/browse/Injicert-1265</t>
  </si>
  <si>
    <t>Execute API with invalid statuspurpose</t>
  </si>
  <si>
    <t>1. VC should have credentailstatuslist
 2. Enter all valid deatils and invalid statuspurpose and execute</t>
  </si>
  <si>
    <t>[
 {
 "errorCode": "Invalid credential status purpose. Allowed values are: [revocation]",
 "errorMessage": "Invalid credential status purpose. Allowed values are: [revocation]"
 }
 ]</t>
  </si>
  <si>
    <t>Execute API with invalid indexlist</t>
  </si>
  <si>
    <t>1. VC should have credentailstatuslist
 2. Enter all valid deatils and invalid indexlist and execute</t>
  </si>
  <si>
    <t>[
 {
 "errorCode": "unknown_error",
 "errorMessage": "JSON parse error: Cannot deserialize value of type `java.lang.Long` from String \"abcd\": not a valid Long value"
 }
 ]</t>
  </si>
  <si>
    <t>Execute API with invalid credentialstatuslist</t>
  </si>
  <si>
    <t>1. VC should have credentailstatuslist
 2. Enter all valid deatils and invalid credentialstatuslist and execute</t>
  </si>
  <si>
    <t>Response shoudl have 404 error</t>
  </si>
  <si>
    <t>Invalid status value</t>
  </si>
  <si>
    <t>1. VC should have credentailstatuslist
 2. Enter all valid deatils like id, statusListIndex,statusPurpose,statusListCredential and status as invalid value and execute</t>
  </si>
  <si>
    <t>API shoud return 400 Bad Request with validation error</t>
  </si>
  <si>
    <t>Execute API without authorization</t>
  </si>
  <si>
    <t>1. VC should have credentailstatuslist
 2. Enter all valid deatils like id, statusListIndex,statusPurpose,statusListCredential and status as true and execute api without auth</t>
  </si>
  <si>
    <t>API shoud be able to excute and update status for given id</t>
  </si>
  <si>
    <t>Injicert-1259</t>
  </si>
  <si>
    <t>Expose Upload CA Certificate API in Inji Certify</t>
  </si>
  <si>
    <t>Upload Ca certificate</t>
  </si>
  <si>
    <t>Upload valid CA certificate for ed25519</t>
  </si>
  <si>
    <t>1. Upload Ca certificate for given ed25519 sign algo</t>
  </si>
  <si>
    <t>Upload ca certificate should be succesful</t>
  </si>
  <si>
    <t>Upload valid CA certificate for Eccr1</t>
  </si>
  <si>
    <t>1. Upload Ca certificate for given Eccr1 sign algo</t>
  </si>
  <si>
    <t>Upload valid CA certificate for Ecck1</t>
  </si>
  <si>
    <t>1. Upload Ca certificate for given Ecck1 sign algo</t>
  </si>
  <si>
    <t>Upload valid CA certificate for RSA</t>
  </si>
  <si>
    <t>1. Upload Ca certificate for given RSA sign algo</t>
  </si>
  <si>
    <t>Upload ca certificate without certificate data</t>
  </si>
  <si>
    <t>1. upload ca certificate without certificaet data</t>
  </si>
  <si>
    <t>Response should have proper error message</t>
  </si>
  <si>
    <t>Upload ca certificate without partner domain</t>
  </si>
  <si>
    <t>1. upload ca certificate without partner domain</t>
  </si>
  <si>
    <t>Upload ca certfiicate with invalid partner domain value</t>
  </si>
  <si>
    <t>1. upload ca certificate with invalid partner domain</t>
  </si>
  <si>
    <t>Upload ca certificate invalid certificate data</t>
  </si>
  <si>
    <t>1. upload ca certificate with invalid certificaet data</t>
  </si>
  <si>
    <t>INJICERT-1147</t>
  </si>
  <si>
    <t>&lt;Feature&gt; Pre Auth Code - User Story #1: Generate Pre-Authorized Code and Credential Offer</t>
  </si>
  <si>
    <t>Generate pre auth code and credential offer</t>
  </si>
  <si>
    <t>Generate pre-authorized code with valid inputs</t>
  </si>
  <si>
    <t>1. credential_configuration_id exists in /openid-credential-issuer metadata and all mandatory claims are provided
 2. Execute pre authrorized code API</t>
  </si>
  <si>
    <t>response should have openid-credential-offer - url encoded data</t>
  </si>
  <si>
    <t>Verify credential_offer_uri format</t>
  </si>
  <si>
    <t>Execute pre auth code API and check reponse</t>
  </si>
  <si>
    <t>1. Scheme is exactly: openid-credential-offer:// , should be Query param credential_offer_uri is present and The URI resolves to: /v1/certify/credential-offer-data/{offer_id}</t>
  </si>
  <si>
    <t>Default expiry applied when expires_in is missing</t>
  </si>
  <si>
    <t>Execute pre auth code API without exipry_in in request</t>
  </si>
  <si>
    <t>Certify should apply default expiry when not configured in API</t>
  </si>
  <si>
    <t>Check credential offer doesnt have expiry exposed</t>
  </si>
  <si>
    <t>Expiry should not be exposed in credential offer</t>
  </si>
  <si>
    <t>Execute API with invalid credential_configuration_id</t>
  </si>
  <si>
    <t>Execute pre auth code API with invalid credential configuration d</t>
  </si>
  <si>
    <t>Execute API with missing mandatory claims</t>
  </si>
  <si>
    <t>Execute pre auth code API without mandatory claims</t>
  </si>
  <si>
    <t>Cache entry to be cleared after single use</t>
  </si>
  <si>
    <t>Execute pre auth code API and check credential offer cache</t>
  </si>
  <si>
    <t>Credential offer expiry to be cleared after single use</t>
  </si>
  <si>
    <t>Execute Generate preauthcode API with below minimum expiry</t>
  </si>
  <si>
    <t>Execute Geerate preauthcode API with below minimum expiry</t>
  </si>
  <si>
    <t>Credential offer should not be genearted wth proper error message</t>
  </si>
  <si>
    <t>Execute API with invalid transcation code validations</t>
  </si>
  <si>
    <t>Execute API with without transcation code</t>
  </si>
  <si>
    <t>Credential offer should be generated as transcation code is optional fields</t>
  </si>
  <si>
    <t>INJICERT-1148</t>
  </si>
  <si>
    <t>&lt;Feature&gt; Pre Auth Code - User Story #2: Serve Credential Offer JSON Based on Parsed URI</t>
  </si>
  <si>
    <t>Retrieve Credential Offer with valid offer_id</t>
  </si>
  <si>
    <t>Preconditon
 A pre-authorized credential offer exists
 and offer_id is active and not expired
 1. Execute GET /v1/certify/credential-offer-data/{valid_offer_id}</t>
  </si>
  <si>
    <t>Response should contain credential issuer, credential_configuration_ids and grants.urn:ietf:params:oauth:grant-type:pre-authorized_code.pre-authorized_code</t>
  </si>
  <si>
    <t>Validate credential_issuer value</t>
  </si>
  <si>
    <t>Execute GET /v1/certify/credential-offer-data/{valid_offer_id}</t>
  </si>
  <si>
    <t>Response should have credential_issuer matches issuer base URL and Value is consistent with /openid-credential-issuer metadata</t>
  </si>
  <si>
    <t>Validate credential_configuration_ids</t>
  </si>
  <si>
    <t>Response should have Array is non-empty, Contains the configuration ID used during pre-authorized-data creation and Matches metadata credential_configurations_supported</t>
  </si>
  <si>
    <t>Validate pre-authorized_code presence</t>
  </si>
  <si>
    <t>Response should have pre-authorized_code exists, Code is non-null, non-empty string and Code format matches server policy (opaque token)</t>
  </si>
  <si>
    <t>Execute API multiple times with same offerid</t>
  </si>
  <si>
    <t>Use same offer id and check response</t>
  </si>
  <si>
    <t>Response payload should remain same everytime until offerid expries</t>
  </si>
  <si>
    <t>No Expiry Disclosure - check Expiry information must not be exposed</t>
  </si>
  <si>
    <t>Response doesnt include expires_in , exp,ttl
 and any timestamp related to expiratio</t>
  </si>
  <si>
    <t>Offer ID Validation</t>
  </si>
  <si>
    <t>Non-existent offer_id</t>
  </si>
  <si>
    <t>Execute GET /v1/certify/credential-offer-data/{invalid_offer_id}</t>
  </si>
  <si>
    <t>Invalid format offer_id</t>
  </si>
  <si>
    <t>Execute GET /v1/certify/credential-offer-data/{invalid format offer id}</t>
  </si>
  <si>
    <t>Without offer_id</t>
  </si>
  <si>
    <t>Execute GET /v1/certify/credential-offer-data without offer id</t>
  </si>
  <si>
    <t>Expired offer_id</t>
  </si>
  <si>
    <t>Execute GET /v1/certify/credential-offer-data/{expired offer id} with expired offer_id</t>
  </si>
  <si>
    <t>INJICERT-981</t>
  </si>
  <si>
    <t>Inji Certify - mDoc VC Format Support</t>
  </si>
  <si>
    <t>Validate MSO required field presence and correctness</t>
  </si>
  <si>
    <t>1. Issue an mDoc VC.
 2. Parse the MSO structure.</t>
  </si>
  <si>
    <t>VC too be generated i MSO structure correctly.</t>
  </si>
  <si>
    <t>Verify correct CBOR encoding of the final payload.</t>
  </si>
  <si>
    <t>1. Issue an mDoc VC.
 2. Take the issuerSigned data (before Base64url encoding).
 3. Use an external, compliant CBOR decoder.</t>
  </si>
  <si>
    <t>CBOR payloads are valid and parseable; Output confirms to ISO/IEC 18013-7</t>
  </si>
  <si>
    <t>Verify COSE signing using the KeyManager.</t>
  </si>
  <si>
    <t>1. Issue an mDoc VC.
 2. Extract the toBeSigned payload and the signature from the COSE structure (usually a COSE Sign1 object).
 3. Use the corresponding Issuer's public key (retrieved from the KeyManager) and an external COSE verifier.</t>
  </si>
  <si>
    <t>COSE signing is correctly performed with the keymanager library; Output conforms to ISO/IEC 18013-5 (COSE).</t>
  </si>
  <si>
    <t>Validate final VC payload compliance.</t>
  </si>
  <si>
    <t>1. Issue an mDoc VC.
 2. Verify the structure of the overall VC result.</t>
  </si>
  <si>
    <t>VC with mDoc format compliant payload, COSE signature, and CBOR encoding.</t>
  </si>
  <si>
    <t>Verify recognition and processing of mso_mdoc format request.</t>
  </si>
  <si>
    <t>1. Authenticate using esignet endpoints
 2. In the Credential Request, set the format to "mso_mdoc".</t>
  </si>
  <si>
    <t>Response should be with the mDoc VC (Base64url-encoded CBOR).</t>
  </si>
  <si>
    <t>Verify rejection of incorrect parameters for mso_mdoc format.</t>
  </si>
  <si>
    <t>1. Authenticate using esignet endpoints
 2. In the Credential Request, set the format to "ldp_vc".</t>
  </si>
  <si>
    <t>The system should return an appropriate error message</t>
  </si>
  <si>
    <t>Fetch mdoc Vc with invalid/random doctype</t>
  </si>
  <si>
    <t>1. Authenticate using esignet endpoints
 2. Request VC with invalid/random doctype</t>
  </si>
  <si>
    <t>VC fetch should fail with appropriate error message</t>
  </si>
  <si>
    <t>Fetch mdoc Vc without doctype</t>
  </si>
  <si>
    <t>1. Authenticate using esignet endpoints
 2. Request VC with iwithout doctype</t>
  </si>
  <si>
    <t>Injicert-990</t>
  </si>
  <si>
    <t>Presentation During Issuance for Inji Certify as an Issuer</t>
  </si>
  <si>
    <t>Wellknown endpoints</t>
  </si>
  <si>
    <t>Fetch well known endpoints issuer metadata and auth server</t>
  </si>
  <si>
    <t>1. Execute endpoints /.well-known/openid-credential-issuer and /.well-known/oauth-authorization-server</t>
  </si>
  <si>
    <t>Both endpoints should return valid JSON metadata, including supported scopes, formats, and authorization endpoints.</t>
  </si>
  <si>
    <t>Check reposne attributes in oauth server metedata</t>
  </si>
  <si>
    <t>Execute endpoint /.well-known/oauth-authorization-server</t>
  </si>
  <si>
    <t>Response should have issuer, token_endpoint,grant_types_supported,response_types_supported,code_challenge_methods_supported,interactive_authorization_endpoint and must parse as valid JSON</t>
  </si>
  <si>
    <t>Execute oauth server metadata endpoint with invalid path</t>
  </si>
  <si>
    <t>Execute endpoint /.well-known/oauth-authorization</t>
  </si>
  <si>
    <t>Resposne should have proper error message</t>
  </si>
  <si>
    <t>initial authorization requests
 1. IAR intitalRequest
 2. IAR with VP reponse</t>
  </si>
  <si>
    <t>Create a new Authorization Request (valid payload)</t>
  </si>
  <si>
    <t>Post requets with all valid fileds
 /oauth/iar</t>
  </si>
  <si>
    <t>Response should have type, status, auth session,presenation_definition, openid4vp_request</t>
  </si>
  <si>
    <t>Execute API without authorization_details in IAR intital request</t>
  </si>
  <si>
    <t>Post requets without authorization_details value in IAR intital request
 /oauth/iar
 input fileds will be only client_id, code_challenge,code_challenge_method,redireturi, interaction_types_supported,response_type</t>
  </si>
  <si>
    <t>Resposne shoudl have proper error message {
 "error": "invalid_request",
 "error_description": "unknown_error"
 }</t>
  </si>
  <si>
    <t>Execute API invalid code_challenge_method in IAR intital request</t>
  </si>
  <si>
    <t>Post requets invalid code_challenge_method value in IAR intital request
 /oauth/iar
 input fileds will be client_id, authorization_details,code_challenge,redireturi, interaction_types_supported,response_type and ,code_challenge_method with invalid value</t>
  </si>
  <si>
    <t>Resposne should have proper error message {
 "error": "invalid_request",
 "error_description": "invalid_request"
 }</t>
  </si>
  <si>
    <t>Execute API without code chanllenge method in IAR intital request</t>
  </si>
  <si>
    <t>Post requets without code_challenge_method value in IAR intital request
 /oauth/iar
 input fileds will be client_id, authorization_details,code_challenge,redireturi, interaction_types_supported,response_type</t>
  </si>
  <si>
    <t>Respons should have proper error message
 "error": "invalid_request"</t>
  </si>
  <si>
    <t>Execute API Without code challenge in IAR intital request</t>
  </si>
  <si>
    <t>Post requets without code_challenge value in IAR intital request
 /oauth/iar
 input fileds will be client_id, authorization_details,code_challenge,redireturi, interaction_types_supported,response_type</t>
  </si>
  <si>
    <t>Response should have proper error message
 "error": "invalid_request"</t>
  </si>
  <si>
    <t>Execute API Without type inside authorization_details in IAR intital request</t>
  </si>
  <si>
    <t>Post requets without type inside authorization_details value in IAR intital request
 /oauth/iar
 input fileds will be client_id, without type in authorization_details,code_challenge,redireturi, interaction_types_supported,response_type</t>
  </si>
  <si>
    <t>Should not be able to procced with proper error message</t>
  </si>
  <si>
    <t>Execute API invalid type value inside authorization_details in IAR intital request</t>
  </si>
  <si>
    <t>Post requets without type inside authorization_details value in IAR intital request
 /oauth/iar
 input fileds will be client_id, invalid type value in authorization_details,code_challenge,redireturi, interaction_types_supported,response_type</t>
  </si>
  <si>
    <t>Input invalid details for credential config id in authorization_details</t>
  </si>
  <si>
    <t>Post requets invalid credential config id inside authorization_details value in IAR intital request
 /oauth/iar
 input fileds will be client_id, credential config id in authorization_details,code_challenge,redireturi, interaction_types_supported,response_type</t>
  </si>
  <si>
    <t>Execuet API without clientid</t>
  </si>
  <si>
    <t>Post requets without clientid value in IAR intital request
 /oauth/iar
 input fileds will be authorization_details,code_challenge,redireturi, interaction_types_supported,response_type , code challenge_method</t>
  </si>
  <si>
    <t>Reponse should have proper auth details</t>
  </si>
  <si>
    <t>Execute request without openidvp response</t>
  </si>
  <si>
    <t>Post requets without openidvp reposne value in IAR with vp reposne
 /oauth/iar
 input fileds will be only auth_session</t>
  </si>
  <si>
    <t>Response should have proper error message
 "error": "invalid_request",</t>
  </si>
  <si>
    <t>Execute request without auth_session</t>
  </si>
  <si>
    <t>Post requets without auth_session value in IAR with vp reposne
 /oauth/iar
 input fileds will be only openidvp reposne</t>
  </si>
  <si>
    <t>oAuth token exchange Endpoint</t>
  </si>
  <si>
    <t>Execute endpoint with all valid inputs</t>
  </si>
  <si>
    <t>Execute Post /oauth/token with all required values and check reposne</t>
  </si>
  <si>
    <t>Response should have access token</t>
  </si>
  <si>
    <t>Execute endpoint without code</t>
  </si>
  <si>
    <t>Execute Post /oauth/token without code and check reposne</t>
  </si>
  <si>
    <t>Response should have proper error message {
 "error": "invalid_request",
 "error_description": "code is required for authorization_code grant"
 }</t>
  </si>
  <si>
    <t>https://mosip.atlassian.net/browse/INJICERT-1319</t>
  </si>
  <si>
    <t>Reuse same code multiple times</t>
  </si>
  <si>
    <t>Response Should have error {
 "error": "invalid_grant",
 "error_description": "Authorization code already used"
 }</t>
  </si>
  <si>
    <t>Execute endpoint without code verifier</t>
  </si>
  <si>
    <t>Execute endpoint without Code verifier value</t>
  </si>
  <si>
    <t>Response should have error {
 "error": "invalid_request",
 "error_description": "code_verifier is required for PKCE"
 }</t>
  </si>
  <si>
    <t>Execute endpoint with invalid granttype</t>
  </si>
  <si>
    <t>Execuet endpoint with invalid granttype</t>
  </si>
  <si>
    <t>Execute endpoint without granttype</t>
  </si>
  <si>
    <t>Get credential using the oauth token from above response</t>
  </si>
  <si>
    <t>Download VC using above authtoken</t>
  </si>
  <si>
    <t>Execuet endpoint with valid details /issuance/credential</t>
  </si>
  <si>
    <t>Response should have proper VC download for the given format or details</t>
  </si>
  <si>
    <t>INJICERT-1149</t>
  </si>
  <si>
    <t>&lt;Feature&gt; Pre Auth Code - User Story #3: Implement Token Endpoint for Pre-Authorized Code Exchange</t>
  </si>
  <si>
    <t>Token endpoint is exposed and reachable</t>
  </si>
  <si>
    <t>Execute API POST /v1/certify/token</t>
  </si>
  <si>
    <t>Endpoint should be reachable</t>
  </si>
  <si>
    <t>Validate access_token format</t>
  </si>
  <si>
    <t>Access token should be JWT token, header contains - alg,kid
 Payload contains -- iss, aud,exp,iat</t>
  </si>
  <si>
    <t>Validate token_type</t>
  </si>
  <si>
    <t>Token type should be "bearer"</t>
  </si>
  <si>
    <t>Validation of Pre-Authorized Code</t>
  </si>
  <si>
    <t>Execute API POST /v1/certify/token with Random or non-existent code</t>
  </si>
  <si>
    <t>Execute endpoint without txn code when passed the same in credential offer endpoint</t>
  </si>
  <si>
    <t>Execute API POST /v1/certify/token without txn code</t>
  </si>
  <si>
    <t>Execute API POST /v1/certify/token without grantType</t>
  </si>
  <si>
    <t>Execute endpoint with unsupported grantType</t>
  </si>
  <si>
    <t>Execute API POST /v1/certify/token with unsupported grantType</t>
  </si>
  <si>
    <t>Fetch VC with access token generated</t>
  </si>
  <si>
    <t>Fetch VC with Preauth token</t>
  </si>
  <si>
    <t>INJICERT-1295</t>
  </si>
  <si>
    <t>Enable certify to convert and issue MOSIP UIN as verifiable credentials</t>
  </si>
  <si>
    <t>certify to convert and issue MOSIP UIN as verifiable credentials</t>
  </si>
  <si>
    <t>Retrieve UIN Data Successfully</t>
  </si>
  <si>
    <t>1. Authenticate using esignet endpoints
 2. Fetch VC using certify VC issunace endpoint</t>
  </si>
  <si>
    <t>VC to get issued by certify succesfully</t>
  </si>
  <si>
    <t>Sign VC using RSA signature</t>
  </si>
  <si>
    <t>VC signed using RSA and verification of VC to be successful</t>
  </si>
  <si>
    <t>Sign VC using ECC signature</t>
  </si>
  <si>
    <t>VC signed using ECC and verification of VC to be successful</t>
  </si>
  <si>
    <t>Sign VC using Ed25519 signature</t>
  </si>
  <si>
    <t>VC signed using Ed25519 and verification of VC to be successful</t>
  </si>
  <si>
    <t>Issue VC is sd_jwt format</t>
  </si>
  <si>
    <t>1. Configure VCtype with sd_jwt format
 2. Authenticate using esignet endpoints
 3. fetch VC</t>
  </si>
  <si>
    <t>VC issued to be in sd_jwt format</t>
  </si>
  <si>
    <t>Generate claim 169 QR code</t>
  </si>
  <si>
    <t>1. Enable qr config in VC template and add qrsettings blocks for credential config
 2. Authenticate using esignet endpoints
 3. Fetch VC</t>
  </si>
  <si>
    <t>VC issued to have qrcode data</t>
  </si>
  <si>
    <t>Issue Vc is mdoc format</t>
  </si>
  <si>
    <t>1. Configure VCtype with mso_mdoc format
 2. Authenticate using esignet endpoints
 3. fetch VC</t>
  </si>
  <si>
    <t>VC issued to be in mdoc format</t>
  </si>
  <si>
    <t>Injicert-1224</t>
  </si>
  <si>
    <t>Configure QR Settings for each VC Type during VC Type Configuration</t>
  </si>
  <si>
    <t>Create vc config with single qr block</t>
  </si>
  <si>
    <t>1. Add qrsettings attributes in add credential config API and execute</t>
  </si>
  <si>
    <t>Vc type to get added with qrsettings attribute and single qrcode block to be present</t>
  </si>
  <si>
    <t>Create vc config with multiple qr block</t>
  </si>
  <si>
    <t>Vc type to get added with qrsettings attribute and multiple qrcode block to be present</t>
  </si>
  <si>
    <t>fetch well known after adding config with qrsettings</t>
  </si>
  <si>
    <t>1. Add credential config using API and fetch wellknown</t>
  </si>
  <si>
    <t>Wellknown reposne should have entries for QR blocks and in credential config table</t>
  </si>
  <si>
    <t>Update VC type with qrsetting attribute</t>
  </si>
  <si>
    <t>1. Update credential config usin PUT API with qrsettings</t>
  </si>
  <si>
    <t>VC type to get updated successfully with qrsettings attribute and well knownn endpoint to fetch same after update</t>
  </si>
  <si>
    <t>Create vc config without qrsettings attribute</t>
  </si>
  <si>
    <t>Add credential config using API without credentila config</t>
  </si>
  <si>
    <t>Should be able to add credential connfig as qrsetting attribute is optional</t>
  </si>
  <si>
    <t>Create VC type with duplicate labels</t>
  </si>
  <si>
    <t>Add vc type with qr blocks in qrsetting attribute with same labels(case-insensitive)
 ex- Full Name and full name</t>
  </si>
  <si>
    <t>System should not allow to create Vc type with duplicate fields in single block
 ex - [{"Email": "${email}", "email": "${email}"}]</t>
  </si>
  <si>
    <t>https://mosip.atlassian.net/browse/INJICERT-1325</t>
  </si>
  <si>
    <t>Create Vc type without label inn qrsettings attribite</t>
  </si>
  <si>
    <t>Add Vc type without labels, only value without mapping</t>
  </si>
  <si>
    <t>Should not be allowed to create Vc type with appropriate error message</t>
  </si>
  <si>
    <t>Create Vc type with value which is not present in credential schema</t>
  </si>
  <si>
    <t>Add vc type with value which is not present in schema using add credential config API
 ex- [{"Email": "${123}"}]</t>
  </si>
  <si>
    <t>Create VC type with qrsettings in json format</t>
  </si>
  <si>
    <t>Add Vc type with json format for qrsettings attribute using Add credential config API</t>
  </si>
  <si>
    <t>Should not be able to add new vc type as array</t>
  </si>
  <si>
    <t>same filed in different qrblock is allaowed</t>
  </si>
  <si>
    <t>Add Vc type with same value in different qrblocks</t>
  </si>
  <si>
    <t>Shoudl be able to add Vc type</t>
  </si>
  <si>
    <t>Injicert-1225</t>
  </si>
  <si>
    <t>Configure Separate Signing Algorithms for VC and QR CWTs</t>
  </si>
  <si>
    <t>Addition of seperate signining algorithm for VC and QR CWTs</t>
  </si>
  <si>
    <t>Add VC config with QRSignatureAlgo set to supported value when qrsettings provided</t>
  </si>
  <si>
    <t>1. Add credential config with QRsignaturealgo when qrsettings are provided</t>
  </si>
  <si>
    <t>Credential config to get added succesfully</t>
  </si>
  <si>
    <t>Add VC config with QRSignatureAlgo set to supported value when qrsettings not provided</t>
  </si>
  <si>
    <t>1. Add qrsettingsalgo value when qrsettings is passed empty/null</t>
  </si>
  <si>
    <t>Credential type addition is getting failed with approriate error {
 "errorCode": "qr_signature_algo_not_allowed",
 "errorMessage": "QR signature algorithm is not allowed when QR settings are not set."
 }</t>
  </si>
  <si>
    <t>Add VC config without QRSignatureAlgo set when qrsettings are provided</t>
  </si>
  <si>
    <t>1. Add credential config without QRsignaturealgo</t>
  </si>
  <si>
    <t>Credential config to get added succesfully and signatureAlgo value to get used for signing QR CWTs</t>
  </si>
  <si>
    <t>Add VC config with invalid/unsupported algo for QRSignatureAlgo set when qrsettings are provided</t>
  </si>
  <si>
    <t>1. Add credential config with unsupported value for QRSignatureAlgo</t>
  </si>
  <si>
    <t>Should VC type to get added and Vc fetch signing will be with signatureAlgo
 Note- SignatureAlgo value is given correct</t>
  </si>
  <si>
    <t>https://mosip.atlassian.net/browse/INJICERT-1326</t>
  </si>
  <si>
    <t>Add VC config with QRSignatureAlgo set to supported value when qrsettings provided- algo in case senisitive</t>
  </si>
  <si>
    <t>Add credential config with signaturealgo value in case sensitive</t>
  </si>
  <si>
    <t>Addition of VC type shoudl get fail with error {
 "errorCode": "invalid_qr_signing_algorithm",
 "errorMessage": "The algorithm eddsa is not supported for QR signing. The supported values are: [RS256, EdDSA, ES256K, ES256]"
 }</t>
  </si>
  <si>
    <t>Update existing credential config with QRSignaturealgo
 Note- if qrsettings is already added</t>
  </si>
  <si>
    <t>Update existing credental config with QRSignaturealgo</t>
  </si>
  <si>
    <t>Credential config to get updated successfully</t>
  </si>
  <si>
    <t>Add credential config with signaturealgo supported value but QRSignaturealgo value to unsupported</t>
  </si>
  <si>
    <t>Add credential config with Supported algo value for Signaturealgo but unsupported algo value for QRSganturealgo</t>
  </si>
  <si>
    <t>Credential config addtion should fail with error "Add vc type failing with error {
 ""errorCode"": ""invalid_qr_signing_algorithm"",
 ""errorMessage"": ""The algorithm eddsa is not supported for QR signing. The supported values are: [RS256, EdDSA, ES256K, ES256]""
 }"</t>
  </si>
  <si>
    <t>VC issuance with multiple QR blocks</t>
  </si>
  <si>
    <t>Add credentail config with multiple qrblocks</t>
  </si>
  <si>
    <t>All QR CWTs must use QRSignatureAlgo</t>
  </si>
  <si>
    <t>Fetch wellknown after adding credential config</t>
  </si>
  <si>
    <t>Well known metadata should give details of QRSignatureAlgo</t>
  </si>
  <si>
    <t>Well-known metadata includes: "qr_signing_alg": ""</t>
  </si>
  <si>
    <t>Add credential config with QRSignatureAlgo = empty string ""</t>
  </si>
  <si>
    <t>Add credential config with QRsignatureAlgo value as empty string</t>
  </si>
  <si>
    <t>Credentail config to get added with empty string to treat as missing → fallback</t>
  </si>
  <si>
    <t>Add credential cofig with only QRSignatureAlgo without Signature algo</t>
  </si>
  <si>
    <t>Add credential config with only QRsignatureAlgo without Signature</t>
  </si>
  <si>
    <t>Response should have approripate error message</t>
  </si>
  <si>
    <t>Add credential config with signaturealgo with one value and QRSigaturealgo with other value</t>
  </si>
  <si>
    <t>Add credentialconfig with different algo values for SignatureAlgo ad QRSignatureAlgo</t>
  </si>
  <si>
    <t>VC envelope signed using value given for SignatureAlgo, QR blocks with QRSignatureAlgo</t>
  </si>
  <si>
    <t>INJICERT-1227</t>
  </si>
  <si>
    <t>Certify → Pixel Pass Integration for CBOR Payloads</t>
  </si>
  <si>
    <t>Check pixel pass integration for CBOR payloads</t>
  </si>
  <si>
    <t>Successful input passing for single QR block</t>
  </si>
  <si>
    <t>1. VC template to be configured with single qrccode block
 2. HitIssue credential API
 3. pixel pass to give certify QR data in VC</t>
  </si>
  <si>
    <t>VC should contain single qrcode data</t>
  </si>
  <si>
    <t>Multi-QR block input with face image</t>
  </si>
  <si>
    <t>1. VC template to be configured with mulitple qrccode blocks
 2. Hit Issue credential API
 3. pixel pass to give certify QR data in VC</t>
  </si>
  <si>
    <t>VC should contain multiple qrcode data</t>
  </si>
  <si>
    <t>No QR config skips SDK call</t>
  </si>
  <si>
    <t>1. add Vc type without qr blocks
 2. Hit Issue credential API</t>
  </si>
  <si>
    <t>VC should not cotains any qrcode data</t>
  </si>
  <si>
    <t>Valid CBOR for single QR block (Claim 169 mapping)</t>
  </si>
  <si>
    <t>Fetch VC and validate CBOR data</t>
  </si>
  <si>
    <t>qrcode will be in encoded, decode CBOR and check the validateion based on calim169 spec</t>
  </si>
  <si>
    <t>Face image CBOR embedding</t>
  </si>
  <si>
    <t>Fetch VC and validate face CBOR embeded data</t>
  </si>
  <si>
    <t>Face data cliamed to claim 17</t>
  </si>
  <si>
    <t>Unknown field in mapping</t>
  </si>
  <si>
    <t>1. Add Vc template with invalid data mapping
 2. fetch VC</t>
  </si>
  <si>
    <t>Credential fetch should fail</t>
  </si>
  <si>
    <t>INJICERT-1197</t>
  </si>
  <si>
    <t xml:space="preserve"> Did document structure is invalid</t>
  </si>
  <si>
    <t>TC-01</t>
  </si>
  <si>
    <t>Execute v1/certify/.well-known/did.json endpoint and check for did structure</t>
  </si>
  <si>
    <r>
      <rPr>
        <rFont val="Calibri, sans-serif"/>
        <color rgb="FF000000"/>
        <sz val="11.0"/>
      </rPr>
      <t xml:space="preserve">Did docuemt structure to be valid as per </t>
    </r>
    <r>
      <rPr>
        <rFont val="Calibri, sans-serif"/>
        <color rgb="FF1155CC"/>
        <sz val="11.0"/>
        <u/>
      </rPr>
      <t>https://www.w3.org/TR/did-1.0/#verification-methods</t>
    </r>
  </si>
  <si>
    <t>https://mosip.atlassian.net/browse/INJICERT-1197</t>
  </si>
  <si>
    <t>IINJICERT-1327</t>
  </si>
  <si>
    <t>Few Error messages are in upper case</t>
  </si>
  <si>
    <t>Check error messages case</t>
  </si>
  <si>
    <t>Verify all error message to be in lower case</t>
  </si>
  <si>
    <t>Error message throughout certify to be in Lower case</t>
  </si>
  <si>
    <t>Issue key</t>
  </si>
  <si>
    <t>Summary</t>
  </si>
  <si>
    <t>Issue Type</t>
  </si>
  <si>
    <t>Status</t>
  </si>
  <si>
    <t>Severity</t>
  </si>
  <si>
    <t>Comments</t>
  </si>
  <si>
    <t>INJICERT-1327</t>
  </si>
  <si>
    <t>INJICERT- Few Error messages are in upper case</t>
  </si>
  <si>
    <t>Bug</t>
  </si>
  <si>
    <t>New</t>
  </si>
  <si>
    <t>Minor</t>
  </si>
  <si>
    <t>INJICERT-1326</t>
  </si>
  <si>
    <t>INJICERT- Validations to add "qrSignatureAlgo" in credential config API</t>
  </si>
  <si>
    <t>Major</t>
  </si>
  <si>
    <t>INJICERT-1325</t>
  </si>
  <si>
    <t>INJICERT - Validations issues for qrsettings block in Credential config API</t>
  </si>
  <si>
    <t>INJICERT-1324</t>
  </si>
  <si>
    <t>INJICERT- Generate token API is failing with unkown_error</t>
  </si>
  <si>
    <t>INJICERT-1321</t>
  </si>
  <si>
    <t>INJICERT- VC fetch for Landregistry usecase testacases are failing</t>
  </si>
  <si>
    <t>INJICERT-1320</t>
  </si>
  <si>
    <t>INJICERT- Error message mismatch in mock -mdl usecase</t>
  </si>
  <si>
    <t>INJICERT-1318</t>
  </si>
  <si>
    <t>INJICERT- Getting Canonicalization error when try to get VC intermittently</t>
  </si>
  <si>
    <t>INJICERT-1311</t>
  </si>
  <si>
    <t>INJICERT- VC fetch is failing from talao wallet</t>
  </si>
  <si>
    <t>Re-opened</t>
  </si>
  <si>
    <t>INJICERT-1270</t>
  </si>
  <si>
    <t>INJICERT- Getting Canonicalization error when try to get VC with Key in multi language</t>
  </si>
  <si>
    <t>INJICERT-1265</t>
  </si>
  <si>
    <t>INJICERT- upload ca cert for ecck1 signalgo is failing</t>
  </si>
  <si>
    <t>In Progress</t>
  </si>
  <si>
    <t>INJICERT-1255</t>
  </si>
  <si>
    <t>INJICERT- VC returns unresolved template variable for missing multi-lang data (${rural_property_name_fr}) rather than NULL</t>
  </si>
  <si>
    <t>INJICERT-1254</t>
  </si>
  <si>
    <t>Injicert- Update status V2 endpoint issues</t>
  </si>
  <si>
    <t>Fixed</t>
  </si>
  <si>
    <t>INJICERT-1250</t>
  </si>
  <si>
    <t>INJICERT- Issues in CSR certificate (generate, upload and fetch)</t>
  </si>
  <si>
    <t>INJICERT-1212</t>
  </si>
  <si>
    <t>INJICERT- ES256K signing algorithm should also be included by default whenever a new VC type is added</t>
  </si>
  <si>
    <t>INJICERT-1206</t>
  </si>
  <si>
    <t>INJICERT- Interoperability warns and failures for json_ld VC based on https://talao.co/ai/vc report</t>
  </si>
  <si>
    <t>INJICERT-1203</t>
  </si>
  <si>
    <t>INJICERT- Interoperability warns and failures for sd_jwt VC based on https://talao.co/ai/vc report</t>
  </si>
  <si>
    <t>INJICERT- Did document structure is invalid</t>
  </si>
  <si>
    <t>INJICERT-1185</t>
  </si>
  <si>
    <t>INJICERT- Config dependency for did url is still exists</t>
  </si>
  <si>
    <t>INJICERT-1167</t>
  </si>
  <si>
    <t>INJICERT- vcTemplate JSON parsing fails when template includes unresolved placeholders for object and string types</t>
  </si>
  <si>
    <t>INJICERT-1162</t>
  </si>
  <si>
    <t>INJICERT - When invalid sd_claims are provided, the issuer should throw an error and not fetch the Verifiable Credential (VC).</t>
  </si>
  <si>
    <t>INJICERT-1157</t>
  </si>
  <si>
    <t>INJICERT- Issues in sunbird usecase</t>
  </si>
  <si>
    <t>INJICERT-1100</t>
  </si>
  <si>
    <t>INJICERT- Generate token Endpoint from eSignet is failing with error "Initialization failed" (released env)</t>
  </si>
  <si>
    <t>Assigned</t>
  </si>
  <si>
    <t>INJICERT-1027</t>
  </si>
  <si>
    <t>INJICERT- Error and warnings suggested from AI agent for injicertify</t>
  </si>
  <si>
    <t>INJICERT-969</t>
  </si>
  <si>
    <t>INJICERT- certify-identifier url should change from localhost://8091 to localhost://8090</t>
  </si>
  <si>
    <t>INJICERT-819</t>
  </si>
  <si>
    <t>INJICERT- Error message is not proper for sunbird and Mosipid use case with 2.0 model context</t>
  </si>
  <si>
    <t>INJICERT-468</t>
  </si>
  <si>
    <t>INJICERT- Mosipid VC download from injiweb is missing few attributes, though VC json having the same</t>
  </si>
  <si>
    <t>Feature list</t>
  </si>
  <si>
    <t>Result</t>
  </si>
  <si>
    <t>Insurance Use case - INJICERT-41</t>
  </si>
  <si>
    <t>Mock ID use case - INJICERT-186</t>
  </si>
  <si>
    <t>MOSIP ID use case - INJICERT-189</t>
  </si>
  <si>
    <t>Docker compose testing (Insurance, Mock ID) - INJICERT-13</t>
  </si>
  <si>
    <t>Data provider- CSv plugin -INJICERT-587</t>
  </si>
  <si>
    <t>Data Provider - Postrgres (CAR theme)-INJICERT 621</t>
  </si>
  <si>
    <t>Data Provider - Postrgres (School Usecase) - INJICERT-499</t>
  </si>
  <si>
    <t>Data model 2.0- INJICERT-434</t>
  </si>
  <si>
    <t>mdoc Mdl, INJICERT-695</t>
  </si>
  <si>
    <t>Removal of artifactory dependency
INJICERT-661</t>
  </si>
  <si>
    <t>ECC k1 2019 signing and verification
INJICERT-555</t>
  </si>
  <si>
    <t>Ed25519 Vc Request signing - INJICERT-882</t>
  </si>
  <si>
    <t>keycloak integartion for Vc issuance INJICERT-871</t>
  </si>
  <si>
    <t>INJICERT-769 - Credential Config</t>
  </si>
  <si>
    <t>INJICERT-977 - EccR1 signing and verification</t>
  </si>
  <si>
    <t>INJICERT-522 - Did:key support</t>
  </si>
  <si>
    <t>INJICERT-61 - sd_jwt(draft)</t>
  </si>
  <si>
    <t>INJICERT-1033 - Data  intergirty</t>
  </si>
  <si>
    <t>INJICERT-1116 - Verifiable credentials search for revocation</t>
  </si>
  <si>
    <t>Injicert-792 - Revocation for verifiabel credentials</t>
  </si>
  <si>
    <t>Injicert-1192- Ledger table enhancement</t>
  </si>
  <si>
    <t>Injicert-1172 - Keychooserusage with config</t>
  </si>
  <si>
    <t>Injicert-1237 - Geneate CSR for app and refid</t>
  </si>
  <si>
    <t>injicert-1207- Update status V2 endpoint for revocation</t>
  </si>
  <si>
    <t>Injicert-1259 - Upload ca certifcate</t>
  </si>
  <si>
    <t>INJICERT-1147 - preauth code (generate Preauthorized code and credential offer)</t>
  </si>
  <si>
    <t>Injicert-1148 - preauth code( fetch credentail offer details using offer_id)</t>
  </si>
  <si>
    <t>Injicert-981 - mdoc mdl format</t>
  </si>
  <si>
    <t>injicert-990 - presentation during issuance</t>
  </si>
  <si>
    <t>Injicert- 1149 - preauth code(Oauth token using preauth code)</t>
  </si>
  <si>
    <t>injicert-1295 - Claim 169 (Fetch Mosip UIN Vc using data provider plugin)</t>
  </si>
  <si>
    <t>injicert-1224 -  configure qrsettings attribute in credential config API</t>
  </si>
  <si>
    <t>injicert-1225 - Comfigure qrSignaturealgo in credential config API</t>
  </si>
  <si>
    <t>injicert-1227 - Cliam 169 - pixel pass integration with CBOR payloads</t>
  </si>
</sst>
</file>

<file path=xl/styles.xml><?xml version="1.0" encoding="utf-8"?>
<styleSheet xmlns="http://schemas.openxmlformats.org/spreadsheetml/2006/main" xmlns:x14ac="http://schemas.microsoft.com/office/spreadsheetml/2009/9/ac" xmlns:mc="http://schemas.openxmlformats.org/markup-compatibility/2006">
  <fonts count="62">
    <font>
      <sz val="11.0"/>
      <color theme="1"/>
      <name val="Calibri"/>
      <scheme val="minor"/>
    </font>
    <font>
      <sz val="11.0"/>
      <color theme="1"/>
      <name val="Calibri"/>
    </font>
    <font>
      <b/>
      <sz val="8.0"/>
      <color theme="1"/>
      <name val="Verdana"/>
    </font>
    <font>
      <b/>
      <sz val="7.0"/>
      <color theme="1"/>
      <name val="Verdana"/>
    </font>
    <font>
      <b/>
      <sz val="7.0"/>
      <color rgb="FFFFFFFF"/>
      <name val="Verdana"/>
    </font>
    <font/>
    <font>
      <b/>
      <sz val="8.0"/>
      <color rgb="FFFFFFFF"/>
      <name val="Verdana"/>
    </font>
    <font>
      <b/>
      <sz val="11.0"/>
      <color rgb="FFFFFFFF"/>
      <name val="Calibri"/>
    </font>
    <font>
      <sz val="11.0"/>
      <color rgb="FF1D1C1D"/>
      <name val="Calibri"/>
    </font>
    <font>
      <sz val="12.0"/>
      <color rgb="FF1D1C1D"/>
      <name val="Calibri"/>
    </font>
    <font>
      <sz val="8.0"/>
      <color theme="1"/>
      <name val="Verdana"/>
    </font>
    <font>
      <b/>
      <sz val="8.0"/>
      <color rgb="FF57BB8A"/>
      <name val="Verdana"/>
    </font>
    <font>
      <b/>
      <sz val="8.0"/>
      <color rgb="FFFF0000"/>
      <name val="Verdana"/>
    </font>
    <font>
      <b/>
      <sz val="8.0"/>
      <color rgb="FFFF9900"/>
      <name val="Verdana"/>
    </font>
    <font>
      <i/>
      <sz val="11.0"/>
      <color theme="1"/>
      <name val="Calibri"/>
    </font>
    <font>
      <b/>
      <sz val="10.0"/>
      <color theme="1"/>
      <name val="Calibri"/>
    </font>
    <font>
      <b/>
      <sz val="9.0"/>
      <color rgb="FF57BB8A"/>
      <name val="Verdana"/>
    </font>
    <font>
      <b/>
      <sz val="9.0"/>
      <color rgb="FFFF0000"/>
      <name val="Verdana"/>
    </font>
    <font>
      <b/>
      <sz val="9.0"/>
      <color rgb="FFFF9900"/>
      <name val="Verdana"/>
    </font>
    <font>
      <sz val="12.0"/>
      <color rgb="FF141419"/>
      <name val="Calibri"/>
    </font>
    <font>
      <sz val="8.0"/>
      <color rgb="FF57BB8A"/>
      <name val="Verdana"/>
    </font>
    <font>
      <sz val="8.0"/>
      <color rgb="FFFF0000"/>
      <name val="Verdana"/>
    </font>
    <font>
      <b/>
      <sz val="8.0"/>
      <color rgb="FFF6B26B"/>
      <name val="Verdana"/>
    </font>
    <font>
      <b/>
      <sz val="11.0"/>
      <color theme="1"/>
      <name val="Calibri"/>
    </font>
    <font>
      <b/>
      <sz val="11.0"/>
      <color rgb="FF70AD47"/>
      <name val="Calibri"/>
    </font>
    <font>
      <b/>
      <sz val="11.0"/>
      <color rgb="FFFF0000"/>
      <name val="Calibri"/>
    </font>
    <font>
      <b/>
      <sz val="11.0"/>
      <color rgb="FFFF9900"/>
      <name val="Calibri"/>
    </font>
    <font>
      <sz val="12.0"/>
      <color theme="1"/>
      <name val="Calibri"/>
    </font>
    <font>
      <b/>
      <i/>
      <sz val="8.0"/>
      <color rgb="FF1C4587"/>
      <name val="Verdana"/>
    </font>
    <font>
      <sz val="12.0"/>
      <color rgb="FF292A2E"/>
      <name val="Calibri"/>
    </font>
    <font>
      <sz val="7.0"/>
      <color rgb="FF141419"/>
      <name val="Lato"/>
    </font>
    <font>
      <sz val="11.0"/>
      <color rgb="FFFFFFFF"/>
      <name val="Calibri"/>
    </font>
    <font>
      <b/>
      <i/>
      <sz val="8.0"/>
      <color rgb="FF1C4587"/>
      <name val="Trebuchet MS"/>
    </font>
    <font>
      <color theme="1"/>
      <name val="Calibri"/>
      <scheme val="minor"/>
    </font>
    <font>
      <sz val="11.0"/>
      <color rgb="FF000000"/>
      <name val="Calibri"/>
    </font>
    <font>
      <sz val="12.0"/>
      <color rgb="FF000000"/>
      <name val="Calibri"/>
    </font>
    <font>
      <u/>
      <sz val="11.0"/>
      <color rgb="FF0563C1"/>
      <name val="Calibri"/>
    </font>
    <font>
      <u/>
      <sz val="11.0"/>
      <color rgb="FF0563C1"/>
      <name val="Calibri"/>
    </font>
    <font>
      <b/>
      <sz val="12.0"/>
      <color rgb="FF000000"/>
      <name val="Calibri"/>
    </font>
    <font>
      <u/>
      <sz val="11.0"/>
      <color rgb="FF0000FF"/>
      <name val="Calibri"/>
    </font>
    <font>
      <u/>
      <sz val="11.0"/>
      <color rgb="FF0000FF"/>
      <name val="Calibri"/>
    </font>
    <font>
      <u/>
      <sz val="11.0"/>
      <color rgb="FF0000FF"/>
      <name val="Calibri"/>
    </font>
    <font>
      <u/>
      <sz val="12.0"/>
      <color rgb="FF0000FF"/>
      <name val="Calibri"/>
    </font>
    <font>
      <b/>
      <sz val="12.0"/>
      <color rgb="FFFFFFFF"/>
      <name val="Calibri"/>
    </font>
    <font>
      <sz val="11.0"/>
      <color rgb="FF000000"/>
      <name val="Consolas"/>
    </font>
    <font>
      <u/>
      <sz val="11.0"/>
      <color rgb="FF000000"/>
      <name val="Calibri"/>
    </font>
    <font>
      <u/>
      <color rgb="FF0000FF"/>
    </font>
    <font>
      <sz val="11.0"/>
      <color rgb="FF1B1C1D"/>
      <name val="Calibri"/>
    </font>
    <font>
      <u/>
      <color rgb="FF0000FF"/>
    </font>
    <font>
      <u/>
      <sz val="11.0"/>
      <color rgb="FF000000"/>
      <name val="Calibri"/>
    </font>
    <font>
      <u/>
      <color rgb="FF0000FF"/>
    </font>
    <font>
      <sz val="11.0"/>
      <color rgb="FF000000"/>
      <name val="&quot;Aptos Narrow&quot;"/>
    </font>
    <font>
      <sz val="11.0"/>
      <color rgb="FF000000"/>
      <name val="Arial"/>
    </font>
    <font>
      <sz val="10.0"/>
      <color theme="1"/>
      <name val="Calibri"/>
    </font>
    <font>
      <i/>
      <sz val="11.0"/>
      <color rgb="FF000000"/>
      <name val="Calibri"/>
    </font>
    <font>
      <i/>
      <sz val="9.0"/>
      <color rgb="FF000000"/>
      <name val="Calibri"/>
    </font>
    <font>
      <i/>
      <sz val="9.0"/>
      <color rgb="FFFFFFFF"/>
      <name val="Calibri"/>
    </font>
    <font>
      <sz val="11.0"/>
      <color rgb="FF1D1C1D"/>
      <name val="Lato"/>
    </font>
    <font>
      <i/>
      <sz val="11.0"/>
      <color rgb="FF1D1C1D"/>
      <name val="Calibri"/>
    </font>
    <font>
      <i/>
      <sz val="10.0"/>
      <color theme="1"/>
      <name val="Calibri"/>
    </font>
    <font>
      <i/>
      <sz val="8.0"/>
      <color rgb="FF000000"/>
      <name val="Verdana"/>
    </font>
    <font>
      <i/>
      <sz val="11.0"/>
      <color rgb="FFFFFFFF"/>
      <name val="Calibri"/>
    </font>
  </fonts>
  <fills count="13">
    <fill>
      <patternFill patternType="none"/>
    </fill>
    <fill>
      <patternFill patternType="lightGray"/>
    </fill>
    <fill>
      <patternFill patternType="solid">
        <fgColor rgb="FFCFE2F3"/>
        <bgColor rgb="FFCFE2F3"/>
      </patternFill>
    </fill>
    <fill>
      <patternFill patternType="solid">
        <fgColor rgb="FFFFC000"/>
        <bgColor rgb="FFFFC000"/>
      </patternFill>
    </fill>
    <fill>
      <patternFill patternType="solid">
        <fgColor rgb="FF073763"/>
        <bgColor rgb="FF073763"/>
      </patternFill>
    </fill>
    <fill>
      <patternFill patternType="solid">
        <fgColor rgb="FF1C4587"/>
        <bgColor rgb="FF1C4587"/>
      </patternFill>
    </fill>
    <fill>
      <patternFill patternType="solid">
        <fgColor rgb="FFFFFFFF"/>
        <bgColor rgb="FFFFFFFF"/>
      </patternFill>
    </fill>
    <fill>
      <patternFill patternType="solid">
        <fgColor rgb="FF3D85C6"/>
        <bgColor rgb="FF3D85C6"/>
      </patternFill>
    </fill>
    <fill>
      <patternFill patternType="solid">
        <fgColor rgb="FFF8F8F8"/>
        <bgColor rgb="FFF8F8F8"/>
      </patternFill>
    </fill>
    <fill>
      <patternFill patternType="solid">
        <fgColor rgb="FF38761D"/>
        <bgColor rgb="FF38761D"/>
      </patternFill>
    </fill>
    <fill>
      <patternFill patternType="solid">
        <fgColor theme="0"/>
        <bgColor theme="0"/>
      </patternFill>
    </fill>
    <fill>
      <patternFill patternType="solid">
        <fgColor rgb="FFFF0000"/>
        <bgColor rgb="FFFF0000"/>
      </patternFill>
    </fill>
    <fill>
      <patternFill patternType="solid">
        <fgColor rgb="FF274E13"/>
        <bgColor rgb="FF274E13"/>
      </patternFill>
    </fill>
  </fills>
  <borders count="21">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medium">
        <color rgb="FFCCCCCC"/>
      </top>
      <bottom style="medium">
        <color rgb="FFCCCCCC"/>
      </bottom>
    </border>
    <border>
      <left/>
      <right/>
      <top/>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medium">
        <color rgb="FFCCCCCC"/>
      </left>
      <top style="medium">
        <color rgb="FFCCCCCC"/>
      </top>
      <bottom style="medium">
        <color rgb="FFCCCCCC"/>
      </bottom>
    </border>
    <border>
      <left style="thick">
        <color rgb="FF000000"/>
      </left>
      <top style="thick">
        <color rgb="FF000000"/>
      </top>
      <bottom style="medium">
        <color rgb="FFCCCCCC"/>
      </bottom>
    </border>
    <border>
      <top style="thick">
        <color rgb="FF000000"/>
      </top>
      <bottom style="medium">
        <color rgb="FFCCCCCC"/>
      </bottom>
    </border>
    <border>
      <right style="thick">
        <color rgb="FF000000"/>
      </right>
      <top style="thick">
        <color rgb="FF000000"/>
      </top>
      <bottom style="medium">
        <color rgb="FFCCCCCC"/>
      </bottom>
    </border>
    <border>
      <left style="thick">
        <color rgb="FF000000"/>
      </left>
      <top style="medium">
        <color rgb="FFCCCCCC"/>
      </top>
      <bottom style="medium">
        <color rgb="FFCCCCCC"/>
      </bottom>
    </border>
    <border>
      <right style="thick">
        <color rgb="FF000000"/>
      </right>
      <top style="medium">
        <color rgb="FFCCCCCC"/>
      </top>
      <bottom style="medium">
        <color rgb="FFCCCCCC"/>
      </bottom>
    </border>
    <border>
      <left style="thick">
        <color rgb="FF000000"/>
      </left>
      <top style="medium">
        <color rgb="FFCCCCCC"/>
      </top>
      <bottom style="thick">
        <color rgb="FF000000"/>
      </bottom>
    </border>
    <border>
      <top style="medium">
        <color rgb="FFCCCCCC"/>
      </top>
      <bottom style="thick">
        <color rgb="FF000000"/>
      </bottom>
    </border>
    <border>
      <right style="thick">
        <color rgb="FF000000"/>
      </right>
      <top style="medium">
        <color rgb="FFCCCCCC"/>
      </top>
      <bottom style="thick">
        <color rgb="FF000000"/>
      </bottom>
    </border>
    <border>
      <left style="thin">
        <color rgb="FF000000"/>
      </left>
      <right style="thin">
        <color rgb="FF000000"/>
      </right>
    </border>
    <border>
      <left/>
      <top/>
      <bottom/>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1" fillId="0" fontId="1" numFmtId="0" xfId="0" applyBorder="1" applyFont="1"/>
    <xf borderId="1" fillId="2" fontId="2" numFmtId="0" xfId="0" applyAlignment="1" applyBorder="1" applyFill="1" applyFont="1">
      <alignment horizontal="center" shrinkToFit="0" vertical="center" wrapText="1"/>
    </xf>
    <xf borderId="2" fillId="3" fontId="3" numFmtId="0" xfId="0" applyAlignment="1" applyBorder="1" applyFill="1" applyFont="1">
      <alignment horizontal="center"/>
    </xf>
    <xf borderId="3" fillId="4" fontId="4" numFmtId="0" xfId="0" applyAlignment="1" applyBorder="1" applyFill="1" applyFont="1">
      <alignment horizontal="center" shrinkToFit="0" vertical="center" wrapText="1"/>
    </xf>
    <xf borderId="4" fillId="0" fontId="5" numFmtId="0" xfId="0" applyBorder="1" applyFont="1"/>
    <xf borderId="5" fillId="0" fontId="5" numFmtId="0" xfId="0" applyBorder="1" applyFont="1"/>
    <xf borderId="6" fillId="0" fontId="1" numFmtId="0" xfId="0" applyAlignment="1" applyBorder="1" applyFont="1">
      <alignment shrinkToFit="0" wrapText="1"/>
    </xf>
    <xf borderId="3" fillId="4" fontId="6" numFmtId="0" xfId="0" applyAlignment="1" applyBorder="1" applyFont="1">
      <alignment horizontal="center" vertical="center"/>
    </xf>
    <xf borderId="0" fillId="0" fontId="1" numFmtId="0" xfId="0" applyAlignment="1" applyFont="1">
      <alignment horizontal="center" vertical="center"/>
    </xf>
    <xf borderId="2" fillId="5" fontId="7" numFmtId="0" xfId="0" applyAlignment="1" applyBorder="1" applyFill="1" applyFont="1">
      <alignment horizontal="center" vertical="center"/>
    </xf>
    <xf borderId="7" fillId="6" fontId="1" numFmtId="0" xfId="0" applyBorder="1" applyFill="1" applyFont="1"/>
    <xf borderId="8" fillId="0" fontId="5" numFmtId="0" xfId="0" applyBorder="1" applyFont="1"/>
    <xf borderId="2" fillId="4" fontId="6" numFmtId="0" xfId="0" applyAlignment="1" applyBorder="1" applyFont="1">
      <alignment horizontal="center" shrinkToFit="0" wrapText="1"/>
    </xf>
    <xf borderId="2" fillId="7" fontId="6" numFmtId="0" xfId="0" applyAlignment="1" applyBorder="1" applyFill="1" applyFont="1">
      <alignment horizontal="center"/>
    </xf>
    <xf borderId="9" fillId="7" fontId="7" numFmtId="0" xfId="0" applyBorder="1" applyFont="1"/>
    <xf borderId="9" fillId="7" fontId="7" numFmtId="0" xfId="0" applyAlignment="1" applyBorder="1" applyFont="1">
      <alignment readingOrder="0"/>
    </xf>
    <xf borderId="2" fillId="7" fontId="6" numFmtId="0" xfId="0" applyAlignment="1" applyBorder="1" applyFont="1">
      <alignment horizontal="center" shrinkToFit="0" vertical="center" wrapText="1"/>
    </xf>
    <xf borderId="3" fillId="3" fontId="2" numFmtId="0" xfId="0" applyAlignment="1" applyBorder="1" applyFont="1">
      <alignment horizontal="center" vertical="center"/>
    </xf>
    <xf borderId="2" fillId="8" fontId="8" numFmtId="0" xfId="0" applyAlignment="1" applyBorder="1" applyFill="1" applyFont="1">
      <alignment readingOrder="0"/>
    </xf>
    <xf borderId="0" fillId="0" fontId="1" numFmtId="0" xfId="0" applyFont="1"/>
    <xf borderId="2" fillId="8" fontId="9" numFmtId="0" xfId="0" applyAlignment="1" applyBorder="1" applyFont="1">
      <alignment horizontal="left" readingOrder="0"/>
    </xf>
    <xf borderId="2" fillId="6" fontId="3" numFmtId="0" xfId="0" applyAlignment="1" applyBorder="1" applyFont="1">
      <alignment horizontal="center" shrinkToFit="0" wrapText="1"/>
    </xf>
    <xf borderId="2" fillId="6" fontId="10" numFmtId="0" xfId="0" applyAlignment="1" applyBorder="1" applyFont="1">
      <alignment horizontal="center" shrinkToFit="0" wrapText="1"/>
    </xf>
    <xf borderId="2" fillId="0" fontId="10" numFmtId="0" xfId="0" applyAlignment="1" applyBorder="1" applyFont="1">
      <alignment horizontal="center" shrinkToFit="0" wrapText="1"/>
    </xf>
    <xf borderId="2" fillId="6" fontId="11" numFmtId="0" xfId="0" applyAlignment="1" applyBorder="1" applyFont="1">
      <alignment horizontal="center" shrinkToFit="0" wrapText="1"/>
    </xf>
    <xf borderId="2" fillId="0" fontId="12" numFmtId="0" xfId="0" applyAlignment="1" applyBorder="1" applyFont="1">
      <alignment horizontal="center" shrinkToFit="0" wrapText="1"/>
    </xf>
    <xf borderId="2" fillId="6" fontId="13" numFmtId="0" xfId="0" applyAlignment="1" applyBorder="1" applyFont="1">
      <alignment horizontal="center" readingOrder="0" shrinkToFit="0" wrapText="1"/>
    </xf>
    <xf borderId="2" fillId="0" fontId="14" numFmtId="0" xfId="0" applyBorder="1" applyFont="1"/>
    <xf borderId="2" fillId="0" fontId="15" numFmtId="0" xfId="0" applyAlignment="1" applyBorder="1" applyFont="1">
      <alignment horizontal="center"/>
    </xf>
    <xf borderId="2" fillId="6" fontId="16" numFmtId="0" xfId="0" applyAlignment="1" applyBorder="1" applyFont="1">
      <alignment horizontal="center" shrinkToFit="0" wrapText="1"/>
    </xf>
    <xf borderId="2" fillId="6" fontId="17" numFmtId="0" xfId="0" applyAlignment="1" applyBorder="1" applyFont="1">
      <alignment horizontal="center" shrinkToFit="0" wrapText="1"/>
    </xf>
    <xf borderId="2" fillId="6" fontId="18" numFmtId="0" xfId="0" applyAlignment="1" applyBorder="1" applyFont="1">
      <alignment horizontal="center" shrinkToFit="0" wrapText="1"/>
    </xf>
    <xf borderId="2" fillId="0" fontId="19" numFmtId="0" xfId="0" applyAlignment="1" applyBorder="1" applyFont="1">
      <alignment readingOrder="0"/>
    </xf>
    <xf borderId="2" fillId="6" fontId="3" numFmtId="0" xfId="0" applyAlignment="1" applyBorder="1" applyFont="1">
      <alignment horizontal="right" shrinkToFit="0" wrapText="1"/>
    </xf>
    <xf borderId="2" fillId="6" fontId="20" numFmtId="0" xfId="0" applyAlignment="1" applyBorder="1" applyFont="1">
      <alignment horizontal="center" shrinkToFit="0" wrapText="1"/>
    </xf>
    <xf borderId="2" fillId="6" fontId="21" numFmtId="0" xfId="0" applyAlignment="1" applyBorder="1" applyFont="1">
      <alignment horizontal="center" shrinkToFit="0" wrapText="1"/>
    </xf>
    <xf borderId="2" fillId="0" fontId="22" numFmtId="0" xfId="0" applyAlignment="1" applyBorder="1" applyFont="1">
      <alignment horizontal="center" shrinkToFit="0" wrapText="1"/>
    </xf>
    <xf borderId="2" fillId="0" fontId="1" numFmtId="0" xfId="0" applyBorder="1" applyFont="1"/>
    <xf borderId="2" fillId="0" fontId="2" numFmtId="0" xfId="0" applyAlignment="1" applyBorder="1" applyFont="1">
      <alignment horizontal="center"/>
    </xf>
    <xf borderId="2" fillId="0" fontId="23" numFmtId="0" xfId="0" applyAlignment="1" applyBorder="1" applyFont="1">
      <alignment horizontal="center"/>
    </xf>
    <xf borderId="2" fillId="0" fontId="24" numFmtId="0" xfId="0" applyAlignment="1" applyBorder="1" applyFont="1">
      <alignment horizontal="center"/>
    </xf>
    <xf borderId="2" fillId="0" fontId="25" numFmtId="0" xfId="0" applyAlignment="1" applyBorder="1" applyFont="1">
      <alignment horizontal="center"/>
    </xf>
    <xf borderId="2" fillId="0" fontId="26" numFmtId="0" xfId="0" applyAlignment="1" applyBorder="1" applyFont="1">
      <alignment horizontal="center"/>
    </xf>
    <xf borderId="0" fillId="0" fontId="3" numFmtId="0" xfId="0" applyFont="1"/>
    <xf borderId="0" fillId="0" fontId="23" numFmtId="0" xfId="0" applyAlignment="1" applyFont="1">
      <alignment horizontal="center"/>
    </xf>
    <xf borderId="0" fillId="0" fontId="24" numFmtId="0" xfId="0" applyAlignment="1" applyFont="1">
      <alignment horizontal="center"/>
    </xf>
    <xf borderId="0" fillId="0" fontId="25" numFmtId="0" xfId="0" applyAlignment="1" applyFont="1">
      <alignment horizontal="center"/>
    </xf>
    <xf borderId="0" fillId="0" fontId="26" numFmtId="0" xfId="0" applyAlignment="1" applyFont="1">
      <alignment horizontal="center"/>
    </xf>
    <xf borderId="2" fillId="0" fontId="27" numFmtId="0" xfId="0" applyAlignment="1" applyBorder="1" applyFont="1">
      <alignment readingOrder="0"/>
    </xf>
    <xf borderId="0" fillId="0" fontId="22" numFmtId="0" xfId="0" applyAlignment="1" applyFont="1">
      <alignment horizontal="center" shrinkToFit="0" wrapText="1"/>
    </xf>
    <xf borderId="10" fillId="0" fontId="1" numFmtId="0" xfId="0" applyAlignment="1" applyBorder="1" applyFont="1">
      <alignment shrinkToFit="0" wrapText="1"/>
    </xf>
    <xf borderId="2" fillId="0" fontId="27" numFmtId="0" xfId="0" applyBorder="1" applyFont="1"/>
    <xf borderId="2" fillId="0" fontId="19" numFmtId="0" xfId="0" applyBorder="1" applyFont="1"/>
    <xf borderId="11" fillId="0" fontId="28" numFmtId="0" xfId="0" applyAlignment="1" applyBorder="1" applyFont="1">
      <alignment shrinkToFit="0" wrapText="1"/>
    </xf>
    <xf borderId="12" fillId="0" fontId="5" numFmtId="0" xfId="0" applyBorder="1" applyFont="1"/>
    <xf borderId="13" fillId="0" fontId="5" numFmtId="0" xfId="0" applyBorder="1" applyFont="1"/>
    <xf borderId="0" fillId="0" fontId="29" numFmtId="0" xfId="0" applyAlignment="1" applyFont="1">
      <alignment readingOrder="0"/>
    </xf>
    <xf borderId="0" fillId="0" fontId="30" numFmtId="0" xfId="0" applyAlignment="1" applyFont="1">
      <alignment horizontal="left" shrinkToFit="0" vertical="center" wrapText="1"/>
    </xf>
    <xf borderId="14" fillId="0" fontId="28" numFmtId="0" xfId="0" applyAlignment="1" applyBorder="1" applyFont="1">
      <alignment shrinkToFit="0" wrapText="1"/>
    </xf>
    <xf borderId="6" fillId="0" fontId="5" numFmtId="0" xfId="0" applyBorder="1" applyFont="1"/>
    <xf borderId="15" fillId="0" fontId="5" numFmtId="0" xfId="0" applyBorder="1" applyFont="1"/>
    <xf borderId="16" fillId="0" fontId="28" numFmtId="0" xfId="0" applyAlignment="1" applyBorder="1" applyFont="1">
      <alignment shrinkToFit="0" wrapText="1"/>
    </xf>
    <xf borderId="17" fillId="0" fontId="5" numFmtId="0" xfId="0" applyBorder="1" applyFont="1"/>
    <xf borderId="18" fillId="0" fontId="5" numFmtId="0" xfId="0" applyBorder="1" applyFont="1"/>
    <xf borderId="2" fillId="0" fontId="1" numFmtId="0" xfId="0" applyAlignment="1" applyBorder="1" applyFont="1">
      <alignment readingOrder="0"/>
    </xf>
    <xf borderId="0" fillId="0" fontId="28" numFmtId="0" xfId="0" applyAlignment="1" applyFont="1">
      <alignment shrinkToFit="0" wrapText="1"/>
    </xf>
    <xf borderId="0" fillId="0" fontId="31" numFmtId="0" xfId="0" applyFont="1"/>
    <xf borderId="0" fillId="0" fontId="32" numFmtId="0" xfId="0" applyAlignment="1" applyFont="1">
      <alignment shrinkToFit="0" wrapText="1"/>
    </xf>
    <xf borderId="2" fillId="6" fontId="12" numFmtId="0" xfId="0" applyAlignment="1" applyBorder="1" applyFont="1">
      <alignment horizontal="center" shrinkToFit="0" wrapText="1"/>
    </xf>
    <xf borderId="2" fillId="6" fontId="13" numFmtId="0" xfId="0" applyAlignment="1" applyBorder="1" applyFont="1">
      <alignment horizontal="center" shrinkToFit="0" wrapText="1"/>
    </xf>
    <xf borderId="0" fillId="0" fontId="1" numFmtId="0" xfId="0" applyAlignment="1" applyFont="1">
      <alignment shrinkToFit="0" wrapText="1"/>
    </xf>
    <xf borderId="2" fillId="0" fontId="33" numFmtId="0" xfId="0" applyBorder="1" applyFont="1"/>
    <xf borderId="0" fillId="0" fontId="33" numFmtId="0" xfId="0" applyFont="1"/>
    <xf borderId="2" fillId="4" fontId="7" numFmtId="0" xfId="0" applyAlignment="1" applyBorder="1" applyFont="1">
      <alignment horizontal="left" readingOrder="0" shrinkToFit="0" vertical="top" wrapText="1"/>
    </xf>
    <xf borderId="2" fillId="4" fontId="7" numFmtId="0" xfId="0" applyAlignment="1" applyBorder="1" applyFont="1">
      <alignment horizontal="center" readingOrder="0" shrinkToFit="0" vertical="top" wrapText="1"/>
    </xf>
    <xf borderId="2" fillId="4" fontId="31" numFmtId="0" xfId="0" applyAlignment="1" applyBorder="1" applyFont="1">
      <alignment horizontal="left" readingOrder="0" shrinkToFit="0" vertical="top" wrapText="1"/>
    </xf>
    <xf borderId="2" fillId="0" fontId="34" numFmtId="0" xfId="0" applyAlignment="1" applyBorder="1" applyFont="1">
      <alignment horizontal="left" vertical="top"/>
    </xf>
    <xf borderId="2" fillId="0" fontId="35" numFmtId="0" xfId="0" applyAlignment="1" applyBorder="1" applyFont="1">
      <alignment horizontal="left" shrinkToFit="0" vertical="top" wrapText="1"/>
    </xf>
    <xf borderId="2" fillId="0" fontId="35" numFmtId="0" xfId="0" applyAlignment="1" applyBorder="1" applyFont="1">
      <alignment horizontal="left" readingOrder="0" shrinkToFit="0" vertical="top" wrapText="1"/>
    </xf>
    <xf borderId="1" fillId="0" fontId="35" numFmtId="0" xfId="0" applyAlignment="1" applyBorder="1" applyFont="1">
      <alignment horizontal="left" readingOrder="0" shrinkToFit="0" vertical="top" wrapText="1"/>
    </xf>
    <xf borderId="2" fillId="9" fontId="35" numFmtId="0" xfId="0" applyAlignment="1" applyBorder="1" applyFill="1" applyFont="1">
      <alignment horizontal="left" readingOrder="0" shrinkToFit="0" vertical="top" wrapText="1"/>
    </xf>
    <xf borderId="2" fillId="0" fontId="34" numFmtId="0" xfId="0" applyAlignment="1" applyBorder="1" applyFont="1">
      <alignment horizontal="left" shrinkToFit="0" vertical="top" wrapText="1"/>
    </xf>
    <xf borderId="2" fillId="0" fontId="1" numFmtId="0" xfId="0" applyAlignment="1" applyBorder="1" applyFont="1">
      <alignment vertical="top"/>
    </xf>
    <xf borderId="19" fillId="0" fontId="5" numFmtId="0" xfId="0" applyBorder="1" applyFont="1"/>
    <xf borderId="2" fillId="0" fontId="34" numFmtId="0" xfId="0" applyAlignment="1" applyBorder="1" applyFont="1">
      <alignment horizontal="left" readingOrder="0" shrinkToFit="0" vertical="top" wrapText="1"/>
    </xf>
    <xf borderId="2" fillId="6" fontId="35" numFmtId="0" xfId="0" applyAlignment="1" applyBorder="1" applyFont="1">
      <alignment horizontal="left" readingOrder="0" shrinkToFit="0" vertical="top" wrapText="1"/>
    </xf>
    <xf borderId="1" fillId="6" fontId="35" numFmtId="0" xfId="0" applyAlignment="1" applyBorder="1" applyFont="1">
      <alignment horizontal="left" readingOrder="0" shrinkToFit="0" vertical="top" wrapText="1"/>
    </xf>
    <xf borderId="2" fillId="6" fontId="34" numFmtId="0" xfId="0" applyAlignment="1" applyBorder="1" applyFont="1">
      <alignment horizontal="left" shrinkToFit="0" vertical="top" wrapText="1"/>
    </xf>
    <xf borderId="2" fillId="10" fontId="1" numFmtId="0" xfId="0" applyAlignment="1" applyBorder="1" applyFill="1" applyFont="1">
      <alignment vertical="top"/>
    </xf>
    <xf borderId="2" fillId="6" fontId="35" numFmtId="0" xfId="0" applyAlignment="1" applyBorder="1" applyFont="1">
      <alignment horizontal="left" shrinkToFit="0" vertical="top" wrapText="1"/>
    </xf>
    <xf borderId="2" fillId="6" fontId="31" numFmtId="0" xfId="0" applyAlignment="1" applyBorder="1" applyFont="1">
      <alignment horizontal="left" shrinkToFit="0" vertical="top" wrapText="1"/>
    </xf>
    <xf borderId="2" fillId="6" fontId="36" numFmtId="0" xfId="0" applyAlignment="1" applyBorder="1" applyFont="1">
      <alignment horizontal="left" shrinkToFit="0" vertical="top" wrapText="1"/>
    </xf>
    <xf borderId="2" fillId="6" fontId="34" numFmtId="0" xfId="0" applyAlignment="1" applyBorder="1" applyFont="1">
      <alignment horizontal="left" readingOrder="0" shrinkToFit="0" vertical="top" wrapText="1"/>
    </xf>
    <xf borderId="2" fillId="0" fontId="35" numFmtId="0" xfId="0" applyAlignment="1" applyBorder="1" applyFont="1">
      <alignment horizontal="left" shrinkToFit="0" vertical="top" wrapText="1"/>
    </xf>
    <xf borderId="2" fillId="0" fontId="37" numFmtId="0" xfId="0" applyAlignment="1" applyBorder="1" applyFont="1">
      <alignment horizontal="left" shrinkToFit="0" vertical="top" wrapText="1"/>
    </xf>
    <xf borderId="2" fillId="6" fontId="38" numFmtId="0" xfId="0" applyAlignment="1" applyBorder="1" applyFont="1">
      <alignment horizontal="left" readingOrder="0" shrinkToFit="0" vertical="top" wrapText="1"/>
    </xf>
    <xf borderId="2" fillId="0" fontId="34" numFmtId="0" xfId="0" applyAlignment="1" applyBorder="1" applyFont="1">
      <alignment horizontal="left" shrinkToFit="0" vertical="top" wrapText="1"/>
    </xf>
    <xf borderId="2" fillId="11" fontId="35" numFmtId="0" xfId="0" applyAlignment="1" applyBorder="1" applyFill="1" applyFont="1">
      <alignment horizontal="left" readingOrder="0" shrinkToFit="0" vertical="top" wrapText="1"/>
    </xf>
    <xf borderId="2" fillId="0" fontId="39" numFmtId="0" xfId="0" applyAlignment="1" applyBorder="1" applyFont="1">
      <alignment horizontal="left" readingOrder="0" shrinkToFit="0" vertical="top" wrapText="1"/>
    </xf>
    <xf borderId="2" fillId="0" fontId="1" numFmtId="0" xfId="0" applyAlignment="1" applyBorder="1" applyFont="1">
      <alignment horizontal="left" vertical="top"/>
    </xf>
    <xf borderId="2" fillId="0" fontId="40" numFmtId="0" xfId="0" applyAlignment="1" applyBorder="1" applyFont="1">
      <alignment horizontal="left" shrinkToFit="0" vertical="top" wrapText="1"/>
    </xf>
    <xf borderId="2" fillId="0" fontId="41" numFmtId="0" xfId="0" applyAlignment="1" applyBorder="1" applyFont="1">
      <alignment horizontal="left" readingOrder="0" shrinkToFit="0" vertical="top" wrapText="1"/>
    </xf>
    <xf borderId="2" fillId="0" fontId="1" numFmtId="0" xfId="0" applyAlignment="1" applyBorder="1" applyFont="1">
      <alignment horizontal="left" readingOrder="0" shrinkToFit="0" vertical="top" wrapText="1"/>
    </xf>
    <xf borderId="2" fillId="0" fontId="34" numFmtId="0" xfId="0" applyAlignment="1" applyBorder="1" applyFont="1">
      <alignment horizontal="left" shrinkToFit="0" vertical="top" wrapText="1"/>
    </xf>
    <xf borderId="2" fillId="0" fontId="34" numFmtId="0" xfId="0" applyAlignment="1" applyBorder="1" applyFont="1">
      <alignment horizontal="left" readingOrder="0" shrinkToFit="0" vertical="top" wrapText="1"/>
    </xf>
    <xf borderId="2" fillId="0" fontId="42" numFmtId="0" xfId="0" applyAlignment="1" applyBorder="1" applyFont="1">
      <alignment horizontal="left" readingOrder="0" shrinkToFit="0" vertical="top" wrapText="1"/>
    </xf>
    <xf borderId="2" fillId="6" fontId="43" numFmtId="0" xfId="0" applyAlignment="1" applyBorder="1" applyFont="1">
      <alignment horizontal="left" shrinkToFit="0" vertical="top" wrapText="1"/>
    </xf>
    <xf borderId="2" fillId="6" fontId="44" numFmtId="0" xfId="0" applyAlignment="1" applyBorder="1" applyFont="1">
      <alignment horizontal="left" shrinkToFit="0" vertical="top" wrapText="1"/>
    </xf>
    <xf borderId="2" fillId="0" fontId="33" numFmtId="0" xfId="0" applyAlignment="1" applyBorder="1" applyFont="1">
      <alignment horizontal="left" shrinkToFit="0" vertical="top" wrapText="1"/>
    </xf>
    <xf borderId="2" fillId="0" fontId="45" numFmtId="0" xfId="0" applyAlignment="1" applyBorder="1" applyFont="1">
      <alignment horizontal="left" readingOrder="0" shrinkToFit="0" vertical="top" wrapText="1"/>
    </xf>
    <xf borderId="1" fillId="0" fontId="35" numFmtId="0" xfId="0" applyAlignment="1" applyBorder="1" applyFont="1">
      <alignment horizontal="left" shrinkToFit="0" vertical="top" wrapText="1"/>
    </xf>
    <xf borderId="2" fillId="0" fontId="1" numFmtId="0" xfId="0" applyAlignment="1" applyBorder="1" applyFont="1">
      <alignment shrinkToFit="0" vertical="top" wrapText="1"/>
    </xf>
    <xf borderId="2" fillId="0" fontId="35" numFmtId="0" xfId="0" applyAlignment="1" applyBorder="1" applyFont="1">
      <alignment horizontal="left" shrinkToFit="0" vertical="top" wrapText="1"/>
    </xf>
    <xf borderId="2" fillId="0" fontId="33" numFmtId="0" xfId="0" applyAlignment="1" applyBorder="1" applyFont="1">
      <alignment shrinkToFit="0" vertical="top" wrapText="1"/>
    </xf>
    <xf borderId="2" fillId="0" fontId="46" numFmtId="0" xfId="0" applyAlignment="1" applyBorder="1" applyFont="1">
      <alignment readingOrder="0" shrinkToFit="0" vertical="top" wrapText="1"/>
    </xf>
    <xf borderId="1" fillId="0" fontId="34" numFmtId="0" xfId="0" applyAlignment="1" applyBorder="1" applyFont="1">
      <alignment horizontal="left" readingOrder="0" shrinkToFit="0" vertical="top" wrapText="1"/>
    </xf>
    <xf borderId="2" fillId="0" fontId="34" numFmtId="0" xfId="0" applyAlignment="1" applyBorder="1" applyFont="1">
      <alignment horizontal="left" shrinkToFit="0" vertical="top" wrapText="1"/>
    </xf>
    <xf borderId="2" fillId="0" fontId="47" numFmtId="0" xfId="0" applyAlignment="1" applyBorder="1" applyFont="1">
      <alignment horizontal="left" readingOrder="0" shrinkToFit="0" vertical="top" wrapText="1"/>
    </xf>
    <xf borderId="1" fillId="0" fontId="1" numFmtId="0" xfId="0" applyAlignment="1" applyBorder="1" applyFont="1">
      <alignment horizontal="left" readingOrder="0" shrinkToFit="0" vertical="top" wrapText="1"/>
    </xf>
    <xf borderId="2" fillId="0" fontId="1" numFmtId="0" xfId="0" applyAlignment="1" applyBorder="1" applyFont="1">
      <alignment horizontal="left" shrinkToFit="0" vertical="top" wrapText="1"/>
    </xf>
    <xf borderId="1" fillId="0" fontId="34" numFmtId="0" xfId="0" applyAlignment="1" applyBorder="1" applyFont="1">
      <alignment horizontal="left" readingOrder="0" shrinkToFit="0" vertical="top" wrapText="1"/>
    </xf>
    <xf borderId="2" fillId="0" fontId="34" numFmtId="0" xfId="0" applyAlignment="1" applyBorder="1" applyFont="1">
      <alignment horizontal="left" shrinkToFit="0" vertical="top" wrapText="1"/>
    </xf>
    <xf borderId="2" fillId="0" fontId="34" numFmtId="0" xfId="0" applyAlignment="1" applyBorder="1" applyFont="1">
      <alignment readingOrder="0" shrinkToFit="0" vertical="top" wrapText="1"/>
    </xf>
    <xf borderId="1" fillId="0" fontId="34" numFmtId="0" xfId="0" applyAlignment="1" applyBorder="1" applyFont="1">
      <alignment readingOrder="0" shrinkToFit="0" vertical="top" wrapText="1"/>
    </xf>
    <xf borderId="2" fillId="0" fontId="34" numFmtId="0" xfId="0" applyAlignment="1" applyBorder="1" applyFont="1">
      <alignment shrinkToFit="0" vertical="top" wrapText="1"/>
    </xf>
    <xf borderId="2" fillId="0" fontId="48" numFmtId="0" xfId="0" applyAlignment="1" applyBorder="1" applyFont="1">
      <alignment readingOrder="0" shrinkToFit="0" vertical="top" wrapText="1"/>
    </xf>
    <xf borderId="2" fillId="0" fontId="35" numFmtId="0" xfId="0" applyAlignment="1" applyBorder="1" applyFont="1">
      <alignment readingOrder="0" shrinkToFit="0" vertical="top" wrapText="1"/>
    </xf>
    <xf borderId="2" fillId="0" fontId="34" numFmtId="0" xfId="0" applyAlignment="1" applyBorder="1" applyFont="1">
      <alignment readingOrder="0" shrinkToFit="0" vertical="bottom" wrapText="1"/>
    </xf>
    <xf borderId="2" fillId="0" fontId="35" numFmtId="0" xfId="0" applyAlignment="1" applyBorder="1" applyFont="1">
      <alignment readingOrder="0" shrinkToFit="0" vertical="bottom" wrapText="1"/>
    </xf>
    <xf borderId="2" fillId="0" fontId="49" numFmtId="0" xfId="0" applyAlignment="1" applyBorder="1" applyFont="1">
      <alignment readingOrder="0" shrinkToFit="0" vertical="bottom" wrapText="1"/>
    </xf>
    <xf borderId="2" fillId="11" fontId="34" numFmtId="0" xfId="0" applyAlignment="1" applyBorder="1" applyFont="1">
      <alignment readingOrder="0" shrinkToFit="0" vertical="bottom" wrapText="1"/>
    </xf>
    <xf borderId="2" fillId="0" fontId="33" numFmtId="0" xfId="0" applyAlignment="1" applyBorder="1" applyFont="1">
      <alignment shrinkToFit="0" wrapText="1"/>
    </xf>
    <xf borderId="2" fillId="0" fontId="50" numFmtId="0" xfId="0" applyAlignment="1" applyBorder="1" applyFont="1">
      <alignment readingOrder="0" shrinkToFit="0" wrapText="1"/>
    </xf>
    <xf borderId="0" fillId="0" fontId="34" numFmtId="0" xfId="0" applyAlignment="1" applyFont="1">
      <alignment readingOrder="0" vertical="bottom"/>
    </xf>
    <xf borderId="0" fillId="0" fontId="34" numFmtId="0" xfId="0" applyAlignment="1" applyFont="1">
      <alignment readingOrder="0" shrinkToFit="0" vertical="bottom" wrapText="1"/>
    </xf>
    <xf borderId="0" fillId="0" fontId="35" numFmtId="0" xfId="0" applyAlignment="1" applyFont="1">
      <alignment readingOrder="0" vertical="bottom"/>
    </xf>
    <xf borderId="2" fillId="4" fontId="43" numFmtId="0" xfId="0" applyAlignment="1" applyBorder="1" applyFont="1">
      <alignment horizontal="left" shrinkToFit="0" vertical="top" wrapText="1"/>
    </xf>
    <xf borderId="2" fillId="8" fontId="43" numFmtId="0" xfId="0" applyAlignment="1" applyBorder="1" applyFont="1">
      <alignment shrinkToFit="0" vertical="center" wrapText="1"/>
    </xf>
    <xf borderId="2" fillId="0" fontId="51" numFmtId="0" xfId="0" applyAlignment="1" applyBorder="1" applyFont="1">
      <alignment horizontal="left" readingOrder="0" vertical="top"/>
    </xf>
    <xf borderId="2" fillId="0" fontId="52" numFmtId="0" xfId="0" applyAlignment="1" applyBorder="1" applyFont="1">
      <alignment readingOrder="0" shrinkToFit="0" vertical="bottom" wrapText="1"/>
    </xf>
    <xf borderId="2" fillId="0" fontId="34" numFmtId="0" xfId="0" applyAlignment="1" applyBorder="1" applyFont="1">
      <alignment shrinkToFit="0" vertical="center" wrapText="1"/>
    </xf>
    <xf borderId="2" fillId="0" fontId="51" numFmtId="0" xfId="0" applyAlignment="1" applyBorder="1" applyFont="1">
      <alignment readingOrder="0" shrinkToFit="0" vertical="bottom" wrapText="0"/>
    </xf>
    <xf borderId="2" fillId="0" fontId="1" numFmtId="0" xfId="0" applyAlignment="1" applyBorder="1" applyFont="1">
      <alignment shrinkToFit="0" wrapText="1"/>
    </xf>
    <xf borderId="2" fillId="0" fontId="1" numFmtId="0" xfId="0" applyAlignment="1" applyBorder="1" applyFont="1">
      <alignment vertical="center"/>
    </xf>
    <xf borderId="2" fillId="0" fontId="51" numFmtId="0" xfId="0" applyAlignment="1" applyBorder="1" applyFont="1">
      <alignment readingOrder="0" shrinkToFit="0" vertical="bottom" wrapText="1"/>
    </xf>
    <xf borderId="2" fillId="0" fontId="34" numFmtId="0" xfId="0" applyAlignment="1" applyBorder="1" applyFont="1">
      <alignment readingOrder="0" shrinkToFit="0" vertical="center" wrapText="1"/>
    </xf>
    <xf borderId="2" fillId="0" fontId="34" numFmtId="0" xfId="0" applyAlignment="1" applyBorder="1" applyFont="1">
      <alignment vertical="center"/>
    </xf>
    <xf borderId="0" fillId="0" fontId="53" numFmtId="0" xfId="0" applyFont="1"/>
    <xf borderId="2" fillId="5" fontId="7" numFmtId="0" xfId="0" applyAlignment="1" applyBorder="1" applyFont="1">
      <alignment horizontal="center"/>
    </xf>
    <xf borderId="2" fillId="0" fontId="54" numFmtId="0" xfId="0" applyAlignment="1" applyBorder="1" applyFont="1">
      <alignment horizontal="left" shrinkToFit="0" vertical="top" wrapText="1"/>
    </xf>
    <xf borderId="2" fillId="10" fontId="55" numFmtId="0" xfId="0" applyAlignment="1" applyBorder="1" applyFont="1">
      <alignment horizontal="left" shrinkToFit="0" vertical="top" wrapText="1"/>
    </xf>
    <xf borderId="2" fillId="12" fontId="56" numFmtId="0" xfId="0" applyAlignment="1" applyBorder="1" applyFill="1" applyFont="1">
      <alignment horizontal="left" shrinkToFit="0" vertical="top" wrapText="1"/>
    </xf>
    <xf borderId="2" fillId="10" fontId="54" numFmtId="0" xfId="0" applyAlignment="1" applyBorder="1" applyFont="1">
      <alignment horizontal="left" shrinkToFit="0" vertical="top" wrapText="1"/>
    </xf>
    <xf borderId="20" fillId="6" fontId="57" numFmtId="0" xfId="0" applyAlignment="1" applyBorder="1" applyFont="1">
      <alignment horizontal="left"/>
    </xf>
    <xf borderId="2" fillId="6" fontId="58" numFmtId="0" xfId="0" applyAlignment="1" applyBorder="1" applyFont="1">
      <alignment horizontal="left" shrinkToFit="0" vertical="top" wrapText="1"/>
    </xf>
    <xf borderId="2" fillId="0" fontId="59" numFmtId="0" xfId="0" applyAlignment="1" applyBorder="1" applyFont="1">
      <alignment horizontal="left" shrinkToFit="0" vertical="top" wrapText="1"/>
    </xf>
    <xf borderId="2" fillId="0" fontId="14" numFmtId="0" xfId="0" applyAlignment="1" applyBorder="1" applyFont="1">
      <alignment horizontal="left" shrinkToFit="0" vertical="top" wrapText="1"/>
    </xf>
    <xf borderId="2" fillId="6" fontId="60" numFmtId="0" xfId="0" applyAlignment="1" applyBorder="1" applyFont="1">
      <alignment horizontal="left" shrinkToFit="0" vertical="top" wrapText="1"/>
    </xf>
    <xf borderId="2" fillId="0" fontId="14" numFmtId="0" xfId="0" applyAlignment="1" applyBorder="1" applyFont="1">
      <alignment horizontal="left" readingOrder="0" shrinkToFit="0" vertical="top" wrapText="1"/>
    </xf>
    <xf borderId="2" fillId="12" fontId="61" numFmtId="0" xfId="0" applyAlignment="1" applyBorder="1" applyFont="1">
      <alignment horizontal="left" shrinkToFit="0" vertical="top" wrapText="1"/>
    </xf>
    <xf borderId="2" fillId="0" fontId="14" numFmtId="0" xfId="0" applyAlignment="1" applyBorder="1" applyFont="1">
      <alignment horizontal="left" readingOrder="0" shrinkToFit="0" wrapText="1"/>
    </xf>
    <xf borderId="0" fillId="0" fontId="53" numFmtId="0" xfId="0" applyAlignment="1" applyFont="1">
      <alignment horizontal="center"/>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Pass and Fail</a:t>
            </a:r>
          </a:p>
        </c:rich>
      </c:tx>
      <c:overlay val="0"/>
    </c:title>
    <c:plotArea>
      <c:layout/>
      <c:barChart>
        <c:barDir val="col"/>
        <c:ser>
          <c:idx val="0"/>
          <c:order val="0"/>
          <c:tx>
            <c:strRef>
              <c:f>'Feature Health'!$C$2</c:f>
            </c:strRef>
          </c:tx>
          <c:spPr>
            <a:solidFill>
              <a:schemeClr val="accent1"/>
            </a:solidFill>
            <a:ln cmpd="sng">
              <a:solidFill>
                <a:srgbClr val="000000"/>
              </a:solidFill>
            </a:ln>
          </c:spPr>
          <c:cat>
            <c:strRef>
              <c:f>'Feature Health'!$B$3:$B$36</c:f>
            </c:strRef>
          </c:cat>
          <c:val>
            <c:numRef>
              <c:f>'Feature Health'!$C$3:$C$36</c:f>
              <c:numCache/>
            </c:numRef>
          </c:val>
        </c:ser>
        <c:ser>
          <c:idx val="1"/>
          <c:order val="1"/>
          <c:tx>
            <c:strRef>
              <c:f>'Feature Health'!$D$2</c:f>
            </c:strRef>
          </c:tx>
          <c:spPr>
            <a:solidFill>
              <a:schemeClr val="accent2"/>
            </a:solidFill>
            <a:ln cmpd="sng">
              <a:solidFill>
                <a:srgbClr val="000000"/>
              </a:solidFill>
            </a:ln>
          </c:spPr>
          <c:cat>
            <c:strRef>
              <c:f>'Feature Health'!$B$3:$B$36</c:f>
            </c:strRef>
          </c:cat>
          <c:val>
            <c:numRef>
              <c:f>'Feature Health'!$D$3:$D$36</c:f>
              <c:numCache/>
            </c:numRef>
          </c:val>
        </c:ser>
        <c:axId val="2142694509"/>
        <c:axId val="594097179"/>
      </c:barChart>
      <c:catAx>
        <c:axId val="2142694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Feature list</a:t>
                </a:r>
              </a:p>
            </c:rich>
          </c:tx>
          <c:overlay val="0"/>
        </c:title>
        <c:numFmt formatCode="General" sourceLinked="1"/>
        <c:majorTickMark val="none"/>
        <c:minorTickMark val="none"/>
        <c:spPr/>
        <c:txPr>
          <a:bodyPr/>
          <a:lstStyle/>
          <a:p>
            <a:pPr lvl="0">
              <a:defRPr b="0">
                <a:solidFill>
                  <a:srgbClr val="000000"/>
                </a:solidFill>
                <a:latin typeface="+mn-lt"/>
              </a:defRPr>
            </a:pPr>
          </a:p>
        </c:txPr>
        <c:crossAx val="594097179"/>
      </c:catAx>
      <c:valAx>
        <c:axId val="5940971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2694509"/>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276225</xdr:colOff>
      <xdr:row>0</xdr:row>
      <xdr:rowOff>180975</xdr:rowOff>
    </xdr:from>
    <xdr:ext cx="7267575" cy="5334000"/>
    <xdr:graphicFrame>
      <xdr:nvGraphicFramePr>
        <xdr:cNvPr id="615663162"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mosip.atlassian.net/browse/INJICERT-1197" TargetMode="External"/><Relationship Id="rId20" Type="http://schemas.openxmlformats.org/officeDocument/2006/relationships/hyperlink" Target="https://mosip.atlassian.net/browse/INJICERT-1260" TargetMode="External"/><Relationship Id="rId41" Type="http://schemas.openxmlformats.org/officeDocument/2006/relationships/drawing" Target="../drawings/drawing2.xml"/><Relationship Id="rId22" Type="http://schemas.openxmlformats.org/officeDocument/2006/relationships/hyperlink" Target="https://mosip.atlassian.net/browse/INJICERT-1265" TargetMode="External"/><Relationship Id="rId21" Type="http://schemas.openxmlformats.org/officeDocument/2006/relationships/hyperlink" Target="https://mosip.atlassian.net/browse/INJICERT-1260" TargetMode="External"/><Relationship Id="rId24" Type="http://schemas.openxmlformats.org/officeDocument/2006/relationships/hyperlink" Target="https://mosip.atlassian.net/browse/INJICERT-1254" TargetMode="External"/><Relationship Id="rId23" Type="http://schemas.openxmlformats.org/officeDocument/2006/relationships/hyperlink" Target="https://mosip.atlassian.net/browse/INJICERT-1265" TargetMode="External"/><Relationship Id="rId1" Type="http://schemas.openxmlformats.org/officeDocument/2006/relationships/hyperlink" Target="https://mosip.atlassian.net/browse/INJICERT-659" TargetMode="External"/><Relationship Id="rId2" Type="http://schemas.openxmlformats.org/officeDocument/2006/relationships/hyperlink" Target="https://openid.net/specs/openid-4-verifiable-credential-issuance-1_0.html" TargetMode="External"/><Relationship Id="rId3" Type="http://schemas.openxmlformats.org/officeDocument/2006/relationships/hyperlink" Target="https://mosip.atlassian.net/browse/INJICERT-659" TargetMode="External"/><Relationship Id="rId4" Type="http://schemas.openxmlformats.org/officeDocument/2006/relationships/hyperlink" Target="http://univerifer.io/" TargetMode="External"/><Relationship Id="rId9" Type="http://schemas.openxmlformats.org/officeDocument/2006/relationships/hyperlink" Target="http://univerifier.io/" TargetMode="External"/><Relationship Id="rId26" Type="http://schemas.openxmlformats.org/officeDocument/2006/relationships/hyperlink" Target="https://mosip.atlassian.net/browse/INJICERT-1254" TargetMode="External"/><Relationship Id="rId25" Type="http://schemas.openxmlformats.org/officeDocument/2006/relationships/hyperlink" Target="https://mosip.atlassian.net/browse/INJICERT-1260" TargetMode="External"/><Relationship Id="rId28" Type="http://schemas.openxmlformats.org/officeDocument/2006/relationships/hyperlink" Target="https://mosip.atlassian.net/browse/INJICERT-1260" TargetMode="External"/><Relationship Id="rId27" Type="http://schemas.openxmlformats.org/officeDocument/2006/relationships/hyperlink" Target="https://mosip.atlassian.net/browse/INJICERT-1260" TargetMode="External"/><Relationship Id="rId5" Type="http://schemas.openxmlformats.org/officeDocument/2006/relationships/hyperlink" Target="http://univerifer.io/" TargetMode="External"/><Relationship Id="rId6" Type="http://schemas.openxmlformats.org/officeDocument/2006/relationships/hyperlink" Target="http://univerifer.io/" TargetMode="External"/><Relationship Id="rId29" Type="http://schemas.openxmlformats.org/officeDocument/2006/relationships/hyperlink" Target="https://mosip.atlassian.net/browse/INJICERT-1260" TargetMode="External"/><Relationship Id="rId7" Type="http://schemas.openxmlformats.org/officeDocument/2006/relationships/hyperlink" Target="http://univerifer.io/" TargetMode="External"/><Relationship Id="rId8" Type="http://schemas.openxmlformats.org/officeDocument/2006/relationships/hyperlink" Target="http://univerifier.io/" TargetMode="External"/><Relationship Id="rId31" Type="http://schemas.openxmlformats.org/officeDocument/2006/relationships/hyperlink" Target="https://mosip.atlassian.net/browse/INJICERT-1265" TargetMode="External"/><Relationship Id="rId30" Type="http://schemas.openxmlformats.org/officeDocument/2006/relationships/hyperlink" Target="https://mosip.atlassian.net/browse/Injicert-1265" TargetMode="External"/><Relationship Id="rId11" Type="http://schemas.openxmlformats.org/officeDocument/2006/relationships/hyperlink" Target="http://univerifier.io/" TargetMode="External"/><Relationship Id="rId33" Type="http://schemas.openxmlformats.org/officeDocument/2006/relationships/hyperlink" Target="https://mosip.atlassian.net/browse/INJICERT-1319" TargetMode="External"/><Relationship Id="rId10" Type="http://schemas.openxmlformats.org/officeDocument/2006/relationships/hyperlink" Target="http://univerifier.io/" TargetMode="External"/><Relationship Id="rId32" Type="http://schemas.openxmlformats.org/officeDocument/2006/relationships/hyperlink" Target="https://mosip.atlassian.net/browse/INJICERT-1319" TargetMode="External"/><Relationship Id="rId13" Type="http://schemas.openxmlformats.org/officeDocument/2006/relationships/hyperlink" Target="http://univerifier.io/" TargetMode="External"/><Relationship Id="rId35" Type="http://schemas.openxmlformats.org/officeDocument/2006/relationships/hyperlink" Target="https://mosip.atlassian.net/browse/INJICERT-1325" TargetMode="External"/><Relationship Id="rId12" Type="http://schemas.openxmlformats.org/officeDocument/2006/relationships/hyperlink" Target="http://univerifier.io/" TargetMode="External"/><Relationship Id="rId34" Type="http://schemas.openxmlformats.org/officeDocument/2006/relationships/hyperlink" Target="https://mosip.atlassian.net/browse/INJICERT-1319" TargetMode="External"/><Relationship Id="rId15" Type="http://schemas.openxmlformats.org/officeDocument/2006/relationships/hyperlink" Target="http://univeriifer.io/" TargetMode="External"/><Relationship Id="rId37" Type="http://schemas.openxmlformats.org/officeDocument/2006/relationships/hyperlink" Target="https://mosip.atlassian.net/browse/INJICERT-1326" TargetMode="External"/><Relationship Id="rId14" Type="http://schemas.openxmlformats.org/officeDocument/2006/relationships/hyperlink" Target="http://univerifier.io/" TargetMode="External"/><Relationship Id="rId36" Type="http://schemas.openxmlformats.org/officeDocument/2006/relationships/hyperlink" Target="https://mosip.atlassian.net/browse/INJICERT-1325" TargetMode="External"/><Relationship Id="rId17" Type="http://schemas.openxmlformats.org/officeDocument/2006/relationships/hyperlink" Target="http://univerifier.io/" TargetMode="External"/><Relationship Id="rId39" Type="http://schemas.openxmlformats.org/officeDocument/2006/relationships/hyperlink" Target="https://www.w3.org/TR/did-1.0/" TargetMode="External"/><Relationship Id="rId16" Type="http://schemas.openxmlformats.org/officeDocument/2006/relationships/hyperlink" Target="http://univerifier.io/" TargetMode="External"/><Relationship Id="rId38" Type="http://schemas.openxmlformats.org/officeDocument/2006/relationships/hyperlink" Target="https://mosip.atlassian.net/browse/INJICERT-1326" TargetMode="External"/><Relationship Id="rId19" Type="http://schemas.openxmlformats.org/officeDocument/2006/relationships/hyperlink" Target="https://mosip.atlassian.net/browse/INJICERT-1162" TargetMode="External"/><Relationship Id="rId18" Type="http://schemas.openxmlformats.org/officeDocument/2006/relationships/hyperlink" Target="http://univerifier.io/"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4"/>
    <col customWidth="1" min="2" max="2" width="13.86"/>
    <col customWidth="1" min="3" max="3" width="12.14"/>
    <col customWidth="1" min="4" max="4" width="9.86"/>
    <col customWidth="1" min="5" max="5" width="11.57"/>
    <col customWidth="1" min="6" max="6" width="10.71"/>
    <col customWidth="1" min="7" max="7" width="4.86"/>
    <col customWidth="1" min="8" max="8" width="4.57"/>
    <col customWidth="1" min="9" max="9" width="10.29"/>
    <col customWidth="1" min="10" max="10" width="1.29"/>
    <col customWidth="1" min="11" max="11" width="26.43"/>
    <col customWidth="1" min="12" max="12" width="4.14"/>
    <col customWidth="1" min="13" max="13" width="4.0"/>
    <col customWidth="1" min="14" max="14" width="3.29"/>
    <col customWidth="1" min="15" max="15" width="3.43"/>
    <col customWidth="1" min="16" max="16" width="1.0"/>
    <col customWidth="1" min="17" max="17" width="38.0"/>
    <col customWidth="1" min="18" max="18" width="1.14"/>
    <col customWidth="1" min="19" max="19" width="66.0"/>
    <col customWidth="1" min="20" max="20" width="8.71"/>
  </cols>
  <sheetData>
    <row r="1" ht="14.25" customHeight="1">
      <c r="S1" s="1"/>
    </row>
    <row r="2" ht="24.75" customHeight="1">
      <c r="B2" s="2" t="s">
        <v>0</v>
      </c>
      <c r="C2" s="3" t="s">
        <v>1</v>
      </c>
      <c r="D2" s="4" t="s">
        <v>2</v>
      </c>
      <c r="E2" s="5"/>
      <c r="F2" s="5"/>
      <c r="G2" s="5"/>
      <c r="H2" s="5"/>
      <c r="I2" s="6"/>
      <c r="J2" s="7"/>
      <c r="K2" s="8" t="s">
        <v>3</v>
      </c>
      <c r="L2" s="5"/>
      <c r="M2" s="5"/>
      <c r="N2" s="5"/>
      <c r="O2" s="6"/>
      <c r="P2" s="9"/>
      <c r="Q2" s="10" t="s">
        <v>4</v>
      </c>
      <c r="R2" s="9"/>
      <c r="S2" s="10" t="s">
        <v>5</v>
      </c>
      <c r="T2" s="11"/>
    </row>
    <row r="3" ht="14.25" customHeight="1">
      <c r="B3" s="12"/>
      <c r="C3" s="13" t="s">
        <v>6</v>
      </c>
      <c r="D3" s="14" t="s">
        <v>7</v>
      </c>
      <c r="E3" s="14" t="s">
        <v>8</v>
      </c>
      <c r="F3" s="14" t="s">
        <v>9</v>
      </c>
      <c r="G3" s="15" t="s">
        <v>10</v>
      </c>
      <c r="H3" s="15" t="s">
        <v>11</v>
      </c>
      <c r="I3" s="16" t="s">
        <v>12</v>
      </c>
      <c r="J3" s="7"/>
      <c r="K3" s="17" t="s">
        <v>13</v>
      </c>
      <c r="L3" s="18" t="s">
        <v>14</v>
      </c>
      <c r="M3" s="5"/>
      <c r="N3" s="5"/>
      <c r="O3" s="6"/>
      <c r="Q3" s="19" t="s">
        <v>12</v>
      </c>
      <c r="R3" s="20"/>
      <c r="S3" s="21" t="s">
        <v>15</v>
      </c>
      <c r="T3" s="11"/>
    </row>
    <row r="4">
      <c r="B4" s="22" t="s">
        <v>16</v>
      </c>
      <c r="C4" s="23">
        <f>IFERROR(__xludf.DUMMYFUNCTION("COUNTUNIQUE('Injicertify-Testcases'!A2:A2881)"),36.0)</f>
        <v>36</v>
      </c>
      <c r="D4" s="24">
        <f>COUNTA('Injicertify-Testcases'!C2:C2880)</f>
        <v>874</v>
      </c>
      <c r="E4" s="24">
        <f>COUNTA('Injicertify-Testcases'!A2:A2838)</f>
        <v>806</v>
      </c>
      <c r="F4" s="24">
        <f>D4-E4</f>
        <v>68</v>
      </c>
      <c r="G4" s="25">
        <f>COUNTIF('Injicertify-Testcases'!H2:H2832, "Pass")</f>
        <v>859</v>
      </c>
      <c r="H4" s="26">
        <f>COUNTIF('Injicertify-Testcases'!H2:H2832, "Fail")</f>
        <v>17</v>
      </c>
      <c r="I4" s="27"/>
      <c r="J4" s="7"/>
      <c r="K4" s="28" t="str">
        <f>IFERROR(__xludf.DUMMYFUNCTION("UNIQUE(FILTER('Injicertify-Testcases'!A2:A3015, 'Injicertify-Testcases'!A2:A3015&lt;&gt;""""))"),"INJICERT-41")</f>
        <v>INJICERT-41</v>
      </c>
      <c r="L4" s="29">
        <f>COUNTIFS('Injicertify-Testcases'!A1:A5526,K4,'Injicertify-Testcases'!C1:C5526,"&lt;&gt;"&amp;"")</f>
        <v>84</v>
      </c>
      <c r="M4" s="30">
        <f>COUNTIFS('Injicertify-Testcases'!A1:A5526,K4,'Injicertify-Testcases'!C1:C5526,"&lt;&gt;"&amp;"",'Injicertify-Testcases'!H1:H5526,"Pass")</f>
        <v>84</v>
      </c>
      <c r="N4" s="31">
        <f>COUNTIFS('Injicertify-Testcases'!A1:A5526,K4,'Injicertify-Testcases'!C1:C5526,"&lt;&gt;"&amp;"",'Injicertify-Testcases'!H1:H5526,"Fail")</f>
        <v>0</v>
      </c>
      <c r="O4" s="32">
        <f t="shared" ref="O4:O38" si="1">L4-M4-N4</f>
        <v>0</v>
      </c>
      <c r="Q4" s="20"/>
      <c r="R4" s="20"/>
      <c r="S4" s="33" t="s">
        <v>17</v>
      </c>
      <c r="T4" s="11"/>
    </row>
    <row r="5" ht="14.25" customHeight="1">
      <c r="B5" s="34"/>
      <c r="C5" s="23"/>
      <c r="D5" s="24"/>
      <c r="E5" s="24"/>
      <c r="F5" s="24"/>
      <c r="G5" s="35"/>
      <c r="H5" s="36"/>
      <c r="I5" s="37"/>
      <c r="J5" s="7"/>
      <c r="K5" s="38" t="str">
        <f>IFERROR(__xludf.DUMMYFUNCTION("""COMPUTED_VALUE"""),"INJICERT-13")</f>
        <v>INJICERT-13</v>
      </c>
      <c r="L5" s="29">
        <f>COUNTIFS('Injicertify-Testcases'!A2:A5527,K5,'Injicertify-Testcases'!C2:C5527,"&lt;&gt;"&amp;"")</f>
        <v>65</v>
      </c>
      <c r="M5" s="30">
        <f>COUNTIFS('Injicertify-Testcases'!A2:A5527,K5,'Injicertify-Testcases'!C2:C5527,"&lt;&gt;"&amp;"",'Injicertify-Testcases'!H2:H5527,"Pass")</f>
        <v>65</v>
      </c>
      <c r="N5" s="31">
        <f>COUNTIFS('Injicertify-Testcases'!A2:A5527,K5,'Injicertify-Testcases'!C2:C5527,"&lt;&gt;"&amp;"",'Injicertify-Testcases'!H2:H5527,"Fail")</f>
        <v>0</v>
      </c>
      <c r="O5" s="32">
        <f t="shared" si="1"/>
        <v>0</v>
      </c>
      <c r="Q5" s="20"/>
      <c r="R5" s="20"/>
      <c r="S5" s="33" t="s">
        <v>18</v>
      </c>
      <c r="T5" s="11"/>
    </row>
    <row r="6" ht="14.25" customHeight="1">
      <c r="B6" s="39" t="s">
        <v>6</v>
      </c>
      <c r="C6" s="40">
        <f t="shared" ref="C6:E6" si="2">SUM(C3:C5)</f>
        <v>36</v>
      </c>
      <c r="D6" s="40">
        <f t="shared" si="2"/>
        <v>874</v>
      </c>
      <c r="E6" s="40">
        <f t="shared" si="2"/>
        <v>806</v>
      </c>
      <c r="F6" s="24">
        <f>D6-E6</f>
        <v>68</v>
      </c>
      <c r="G6" s="41">
        <f t="shared" ref="G6:I6" si="3">SUM(G3:G5)</f>
        <v>859</v>
      </c>
      <c r="H6" s="42">
        <f t="shared" si="3"/>
        <v>17</v>
      </c>
      <c r="I6" s="43">
        <f t="shared" si="3"/>
        <v>0</v>
      </c>
      <c r="J6" s="7"/>
      <c r="K6" s="38" t="str">
        <f>IFERROR(__xludf.DUMMYFUNCTION("""COMPUTED_VALUE"""),"INJICERT_186")</f>
        <v>INJICERT_186</v>
      </c>
      <c r="L6" s="29">
        <f>COUNTIFS('Injicertify-Testcases'!A3:A5528,K6,'Injicertify-Testcases'!C3:C5528,"&lt;&gt;"&amp;"")</f>
        <v>72</v>
      </c>
      <c r="M6" s="30">
        <f>COUNTIFS('Injicertify-Testcases'!A3:A5528,K6,'Injicertify-Testcases'!C3:C5528,"&lt;&gt;"&amp;"",'Injicertify-Testcases'!H3:H5528,"Pass")</f>
        <v>72</v>
      </c>
      <c r="N6" s="31">
        <f>COUNTIFS('Injicertify-Testcases'!A3:A5528,K6,'Injicertify-Testcases'!C3:C5528,"&lt;&gt;"&amp;"",'Injicertify-Testcases'!H3:H5528,"Fail")</f>
        <v>0</v>
      </c>
      <c r="O6" s="32">
        <f t="shared" si="1"/>
        <v>0</v>
      </c>
      <c r="Q6" s="20"/>
      <c r="R6" s="20"/>
      <c r="S6" s="33" t="s">
        <v>19</v>
      </c>
      <c r="T6" s="11"/>
    </row>
    <row r="7" ht="14.25" customHeight="1">
      <c r="B7" s="44"/>
      <c r="C7" s="45"/>
      <c r="D7" s="45"/>
      <c r="E7" s="45"/>
      <c r="F7" s="45"/>
      <c r="G7" s="46"/>
      <c r="H7" s="47"/>
      <c r="I7" s="48"/>
      <c r="J7" s="7"/>
      <c r="K7" s="28" t="str">
        <f>IFERROR(__xludf.DUMMYFUNCTION("""COMPUTED_VALUE"""),"INJICERT-189")</f>
        <v>INJICERT-189</v>
      </c>
      <c r="L7" s="29">
        <f>COUNTIFS('Injicertify-Testcases'!A4:A5529,K7,'Injicertify-Testcases'!C4:C5529,"&lt;&gt;"&amp;"")</f>
        <v>81</v>
      </c>
      <c r="M7" s="30">
        <f>COUNTIFS('Injicertify-Testcases'!A4:A5529,K7,'Injicertify-Testcases'!C4:C5529,"&lt;&gt;"&amp;"",'Injicertify-Testcases'!H4:H5529,"Pass")</f>
        <v>81</v>
      </c>
      <c r="N7" s="31">
        <f>COUNTIFS('Injicertify-Testcases'!A4:A5529,K7,'Injicertify-Testcases'!C4:C5529,"&lt;&gt;"&amp;"",'Injicertify-Testcases'!H4:H5529,"Fail")</f>
        <v>0</v>
      </c>
      <c r="O7" s="32">
        <f t="shared" si="1"/>
        <v>0</v>
      </c>
      <c r="Q7" s="20"/>
      <c r="R7" s="20"/>
      <c r="S7" s="49" t="s">
        <v>20</v>
      </c>
      <c r="T7" s="11"/>
    </row>
    <row r="8" ht="14.25" customHeight="1">
      <c r="I8" s="50"/>
      <c r="J8" s="51"/>
      <c r="K8" s="28" t="str">
        <f>IFERROR(__xludf.DUMMYFUNCTION("""COMPUTED_VALUE"""),"INJICERT-434")</f>
        <v>INJICERT-434</v>
      </c>
      <c r="L8" s="29">
        <f>COUNTIFS('Injicertify-Testcases'!A5:A5530,K8,'Injicertify-Testcases'!C5:C5530,"&lt;&gt;"&amp;"")</f>
        <v>64</v>
      </c>
      <c r="M8" s="30">
        <f>COUNTIFS('Injicertify-Testcases'!A5:A5530,K8,'Injicertify-Testcases'!C5:C5530,"&lt;&gt;"&amp;"",'Injicertify-Testcases'!H5:H5530,"Pass")</f>
        <v>62</v>
      </c>
      <c r="N8" s="31">
        <f>COUNTIFS('Injicertify-Testcases'!A5:A5530,K8,'Injicertify-Testcases'!C5:C5530,"&lt;&gt;"&amp;"",'Injicertify-Testcases'!H5:H5530,"Fail")</f>
        <v>2</v>
      </c>
      <c r="O8" s="32">
        <f t="shared" si="1"/>
        <v>0</v>
      </c>
      <c r="Q8" s="20"/>
      <c r="R8" s="20"/>
      <c r="S8" s="52" t="s">
        <v>21</v>
      </c>
      <c r="T8" s="11"/>
    </row>
    <row r="9" ht="14.25" customHeight="1">
      <c r="I9" s="50"/>
      <c r="J9" s="51"/>
      <c r="K9" s="28" t="str">
        <f>IFERROR(__xludf.DUMMYFUNCTION("""COMPUTED_VALUE"""),"INJICERT-495")</f>
        <v>INJICERT-495</v>
      </c>
      <c r="L9" s="29">
        <f>COUNTIFS('Injicertify-Testcases'!A6:A5531,K9,'Injicertify-Testcases'!C6:C5531,"&lt;&gt;"&amp;"")</f>
        <v>9</v>
      </c>
      <c r="M9" s="30">
        <f>COUNTIFS('Injicertify-Testcases'!A6:A5531,K9,'Injicertify-Testcases'!C6:C5531,"&lt;&gt;"&amp;"",'Injicertify-Testcases'!H6:H5531,"Pass")</f>
        <v>9</v>
      </c>
      <c r="N9" s="31">
        <f>COUNTIFS('Injicertify-Testcases'!A6:A5531,K9,'Injicertify-Testcases'!C6:C5531,"&lt;&gt;"&amp;"",'Injicertify-Testcases'!H6:H5531,"Fail")</f>
        <v>0</v>
      </c>
      <c r="O9" s="32">
        <f t="shared" si="1"/>
        <v>0</v>
      </c>
      <c r="Q9" s="20"/>
      <c r="R9" s="20"/>
      <c r="S9" s="53" t="s">
        <v>22</v>
      </c>
      <c r="T9" s="11"/>
    </row>
    <row r="10" ht="14.25" customHeight="1">
      <c r="B10" s="54" t="str">
        <f>"Functional Testing - Stories Verified : " &amp; C6</f>
        <v>Functional Testing - Stories Verified : 36</v>
      </c>
      <c r="C10" s="55"/>
      <c r="D10" s="55"/>
      <c r="E10" s="55"/>
      <c r="F10" s="55"/>
      <c r="G10" s="55"/>
      <c r="H10" s="55"/>
      <c r="I10" s="56"/>
      <c r="J10" s="51"/>
      <c r="K10" s="28" t="str">
        <f>IFERROR(__xludf.DUMMYFUNCTION("""COMPUTED_VALUE"""),"INJICERT-499")</f>
        <v>INJICERT-499</v>
      </c>
      <c r="L10" s="29">
        <f>COUNTIFS('Injicertify-Testcases'!A7:A5532,K10,'Injicertify-Testcases'!C7:C5532,"&lt;&gt;"&amp;"")</f>
        <v>47</v>
      </c>
      <c r="M10" s="30">
        <f>COUNTIFS('Injicertify-Testcases'!A7:A5532,K10,'Injicertify-Testcases'!C7:C5532,"&lt;&gt;"&amp;"",'Injicertify-Testcases'!H7:H5532,"Pass")</f>
        <v>47</v>
      </c>
      <c r="N10" s="31">
        <f>COUNTIFS('Injicertify-Testcases'!A7:A5532,K10,'Injicertify-Testcases'!C7:C5532,"&lt;&gt;"&amp;"",'Injicertify-Testcases'!H7:H5532,"Fail")</f>
        <v>0</v>
      </c>
      <c r="O10" s="32">
        <f t="shared" si="1"/>
        <v>0</v>
      </c>
      <c r="Q10" s="20"/>
      <c r="R10" s="20"/>
      <c r="S10" s="57" t="s">
        <v>23</v>
      </c>
      <c r="T10" s="58"/>
    </row>
    <row r="11" ht="14.25" customHeight="1">
      <c r="B11" s="59" t="str">
        <f>"Test cases : " &amp; D6 &amp; "      Passed : "&amp; G6 &amp; "     Failed : " &amp; H6 &amp; "    Skipped : " &amp; I6</f>
        <v>Test cases : 874      Passed : 859     Failed : 17    Skipped : 0</v>
      </c>
      <c r="C11" s="60"/>
      <c r="D11" s="60"/>
      <c r="E11" s="60"/>
      <c r="F11" s="60"/>
      <c r="G11" s="60"/>
      <c r="H11" s="60"/>
      <c r="I11" s="61"/>
      <c r="J11" s="51"/>
      <c r="K11" s="28" t="str">
        <f>IFERROR(__xludf.DUMMYFUNCTION("""COMPUTED_VALUE"""),"Injicert-587")</f>
        <v>Injicert-587</v>
      </c>
      <c r="L11" s="29">
        <f>COUNTIFS('Injicertify-Testcases'!A8:A5533,K11,'Injicertify-Testcases'!C8:C5533,"&lt;&gt;"&amp;"")</f>
        <v>26</v>
      </c>
      <c r="M11" s="30">
        <f>COUNTIFS('Injicertify-Testcases'!A8:A5533,K11,'Injicertify-Testcases'!C8:C5533,"&lt;&gt;"&amp;"",'Injicertify-Testcases'!H8:H5533,"Pass")</f>
        <v>26</v>
      </c>
      <c r="N11" s="31">
        <f>COUNTIFS('Injicertify-Testcases'!A8:A5533,K11,'Injicertify-Testcases'!C8:C5533,"&lt;&gt;"&amp;"",'Injicertify-Testcases'!H8:H5533,"Fail")</f>
        <v>0</v>
      </c>
      <c r="O11" s="32">
        <f t="shared" si="1"/>
        <v>0</v>
      </c>
      <c r="Q11" s="20"/>
      <c r="R11" s="20"/>
      <c r="S11" s="52" t="s">
        <v>24</v>
      </c>
      <c r="T11" s="11"/>
    </row>
    <row r="12" ht="14.25" customHeight="1">
      <c r="B12" s="62" t="str">
        <f>"Test Rate : " &amp; INT((((G6+H6)/D6)*100)) &amp; "%     With Pass Rate : " &amp; INT((G6/(G6+H6))*100)  &amp; "%"</f>
        <v>Test Rate : 100%     With Pass Rate : 98%</v>
      </c>
      <c r="C12" s="63"/>
      <c r="D12" s="63"/>
      <c r="E12" s="63"/>
      <c r="F12" s="63"/>
      <c r="G12" s="63"/>
      <c r="H12" s="63"/>
      <c r="I12" s="64"/>
      <c r="J12" s="7"/>
      <c r="K12" s="28" t="str">
        <f>IFERROR(__xludf.DUMMYFUNCTION("""COMPUTED_VALUE"""),"INJICERT-695")</f>
        <v>INJICERT-695</v>
      </c>
      <c r="L12" s="29">
        <f>COUNTIFS('Injicertify-Testcases'!A9:A5534,K12,'Injicertify-Testcases'!C9:C5534,"&lt;&gt;"&amp;"")</f>
        <v>5</v>
      </c>
      <c r="M12" s="30">
        <f>COUNTIFS('Injicertify-Testcases'!A9:A5534,K12,'Injicertify-Testcases'!C9:C5534,"&lt;&gt;"&amp;"",'Injicertify-Testcases'!H9:H5534,"Pass")</f>
        <v>5</v>
      </c>
      <c r="N12" s="31">
        <f>COUNTIFS('Injicertify-Testcases'!A9:A5534,K12,'Injicertify-Testcases'!C9:C5534,"&lt;&gt;"&amp;"",'Injicertify-Testcases'!H9:H5534,"Fail")</f>
        <v>0</v>
      </c>
      <c r="O12" s="32">
        <f t="shared" si="1"/>
        <v>0</v>
      </c>
      <c r="Q12" s="20"/>
      <c r="R12" s="20"/>
      <c r="S12" s="65" t="s">
        <v>25</v>
      </c>
      <c r="T12" s="11"/>
    </row>
    <row r="13" ht="16.5" customHeight="1">
      <c r="B13" s="66"/>
      <c r="J13" s="51"/>
      <c r="K13" s="28" t="str">
        <f>IFERROR(__xludf.DUMMYFUNCTION("""COMPUTED_VALUE"""),"INJICERT-882")</f>
        <v>INJICERT-882</v>
      </c>
      <c r="L13" s="29">
        <f>COUNTIFS('Injicertify-Testcases'!A10:A5535,K13,'Injicertify-Testcases'!C10:C5535,"&lt;&gt;"&amp;"")</f>
        <v>12</v>
      </c>
      <c r="M13" s="30">
        <f>COUNTIFS('Injicertify-Testcases'!A10:A5535,K13,'Injicertify-Testcases'!C10:C5535,"&lt;&gt;"&amp;"",'Injicertify-Testcases'!H10:H5535,"Pass")</f>
        <v>12</v>
      </c>
      <c r="N13" s="31">
        <f>COUNTIFS('Injicertify-Testcases'!A10:A5535,K13,'Injicertify-Testcases'!C10:C5535,"&lt;&gt;"&amp;"",'Injicertify-Testcases'!H10:H5535,"Fail")</f>
        <v>0</v>
      </c>
      <c r="O13" s="32">
        <f t="shared" si="1"/>
        <v>0</v>
      </c>
      <c r="Q13" s="20"/>
      <c r="R13" s="20"/>
      <c r="T13" s="11"/>
    </row>
    <row r="14" ht="14.25" customHeight="1">
      <c r="C14" s="67"/>
      <c r="D14" s="67"/>
      <c r="E14" s="67"/>
      <c r="F14" s="67"/>
      <c r="G14" s="67"/>
      <c r="H14" s="67"/>
      <c r="K14" s="28" t="str">
        <f>IFERROR(__xludf.DUMMYFUNCTION("""COMPUTED_VALUE"""),"INJICERT-555")</f>
        <v>INJICERT-555</v>
      </c>
      <c r="L14" s="29">
        <f>COUNTIFS('Injicertify-Testcases'!A11:A5536,K14,'Injicertify-Testcases'!C11:C5536,"&lt;&gt;"&amp;"")</f>
        <v>37</v>
      </c>
      <c r="M14" s="30">
        <f>COUNTIFS('Injicertify-Testcases'!A11:A5536,K14,'Injicertify-Testcases'!C11:C5536,"&lt;&gt;"&amp;"",'Injicertify-Testcases'!H11:H5536,"Pass")</f>
        <v>37</v>
      </c>
      <c r="N14" s="31">
        <f>COUNTIFS('Injicertify-Testcases'!A11:A5536,K14,'Injicertify-Testcases'!C11:C5536,"&lt;&gt;"&amp;"",'Injicertify-Testcases'!H11:H5536,"Fail")</f>
        <v>0</v>
      </c>
      <c r="O14" s="32">
        <f t="shared" si="1"/>
        <v>0</v>
      </c>
      <c r="Q14" s="20"/>
      <c r="R14" s="20"/>
      <c r="T14" s="11"/>
    </row>
    <row r="15" ht="14.25" customHeight="1">
      <c r="B15" s="66"/>
      <c r="C15" s="66"/>
      <c r="D15" s="66"/>
      <c r="K15" s="28" t="str">
        <f>IFERROR(__xludf.DUMMYFUNCTION("""COMPUTED_VALUE"""),"INJICERT-661")</f>
        <v>INJICERT-661</v>
      </c>
      <c r="L15" s="29">
        <f>COUNTIFS('Injicertify-Testcases'!A12:A5537,K15,'Injicertify-Testcases'!C12:C5537,"&lt;&gt;"&amp;"")</f>
        <v>12</v>
      </c>
      <c r="M15" s="30">
        <f>COUNTIFS('Injicertify-Testcases'!A12:A5537,K15,'Injicertify-Testcases'!C12:C5537,"&lt;&gt;"&amp;"",'Injicertify-Testcases'!H12:H5537,"Pass")</f>
        <v>12</v>
      </c>
      <c r="N15" s="31">
        <f>COUNTIFS('Injicertify-Testcases'!A12:A5537,K15,'Injicertify-Testcases'!C12:C5537,"&lt;&gt;"&amp;"",'Injicertify-Testcases'!H12:H5537,"Fail")</f>
        <v>0</v>
      </c>
      <c r="O15" s="32">
        <f t="shared" si="1"/>
        <v>0</v>
      </c>
      <c r="Q15" s="20"/>
      <c r="R15" s="20"/>
      <c r="S15" s="10" t="s">
        <v>26</v>
      </c>
      <c r="T15" s="11"/>
    </row>
    <row r="16" ht="14.25" customHeight="1">
      <c r="B16" s="66"/>
      <c r="C16" s="66"/>
      <c r="D16" s="66"/>
      <c r="E16" s="66"/>
      <c r="F16" s="66"/>
      <c r="G16" s="66"/>
      <c r="H16" s="66"/>
      <c r="I16" s="66"/>
      <c r="J16" s="66"/>
      <c r="K16" s="28" t="str">
        <f>IFERROR(__xludf.DUMMYFUNCTION("""COMPUTED_VALUE"""),"INJICERT-871")</f>
        <v>INJICERT-871</v>
      </c>
      <c r="L16" s="29">
        <f>COUNTIFS('Injicertify-Testcases'!A13:A5538,K16,'Injicertify-Testcases'!C13:C5538,"&lt;&gt;"&amp;"")</f>
        <v>14</v>
      </c>
      <c r="M16" s="30">
        <f>COUNTIFS('Injicertify-Testcases'!A13:A5538,K16,'Injicertify-Testcases'!C13:C5538,"&lt;&gt;"&amp;"",'Injicertify-Testcases'!H13:H5538,"Pass")</f>
        <v>14</v>
      </c>
      <c r="N16" s="31">
        <f>COUNTIFS('Injicertify-Testcases'!A13:A5538,K16,'Injicertify-Testcases'!C13:C5538,"&lt;&gt;"&amp;"",'Injicertify-Testcases'!H13:H5538,"Fail")</f>
        <v>0</v>
      </c>
      <c r="O16" s="32">
        <f t="shared" si="1"/>
        <v>0</v>
      </c>
      <c r="Q16" s="20"/>
      <c r="R16" s="20"/>
      <c r="S16" s="38" t="s">
        <v>27</v>
      </c>
      <c r="T16" s="11"/>
    </row>
    <row r="17" ht="14.25" customHeight="1">
      <c r="B17" s="66"/>
      <c r="C17" s="66"/>
      <c r="D17" s="66"/>
      <c r="E17" s="66"/>
      <c r="F17" s="66"/>
      <c r="G17" s="66"/>
      <c r="H17" s="66"/>
      <c r="I17" s="66"/>
      <c r="J17" s="66"/>
      <c r="K17" s="28" t="str">
        <f>IFERROR(__xludf.DUMMYFUNCTION("""COMPUTED_VALUE"""),"INJICERT-769")</f>
        <v>INJICERT-769</v>
      </c>
      <c r="L17" s="29">
        <f>COUNTIFS('Injicertify-Testcases'!A14:A5539,K17,'Injicertify-Testcases'!C14:C5539,"&lt;&gt;"&amp;"")</f>
        <v>31</v>
      </c>
      <c r="M17" s="30">
        <f>COUNTIFS('Injicertify-Testcases'!A14:A5539,K17,'Injicertify-Testcases'!C14:C5539,"&lt;&gt;"&amp;"",'Injicertify-Testcases'!H14:H5539,"Pass")</f>
        <v>31</v>
      </c>
      <c r="N17" s="31">
        <f>COUNTIFS('Injicertify-Testcases'!A14:A5539,K17,'Injicertify-Testcases'!C14:C5539,"&lt;&gt;"&amp;"",'Injicertify-Testcases'!H14:H5539,"Fail")</f>
        <v>0</v>
      </c>
      <c r="O17" s="32">
        <f t="shared" si="1"/>
        <v>0</v>
      </c>
      <c r="Q17" s="20"/>
      <c r="R17" s="20"/>
      <c r="S17" s="38" t="s">
        <v>28</v>
      </c>
      <c r="T17" s="11"/>
    </row>
    <row r="18" ht="14.25" customHeight="1">
      <c r="B18" s="66"/>
      <c r="C18" s="66"/>
      <c r="D18" s="66"/>
      <c r="E18" s="66"/>
      <c r="F18" s="68"/>
      <c r="G18" s="66"/>
      <c r="H18" s="66"/>
      <c r="I18" s="66"/>
      <c r="J18" s="66"/>
      <c r="K18" s="28" t="str">
        <f>IFERROR(__xludf.DUMMYFUNCTION("""COMPUTED_VALUE"""),"INJICERT-977")</f>
        <v>INJICERT-977</v>
      </c>
      <c r="L18" s="29">
        <f>COUNTIFS('Injicertify-Testcases'!A15:A5540,K18,'Injicertify-Testcases'!C15:C5540,"&lt;&gt;"&amp;"")</f>
        <v>18</v>
      </c>
      <c r="M18" s="30">
        <f>COUNTIFS('Injicertify-Testcases'!A15:A5540,K18,'Injicertify-Testcases'!C15:C5540,"&lt;&gt;"&amp;"",'Injicertify-Testcases'!H15:H5540,"Pass")</f>
        <v>18</v>
      </c>
      <c r="N18" s="31">
        <f>COUNTIFS('Injicertify-Testcases'!A15:A5540,K18,'Injicertify-Testcases'!C15:C5540,"&lt;&gt;"&amp;"",'Injicertify-Testcases'!H15:H5540,"Fail")</f>
        <v>0</v>
      </c>
      <c r="O18" s="32">
        <f t="shared" si="1"/>
        <v>0</v>
      </c>
      <c r="Q18" s="20"/>
      <c r="R18" s="20"/>
      <c r="S18" s="38" t="s">
        <v>29</v>
      </c>
      <c r="T18" s="11"/>
    </row>
    <row r="19" ht="14.25" customHeight="1">
      <c r="B19" s="66"/>
      <c r="C19" s="66"/>
      <c r="D19" s="66"/>
      <c r="E19" s="66"/>
      <c r="F19" s="66"/>
      <c r="G19" s="66"/>
      <c r="H19" s="66"/>
      <c r="I19" s="66"/>
      <c r="J19" s="66"/>
      <c r="K19" s="28" t="str">
        <f>IFERROR(__xludf.DUMMYFUNCTION("""COMPUTED_VALUE"""),"INJICERT-522")</f>
        <v>INJICERT-522</v>
      </c>
      <c r="L19" s="29">
        <f>COUNTIFS('Injicertify-Testcases'!A16:A5541,K19,'Injicertify-Testcases'!C16:C5541,"&lt;&gt;"&amp;"")</f>
        <v>17</v>
      </c>
      <c r="M19" s="30">
        <f>COUNTIFS('Injicertify-Testcases'!A16:A5541,K19,'Injicertify-Testcases'!C16:C5541,"&lt;&gt;"&amp;"",'Injicertify-Testcases'!H16:H5541,"Pass")</f>
        <v>17</v>
      </c>
      <c r="N19" s="31">
        <f>COUNTIFS('Injicertify-Testcases'!A16:A5541,K19,'Injicertify-Testcases'!C16:C5541,"&lt;&gt;"&amp;"",'Injicertify-Testcases'!H16:H5541,"Fail")</f>
        <v>0</v>
      </c>
      <c r="O19" s="32">
        <f t="shared" si="1"/>
        <v>0</v>
      </c>
      <c r="Q19" s="20"/>
      <c r="R19" s="20"/>
      <c r="S19" s="38" t="s">
        <v>30</v>
      </c>
      <c r="T19" s="11"/>
    </row>
    <row r="20" ht="14.25" customHeight="1">
      <c r="B20" s="66"/>
      <c r="C20" s="66"/>
      <c r="D20" s="66"/>
      <c r="E20" s="66"/>
      <c r="F20" s="66"/>
      <c r="G20" s="66"/>
      <c r="H20" s="66"/>
      <c r="I20" s="66"/>
      <c r="J20" s="66"/>
      <c r="K20" s="28" t="str">
        <f>IFERROR(__xludf.DUMMYFUNCTION("""COMPUTED_VALUE"""),"INJICERT-61")</f>
        <v>INJICERT-61</v>
      </c>
      <c r="L20" s="40">
        <f>COUNTIFS('Injicertify-Testcases'!A17:A5542,K20,'Injicertify-Testcases'!C17:C5542,"&lt;&gt;"&amp;"")</f>
        <v>10</v>
      </c>
      <c r="M20" s="25">
        <f>COUNTIFS('Injicertify-Testcases'!A17:A5542,K20,'Injicertify-Testcases'!C17:C5542,"&lt;&gt;"&amp;"",'Injicertify-Testcases'!H17:H5542,"Pass")</f>
        <v>10</v>
      </c>
      <c r="N20" s="69">
        <f>COUNTIFS('Injicertify-Testcases'!A17:A5542,K20,'Injicertify-Testcases'!C17:C5542,"&lt;&gt;"&amp;"",'Injicertify-Testcases'!H17:H5542,"Fail")</f>
        <v>0</v>
      </c>
      <c r="O20" s="70">
        <f t="shared" si="1"/>
        <v>0</v>
      </c>
      <c r="Q20" s="20"/>
      <c r="R20" s="20"/>
      <c r="S20" s="65" t="s">
        <v>31</v>
      </c>
      <c r="T20" s="11"/>
    </row>
    <row r="21" ht="14.25" customHeight="1">
      <c r="B21" s="66"/>
      <c r="C21" s="66"/>
      <c r="D21" s="66"/>
      <c r="E21" s="66"/>
      <c r="F21" s="66"/>
      <c r="G21" s="66"/>
      <c r="H21" s="66"/>
      <c r="I21" s="66"/>
      <c r="J21" s="66"/>
      <c r="K21" s="28" t="str">
        <f>IFERROR(__xludf.DUMMYFUNCTION("""COMPUTED_VALUE"""),"INJICERT-1033")</f>
        <v>INJICERT-1033</v>
      </c>
      <c r="L21" s="40">
        <f>COUNTIFS('Injicertify-Testcases'!A18:A5543,K21,'Injicertify-Testcases'!C18:C5543,"&lt;&gt;"&amp;"")</f>
        <v>19</v>
      </c>
      <c r="M21" s="25">
        <f>COUNTIFS('Injicertify-Testcases'!A18:A5543,K21,'Injicertify-Testcases'!C18:C5543,"&lt;&gt;"&amp;"",'Injicertify-Testcases'!H18:H5543,"Pass")</f>
        <v>19</v>
      </c>
      <c r="N21" s="69">
        <f>COUNTIFS('Injicertify-Testcases'!A18:A5543,K21,'Injicertify-Testcases'!C18:C5543,"&lt;&gt;"&amp;"",'Injicertify-Testcases'!H18:H5543,"Fail")</f>
        <v>0</v>
      </c>
      <c r="O21" s="70">
        <f t="shared" si="1"/>
        <v>0</v>
      </c>
      <c r="Q21" s="20"/>
      <c r="R21" s="20"/>
      <c r="S21" s="65" t="s">
        <v>32</v>
      </c>
      <c r="T21" s="11"/>
    </row>
    <row r="22" ht="14.25" customHeight="1">
      <c r="B22" s="71"/>
      <c r="C22" s="71"/>
      <c r="D22" s="71"/>
      <c r="K22" s="28" t="str">
        <f>IFERROR(__xludf.DUMMYFUNCTION("""COMPUTED_VALUE"""),"INJICERT-1116")</f>
        <v>INJICERT-1116</v>
      </c>
      <c r="L22" s="40">
        <f>COUNTIFS('Injicertify-Testcases'!A19:A5544,K22,'Injicertify-Testcases'!C19:C5544,"&lt;&gt;"&amp;"")</f>
        <v>9</v>
      </c>
      <c r="M22" s="25">
        <f>COUNTIFS('Injicertify-Testcases'!A19:A5544,K22,'Injicertify-Testcases'!C19:C5544,"&lt;&gt;"&amp;"",'Injicertify-Testcases'!H19:H5544,"Pass")</f>
        <v>9</v>
      </c>
      <c r="N22" s="69">
        <f>COUNTIFS('Injicertify-Testcases'!A19:A5544,K22,'Injicertify-Testcases'!C19:C5544,"&lt;&gt;"&amp;"",'Injicertify-Testcases'!H19:H5544,"Fail")</f>
        <v>0</v>
      </c>
      <c r="O22" s="70">
        <f t="shared" si="1"/>
        <v>0</v>
      </c>
      <c r="Q22" s="20"/>
      <c r="R22" s="20"/>
      <c r="S22" s="38" t="s">
        <v>33</v>
      </c>
      <c r="T22" s="11"/>
    </row>
    <row r="23" ht="14.25" customHeight="1">
      <c r="B23" s="66"/>
      <c r="C23" s="66"/>
      <c r="D23" s="66"/>
      <c r="K23" s="28" t="str">
        <f>IFERROR(__xludf.DUMMYFUNCTION("""COMPUTED_VALUE"""),"INJICERT-792")</f>
        <v>INJICERT-792</v>
      </c>
      <c r="L23" s="40">
        <f>COUNTIFS('Injicertify-Testcases'!A20:A5545,K23,'Injicertify-Testcases'!C20:C5545,"&lt;&gt;"&amp;"")</f>
        <v>25</v>
      </c>
      <c r="M23" s="25">
        <f>COUNTIFS('Injicertify-Testcases'!A20:A5545,K23,'Injicertify-Testcases'!C20:C5545,"&lt;&gt;"&amp;"",'Injicertify-Testcases'!H20:H5545,"Pass")</f>
        <v>23</v>
      </c>
      <c r="N23" s="69">
        <f>COUNTIFS('Injicertify-Testcases'!A20:A5545,K23,'Injicertify-Testcases'!C20:C5545,"&lt;&gt;"&amp;"",'Injicertify-Testcases'!H20:H5545,"Fail")</f>
        <v>2</v>
      </c>
      <c r="O23" s="70">
        <f t="shared" si="1"/>
        <v>0</v>
      </c>
      <c r="Q23" s="20"/>
      <c r="R23" s="20"/>
      <c r="S23" s="38" t="s">
        <v>34</v>
      </c>
      <c r="T23" s="11"/>
    </row>
    <row r="24" ht="14.25" customHeight="1">
      <c r="B24" s="66"/>
      <c r="C24" s="66"/>
      <c r="D24" s="66"/>
      <c r="K24" s="28" t="str">
        <f>IFERROR(__xludf.DUMMYFUNCTION("""COMPUTED_VALUE"""),"INJICERT-1192")</f>
        <v>INJICERT-1192</v>
      </c>
      <c r="L24" s="40">
        <f>COUNTIFS('Injicertify-Testcases'!A21:A5546,K24,'Injicertify-Testcases'!C21:C5546,"&lt;&gt;"&amp;"")</f>
        <v>8</v>
      </c>
      <c r="M24" s="25">
        <f>COUNTIFS('Injicertify-Testcases'!A21:A5546,K24,'Injicertify-Testcases'!C21:C5546,"&lt;&gt;"&amp;"",'Injicertify-Testcases'!H21:H5546,"Pass")</f>
        <v>8</v>
      </c>
      <c r="N24" s="69">
        <f>COUNTIFS('Injicertify-Testcases'!A21:A5546,K24,'Injicertify-Testcases'!C21:C5546,"&lt;&gt;"&amp;"",'Injicertify-Testcases'!H21:H5546,"Fail")</f>
        <v>0</v>
      </c>
      <c r="O24" s="70">
        <f t="shared" si="1"/>
        <v>0</v>
      </c>
      <c r="Q24" s="20"/>
      <c r="R24" s="20"/>
      <c r="S24" s="38" t="s">
        <v>35</v>
      </c>
      <c r="T24" s="11"/>
    </row>
    <row r="25" ht="14.25" customHeight="1">
      <c r="B25" s="66"/>
      <c r="C25" s="66"/>
      <c r="D25" s="66"/>
      <c r="K25" s="28" t="str">
        <f>IFERROR(__xludf.DUMMYFUNCTION("""COMPUTED_VALUE"""),"INJICERT-1172")</f>
        <v>INJICERT-1172</v>
      </c>
      <c r="L25" s="40">
        <f>COUNTIFS('Injicertify-Testcases'!A22:A5547,K25,'Injicertify-Testcases'!C22:C5547,"&lt;&gt;"&amp;"")</f>
        <v>6</v>
      </c>
      <c r="M25" s="25">
        <f>COUNTIFS('Injicertify-Testcases'!A22:A5547,K25,'Injicertify-Testcases'!C22:C5547,"&lt;&gt;"&amp;"",'Injicertify-Testcases'!H22:H5547,"Pass")</f>
        <v>6</v>
      </c>
      <c r="N25" s="69">
        <f>COUNTIFS('Injicertify-Testcases'!A22:A5547,K25,'Injicertify-Testcases'!C22:C5547,"&lt;&gt;"&amp;"",'Injicertify-Testcases'!H22:H5547,"Fail")</f>
        <v>0</v>
      </c>
      <c r="O25" s="70">
        <f t="shared" si="1"/>
        <v>0</v>
      </c>
      <c r="Q25" s="20"/>
      <c r="R25" s="20"/>
      <c r="S25" s="38" t="s">
        <v>36</v>
      </c>
      <c r="T25" s="11"/>
    </row>
    <row r="26" ht="14.25" customHeight="1">
      <c r="B26" s="71"/>
      <c r="C26" s="71"/>
      <c r="D26" s="71"/>
      <c r="K26" s="28" t="str">
        <f>IFERROR(__xludf.DUMMYFUNCTION("""COMPUTED_VALUE"""),"INJICERT-1237")</f>
        <v>INJICERT-1237</v>
      </c>
      <c r="L26" s="40">
        <f>COUNTIFS('Injicertify-Testcases'!A23:A5548,K26,'Injicertify-Testcases'!C23:C5548,"&lt;&gt;"&amp;"")</f>
        <v>19</v>
      </c>
      <c r="M26" s="25">
        <f>COUNTIFS('Injicertify-Testcases'!A23:A5548,K26,'Injicertify-Testcases'!C23:C5548,"&lt;&gt;"&amp;"",'Injicertify-Testcases'!H23:H5548,"Pass")</f>
        <v>18</v>
      </c>
      <c r="N26" s="69">
        <f>COUNTIFS('Injicertify-Testcases'!A23:A5548,K26,'Injicertify-Testcases'!C23:C5548,"&lt;&gt;"&amp;"",'Injicertify-Testcases'!H23:H5548,"Fail")</f>
        <v>1</v>
      </c>
      <c r="O26" s="70">
        <f t="shared" si="1"/>
        <v>0</v>
      </c>
      <c r="Q26" s="20"/>
      <c r="R26" s="20"/>
      <c r="T26" s="11"/>
    </row>
    <row r="27" ht="14.25" customHeight="1">
      <c r="B27" s="66"/>
      <c r="C27" s="66"/>
      <c r="D27" s="66"/>
      <c r="K27" s="28" t="str">
        <f>IFERROR(__xludf.DUMMYFUNCTION("""COMPUTED_VALUE"""),"INJICERT-1207")</f>
        <v>INJICERT-1207</v>
      </c>
      <c r="L27" s="40">
        <f>COUNTIFS('Injicertify-Testcases'!A24:A5549,K27,'Injicertify-Testcases'!C24:C5549,"&lt;&gt;"&amp;"")</f>
        <v>12</v>
      </c>
      <c r="M27" s="25">
        <f>COUNTIFS('Injicertify-Testcases'!A24:A5549,K27,'Injicertify-Testcases'!C24:C5549,"&lt;&gt;"&amp;"",'Injicertify-Testcases'!H24:H5549,"Pass")</f>
        <v>10</v>
      </c>
      <c r="N27" s="69">
        <f>COUNTIFS('Injicertify-Testcases'!A24:A5549,K27,'Injicertify-Testcases'!C24:C5549,"&lt;&gt;"&amp;"",'Injicertify-Testcases'!H24:H5549,"Fail")</f>
        <v>2</v>
      </c>
      <c r="O27" s="70">
        <f t="shared" si="1"/>
        <v>0</v>
      </c>
      <c r="Q27" s="20"/>
      <c r="R27" s="20"/>
      <c r="T27" s="11"/>
    </row>
    <row r="28" ht="14.25" customHeight="1">
      <c r="B28" s="66"/>
      <c r="C28" s="66"/>
      <c r="D28" s="66"/>
      <c r="K28" s="28" t="str">
        <f>IFERROR(__xludf.DUMMYFUNCTION("""COMPUTED_VALUE"""),"Injicert-1259")</f>
        <v>Injicert-1259</v>
      </c>
      <c r="L28" s="40">
        <f>COUNTIFS('Injicertify-Testcases'!A25:A5550,K28,'Injicertify-Testcases'!C25:C5550,"&lt;&gt;"&amp;"")</f>
        <v>8</v>
      </c>
      <c r="M28" s="25">
        <f>COUNTIFS('Injicertify-Testcases'!A25:A5550,K28,'Injicertify-Testcases'!C25:C5550,"&lt;&gt;"&amp;"",'Injicertify-Testcases'!H25:H5550,"Pass")</f>
        <v>7</v>
      </c>
      <c r="N28" s="69">
        <f>COUNTIFS('Injicertify-Testcases'!A25:A5550,K28,'Injicertify-Testcases'!C25:C5550,"&lt;&gt;"&amp;"",'Injicertify-Testcases'!H25:H5550,"Fail")</f>
        <v>1</v>
      </c>
      <c r="O28" s="70">
        <f t="shared" si="1"/>
        <v>0</v>
      </c>
      <c r="Q28" s="20"/>
      <c r="R28" s="20"/>
      <c r="T28" s="11"/>
    </row>
    <row r="29" ht="14.25" customHeight="1">
      <c r="B29" s="66"/>
      <c r="C29" s="66"/>
      <c r="D29" s="66"/>
      <c r="K29" s="72" t="str">
        <f>IFERROR(__xludf.DUMMYFUNCTION("""COMPUTED_VALUE"""),"INJICERT-1147")</f>
        <v>INJICERT-1147</v>
      </c>
      <c r="L29" s="40">
        <f>COUNTIFS('Injicertify-Testcases'!A26:A5551,K29,'Injicertify-Testcases'!C26:C5551,"&lt;&gt;"&amp;"")</f>
        <v>10</v>
      </c>
      <c r="M29" s="25">
        <f>COUNTIFS('Injicertify-Testcases'!A26:A5551,K29,'Injicertify-Testcases'!C26:C5551,"&lt;&gt;"&amp;"",'Injicertify-Testcases'!H26:H5551,"Pass")</f>
        <v>10</v>
      </c>
      <c r="N29" s="69">
        <f>COUNTIFS('Injicertify-Testcases'!A26:A5551,K29,'Injicertify-Testcases'!C26:C5551,"&lt;&gt;"&amp;"",'Injicertify-Testcases'!H26:H5551,"Fail")</f>
        <v>0</v>
      </c>
      <c r="O29" s="70">
        <f t="shared" si="1"/>
        <v>0</v>
      </c>
      <c r="Q29" s="20"/>
      <c r="R29" s="20"/>
      <c r="T29" s="11"/>
    </row>
    <row r="30" ht="14.25" customHeight="1">
      <c r="B30" s="71"/>
      <c r="C30" s="71"/>
      <c r="D30" s="71"/>
      <c r="K30" s="72" t="str">
        <f>IFERROR(__xludf.DUMMYFUNCTION("""COMPUTED_VALUE"""),"INJICERT-1148")</f>
        <v>INJICERT-1148</v>
      </c>
      <c r="L30" s="40">
        <f>COUNTIFS('Injicertify-Testcases'!A27:A5552,K30,'Injicertify-Testcases'!C27:C5552,"&lt;&gt;"&amp;"")</f>
        <v>10</v>
      </c>
      <c r="M30" s="25">
        <f>COUNTIFS('Injicertify-Testcases'!A27:A5552,K30,'Injicertify-Testcases'!C27:C5552,"&lt;&gt;"&amp;"",'Injicertify-Testcases'!H27:H5552,"Pass")</f>
        <v>10</v>
      </c>
      <c r="N30" s="69">
        <f>COUNTIFS('Injicertify-Testcases'!A27:A5552,K30,'Injicertify-Testcases'!C27:C5552,"&lt;&gt;"&amp;"",'Injicertify-Testcases'!H27:H5552,"Fail")</f>
        <v>0</v>
      </c>
      <c r="O30" s="70">
        <f t="shared" si="1"/>
        <v>0</v>
      </c>
      <c r="Q30" s="20"/>
      <c r="R30" s="20"/>
      <c r="T30" s="11"/>
    </row>
    <row r="31" ht="14.25" customHeight="1">
      <c r="B31" s="71"/>
      <c r="C31" s="71"/>
      <c r="D31" s="71"/>
      <c r="K31" s="72" t="str">
        <f>IFERROR(__xludf.DUMMYFUNCTION("""COMPUTED_VALUE"""),"INJICERT-981")</f>
        <v>INJICERT-981</v>
      </c>
      <c r="L31" s="40">
        <f>COUNTIFS('Injicertify-Testcases'!A28:A5553,K31,'Injicertify-Testcases'!C28:C5553,"&lt;&gt;"&amp;"")</f>
        <v>8</v>
      </c>
      <c r="M31" s="25">
        <f>COUNTIFS('Injicertify-Testcases'!A28:A5553,K31,'Injicertify-Testcases'!C28:C5553,"&lt;&gt;"&amp;"",'Injicertify-Testcases'!H28:H5553,"Pass")</f>
        <v>8</v>
      </c>
      <c r="N31" s="69">
        <f>COUNTIFS('Injicertify-Testcases'!A28:A5553,K31,'Injicertify-Testcases'!C28:C5553,"&lt;&gt;"&amp;"",'Injicertify-Testcases'!H28:H5553,"Fail")</f>
        <v>0</v>
      </c>
      <c r="O31" s="70">
        <f t="shared" si="1"/>
        <v>0</v>
      </c>
      <c r="Q31" s="20"/>
      <c r="R31" s="20"/>
      <c r="T31" s="11"/>
    </row>
    <row r="32" ht="14.25" customHeight="1">
      <c r="B32" s="71"/>
      <c r="C32" s="71"/>
      <c r="D32" s="71"/>
      <c r="K32" s="72" t="str">
        <f>IFERROR(__xludf.DUMMYFUNCTION("""COMPUTED_VALUE"""),"Injicert-990")</f>
        <v>Injicert-990</v>
      </c>
      <c r="L32" s="40">
        <f>COUNTIFS('Injicertify-Testcases'!A29:A5554,K32,'Injicertify-Testcases'!C29:C5554,"&lt;&gt;"&amp;"")</f>
        <v>21</v>
      </c>
      <c r="M32" s="25">
        <f>COUNTIFS('Injicertify-Testcases'!A29:A5554,K32,'Injicertify-Testcases'!C29:C5554,"&lt;&gt;"&amp;"",'Injicertify-Testcases'!H29:H5554,"Pass")</f>
        <v>18</v>
      </c>
      <c r="N32" s="69">
        <f>COUNTIFS('Injicertify-Testcases'!A29:A5554,K32,'Injicertify-Testcases'!C29:C5554,"&lt;&gt;"&amp;"",'Injicertify-Testcases'!H29:H5554,"Fail")</f>
        <v>3</v>
      </c>
      <c r="O32" s="70">
        <f t="shared" si="1"/>
        <v>0</v>
      </c>
      <c r="Q32" s="20"/>
      <c r="R32" s="20"/>
      <c r="T32" s="11"/>
    </row>
    <row r="33" ht="14.25" customHeight="1">
      <c r="K33" s="72" t="str">
        <f>IFERROR(__xludf.DUMMYFUNCTION("""COMPUTED_VALUE"""),"INJICERT-1149")</f>
        <v>INJICERT-1149</v>
      </c>
      <c r="L33" s="40">
        <f>COUNTIFS('Injicertify-Testcases'!A30:A5555,K33,'Injicertify-Testcases'!C30:C5555,"&lt;&gt;"&amp;"")</f>
        <v>8</v>
      </c>
      <c r="M33" s="25">
        <f>COUNTIFS('Injicertify-Testcases'!A30:A5555,K33,'Injicertify-Testcases'!C30:C5555,"&lt;&gt;"&amp;"",'Injicertify-Testcases'!H30:H5555,"Pass")</f>
        <v>8</v>
      </c>
      <c r="N33" s="69">
        <f>COUNTIFS('Injicertify-Testcases'!A30:A5555,K33,'Injicertify-Testcases'!C30:C5555,"&lt;&gt;"&amp;"",'Injicertify-Testcases'!H30:H5555,"Fail")</f>
        <v>0</v>
      </c>
      <c r="O33" s="70">
        <f t="shared" si="1"/>
        <v>0</v>
      </c>
      <c r="Q33" s="20"/>
      <c r="R33" s="20"/>
      <c r="T33" s="11"/>
    </row>
    <row r="34" ht="14.25" customHeight="1">
      <c r="K34" s="72" t="str">
        <f>IFERROR(__xludf.DUMMYFUNCTION("""COMPUTED_VALUE"""),"INJICERT-1295")</f>
        <v>INJICERT-1295</v>
      </c>
      <c r="L34" s="40">
        <f>COUNTIFS('Injicertify-Testcases'!A31:A5556,K34,'Injicertify-Testcases'!C31:C5556,"&lt;&gt;"&amp;"")</f>
        <v>7</v>
      </c>
      <c r="M34" s="25">
        <f>COUNTIFS('Injicertify-Testcases'!A31:A5556,K34,'Injicertify-Testcases'!C31:C5556,"&lt;&gt;"&amp;"",'Injicertify-Testcases'!H31:H5556,"Pass")</f>
        <v>7</v>
      </c>
      <c r="N34" s="69">
        <f>COUNTIFS('Injicertify-Testcases'!A31:A5556,K34,'Injicertify-Testcases'!C31:C5556,"&lt;&gt;"&amp;"",'Injicertify-Testcases'!H31:H5556,"Fail")</f>
        <v>0</v>
      </c>
      <c r="O34" s="70">
        <f t="shared" si="1"/>
        <v>0</v>
      </c>
      <c r="Q34" s="20"/>
      <c r="R34" s="20"/>
      <c r="T34" s="11"/>
    </row>
    <row r="35" ht="14.25" customHeight="1">
      <c r="K35" s="72" t="str">
        <f>IFERROR(__xludf.DUMMYFUNCTION("""COMPUTED_VALUE"""),"Injicert-1224")</f>
        <v>Injicert-1224</v>
      </c>
      <c r="L35" s="40">
        <f>COUNTIFS('Injicertify-Testcases'!A32:A5557,K35,'Injicertify-Testcases'!C32:C5557,"&lt;&gt;"&amp;"")</f>
        <v>10</v>
      </c>
      <c r="M35" s="25">
        <f>COUNTIFS('Injicertify-Testcases'!A32:A5557,K35,'Injicertify-Testcases'!C32:C5557,"&lt;&gt;"&amp;"",'Injicertify-Testcases'!H32:H5557,"Pass")</f>
        <v>8</v>
      </c>
      <c r="N35" s="69">
        <f>COUNTIFS('Injicertify-Testcases'!A32:A5557,K35,'Injicertify-Testcases'!C32:C5557,"&lt;&gt;"&amp;"",'Injicertify-Testcases'!H32:H5557,"Fail")</f>
        <v>2</v>
      </c>
      <c r="O35" s="70">
        <f t="shared" si="1"/>
        <v>0</v>
      </c>
      <c r="Q35" s="20"/>
      <c r="R35" s="20"/>
      <c r="T35" s="11"/>
    </row>
    <row r="36" ht="14.25" customHeight="1">
      <c r="K36" s="72" t="str">
        <f>IFERROR(__xludf.DUMMYFUNCTION("""COMPUTED_VALUE"""),"Injicert-1225")</f>
        <v>Injicert-1225</v>
      </c>
      <c r="L36" s="40">
        <f>COUNTIFS('Injicertify-Testcases'!A33:A5558,K36,'Injicertify-Testcases'!C33:C5558,"&lt;&gt;"&amp;"")</f>
        <v>12</v>
      </c>
      <c r="M36" s="25">
        <f>COUNTIFS('Injicertify-Testcases'!A33:A5558,K36,'Injicertify-Testcases'!C33:C5558,"&lt;&gt;"&amp;"",'Injicertify-Testcases'!H33:H5558,"Pass")</f>
        <v>10</v>
      </c>
      <c r="N36" s="69">
        <f>COUNTIFS('Injicertify-Testcases'!A33:A5558,K36,'Injicertify-Testcases'!C33:C5558,"&lt;&gt;"&amp;"",'Injicertify-Testcases'!H33:H5558,"Fail")</f>
        <v>2</v>
      </c>
      <c r="O36" s="70">
        <f t="shared" si="1"/>
        <v>0</v>
      </c>
      <c r="Q36" s="20"/>
      <c r="R36" s="20"/>
      <c r="T36" s="11"/>
    </row>
    <row r="37" ht="14.25" customHeight="1">
      <c r="K37" s="72" t="str">
        <f>IFERROR(__xludf.DUMMYFUNCTION("""COMPUTED_VALUE"""),"INJICERT-1227")</f>
        <v>INJICERT-1227</v>
      </c>
      <c r="L37" s="40">
        <f>COUNTIFS('Injicertify-Testcases'!A34:A5559,K37,'Injicertify-Testcases'!C34:C5559,"&lt;&gt;"&amp;"")</f>
        <v>6</v>
      </c>
      <c r="M37" s="25">
        <f>COUNTIFS('Injicertify-Testcases'!A34:A5559,K37,'Injicertify-Testcases'!C34:C5559,"&lt;&gt;"&amp;"",'Injicertify-Testcases'!H34:H5559,"Pass")</f>
        <v>6</v>
      </c>
      <c r="N37" s="69">
        <f>COUNTIFS('Injicertify-Testcases'!A34:A5559,K37,'Injicertify-Testcases'!C34:C5559,"&lt;&gt;"&amp;"",'Injicertify-Testcases'!H34:H5559,"Fail")</f>
        <v>0</v>
      </c>
      <c r="O37" s="70">
        <f t="shared" si="1"/>
        <v>0</v>
      </c>
      <c r="Q37" s="20"/>
      <c r="R37" s="20"/>
      <c r="T37" s="11"/>
    </row>
    <row r="38" ht="14.25" customHeight="1">
      <c r="K38" s="72" t="str">
        <f>IFERROR(__xludf.DUMMYFUNCTION("""COMPUTED_VALUE"""),"INJICERT-1197")</f>
        <v>INJICERT-1197</v>
      </c>
      <c r="L38" s="40">
        <f>COUNTIFS('Injicertify-Testcases'!A35:A5560,K38,'Injicertify-Testcases'!C35:C5560,"&lt;&gt;"&amp;"")</f>
        <v>1</v>
      </c>
      <c r="M38" s="25">
        <f>COUNTIFS('Injicertify-Testcases'!A35:A5560,K38,'Injicertify-Testcases'!C35:C5560,"&lt;&gt;"&amp;"",'Injicertify-Testcases'!H35:H5560,"Pass")</f>
        <v>0</v>
      </c>
      <c r="N38" s="69">
        <f>COUNTIFS('Injicertify-Testcases'!A35:A5560,K38,'Injicertify-Testcases'!C35:C5560,"&lt;&gt;"&amp;"",'Injicertify-Testcases'!H35:H5560,"Fail")</f>
        <v>1</v>
      </c>
      <c r="O38" s="70">
        <f t="shared" si="1"/>
        <v>0</v>
      </c>
      <c r="Q38" s="20"/>
      <c r="R38" s="20"/>
      <c r="T38" s="11"/>
    </row>
    <row r="39" ht="14.25" customHeight="1">
      <c r="K39" s="73" t="str">
        <f>IFERROR(__xludf.DUMMYFUNCTION("""COMPUTED_VALUE"""),"IINJICERT-1327")</f>
        <v>IINJICERT-1327</v>
      </c>
      <c r="Q39" s="20"/>
      <c r="R39" s="20"/>
      <c r="T39" s="11"/>
    </row>
    <row r="40" ht="14.25" customHeight="1">
      <c r="Q40" s="20"/>
      <c r="R40" s="20"/>
      <c r="T40" s="11"/>
    </row>
    <row r="41" ht="14.25" customHeight="1">
      <c r="Q41" s="20"/>
      <c r="R41" s="20"/>
      <c r="T41" s="11"/>
    </row>
    <row r="42" ht="14.25" customHeight="1">
      <c r="Q42" s="20"/>
      <c r="R42" s="20"/>
      <c r="T42" s="11"/>
    </row>
    <row r="43" ht="14.25" customHeight="1">
      <c r="Q43" s="20"/>
      <c r="R43" s="20"/>
      <c r="T43" s="11"/>
    </row>
    <row r="44" ht="14.25" customHeight="1">
      <c r="Q44" s="20"/>
      <c r="R44" s="20"/>
      <c r="T44" s="11"/>
    </row>
    <row r="45" ht="14.25" customHeight="1">
      <c r="Q45" s="20"/>
      <c r="R45" s="20"/>
      <c r="T45" s="11"/>
    </row>
    <row r="46" ht="14.25" customHeight="1">
      <c r="Q46" s="20"/>
      <c r="R46" s="20"/>
      <c r="T46" s="11"/>
    </row>
    <row r="47" ht="14.25" customHeight="1">
      <c r="Q47" s="20"/>
      <c r="R47" s="20"/>
      <c r="T47" s="11"/>
    </row>
    <row r="48" ht="14.25" customHeight="1">
      <c r="Q48" s="20"/>
      <c r="R48" s="20"/>
      <c r="T48" s="11"/>
    </row>
    <row r="49" ht="14.25" customHeight="1">
      <c r="Q49" s="20"/>
      <c r="R49" s="20"/>
      <c r="T49" s="11"/>
    </row>
    <row r="50" ht="14.25" customHeight="1">
      <c r="Q50" s="20"/>
      <c r="R50" s="20"/>
      <c r="T50" s="11"/>
    </row>
    <row r="51" ht="14.25" customHeight="1">
      <c r="Q51" s="20"/>
      <c r="R51" s="20"/>
      <c r="T51" s="11"/>
    </row>
    <row r="52" ht="14.25" customHeight="1">
      <c r="Q52" s="20"/>
      <c r="R52" s="20"/>
      <c r="T52" s="11"/>
    </row>
    <row r="53" ht="14.25" customHeight="1">
      <c r="Q53" s="20"/>
      <c r="R53" s="20"/>
      <c r="T53" s="11"/>
    </row>
    <row r="54" ht="14.25" customHeight="1">
      <c r="Q54" s="20"/>
      <c r="R54" s="20"/>
      <c r="T54" s="11"/>
    </row>
    <row r="55" ht="14.25" customHeight="1">
      <c r="Q55" s="20"/>
      <c r="R55" s="20"/>
      <c r="T55" s="11"/>
    </row>
    <row r="56" ht="14.25" customHeight="1">
      <c r="Q56" s="20"/>
      <c r="R56" s="20"/>
      <c r="T56" s="11"/>
    </row>
    <row r="57" ht="14.25" customHeight="1">
      <c r="Q57" s="20"/>
      <c r="R57" s="20"/>
      <c r="T57" s="11"/>
    </row>
    <row r="58" ht="14.25" customHeight="1">
      <c r="Q58" s="20"/>
      <c r="R58" s="20"/>
      <c r="T58" s="11"/>
    </row>
    <row r="59" ht="14.25" customHeight="1">
      <c r="Q59" s="20"/>
      <c r="R59" s="20"/>
      <c r="T59" s="11"/>
    </row>
    <row r="60" ht="14.25" customHeight="1">
      <c r="Q60" s="20"/>
      <c r="R60" s="20"/>
      <c r="T60" s="11"/>
    </row>
    <row r="61" ht="14.25" customHeight="1">
      <c r="Q61" s="20"/>
      <c r="R61" s="20"/>
      <c r="T61" s="11"/>
    </row>
    <row r="62" ht="14.25" customHeight="1">
      <c r="Q62" s="20"/>
      <c r="R62" s="20"/>
      <c r="T62" s="11"/>
    </row>
    <row r="63" ht="14.25" customHeight="1">
      <c r="Q63" s="20"/>
      <c r="R63" s="20"/>
      <c r="T63" s="11"/>
    </row>
    <row r="64" ht="14.25" customHeight="1">
      <c r="Q64" s="20"/>
      <c r="R64" s="20"/>
      <c r="T64" s="11"/>
    </row>
    <row r="65" ht="14.25" customHeight="1">
      <c r="Q65" s="20"/>
      <c r="R65" s="20"/>
      <c r="T65" s="11"/>
    </row>
    <row r="66" ht="14.25" customHeight="1">
      <c r="Q66" s="20"/>
      <c r="R66" s="20"/>
      <c r="T66" s="11"/>
    </row>
    <row r="67" ht="14.25" customHeight="1">
      <c r="Q67" s="20"/>
      <c r="R67" s="20"/>
      <c r="T67" s="11"/>
    </row>
    <row r="68" ht="14.25" customHeight="1">
      <c r="Q68" s="20"/>
      <c r="R68" s="20"/>
      <c r="T68" s="11"/>
    </row>
    <row r="69" ht="14.25" customHeight="1">
      <c r="Q69" s="20"/>
      <c r="R69" s="20"/>
      <c r="T69" s="11"/>
    </row>
    <row r="70" ht="14.25" customHeight="1">
      <c r="Q70" s="20"/>
      <c r="R70" s="20"/>
      <c r="T70" s="11"/>
    </row>
    <row r="71" ht="14.25" customHeight="1">
      <c r="Q71" s="20"/>
      <c r="R71" s="20"/>
      <c r="T71" s="11"/>
    </row>
    <row r="72" ht="14.25" customHeight="1">
      <c r="Q72" s="20"/>
      <c r="R72" s="20"/>
      <c r="T72" s="11"/>
    </row>
    <row r="73" ht="14.25" customHeight="1">
      <c r="Q73" s="20"/>
      <c r="R73" s="20"/>
      <c r="T73" s="11"/>
    </row>
    <row r="74" ht="14.25" customHeight="1">
      <c r="Q74" s="20"/>
      <c r="R74" s="20"/>
      <c r="T74" s="11"/>
    </row>
    <row r="75" ht="14.25" customHeight="1">
      <c r="Q75" s="20"/>
      <c r="R75" s="20"/>
      <c r="T75" s="11"/>
    </row>
    <row r="76" ht="14.25" customHeight="1">
      <c r="Q76" s="20"/>
      <c r="R76" s="20"/>
      <c r="T76" s="11"/>
    </row>
    <row r="77" ht="14.25" customHeight="1">
      <c r="Q77" s="20"/>
      <c r="R77" s="20"/>
      <c r="T77" s="11"/>
    </row>
    <row r="78" ht="14.25" customHeight="1">
      <c r="Q78" s="20"/>
      <c r="R78" s="20"/>
    </row>
    <row r="79" ht="14.25" customHeight="1">
      <c r="Q79" s="20"/>
      <c r="R79" s="20"/>
    </row>
    <row r="80" ht="14.25" customHeight="1">
      <c r="Q80" s="20"/>
      <c r="R80" s="20"/>
    </row>
    <row r="81" ht="14.25" customHeight="1">
      <c r="Q81" s="20"/>
      <c r="R81" s="20"/>
    </row>
    <row r="82" ht="14.25" customHeight="1">
      <c r="Q82" s="20"/>
      <c r="R82" s="20"/>
    </row>
    <row r="83" ht="14.25" customHeight="1">
      <c r="Q83" s="20"/>
      <c r="R83" s="20"/>
    </row>
    <row r="84" ht="14.25" customHeight="1">
      <c r="Q84" s="20"/>
      <c r="R84" s="20"/>
    </row>
    <row r="85" ht="14.25" customHeight="1">
      <c r="Q85" s="20"/>
      <c r="R85" s="20"/>
    </row>
    <row r="86" ht="14.25" customHeight="1">
      <c r="Q86" s="20"/>
      <c r="R86" s="20"/>
    </row>
    <row r="87" ht="14.25" customHeight="1">
      <c r="Q87" s="20"/>
      <c r="R87" s="20"/>
    </row>
    <row r="88" ht="14.25" customHeight="1">
      <c r="Q88" s="20"/>
      <c r="R88" s="20"/>
    </row>
    <row r="89" ht="14.25" customHeight="1">
      <c r="Q89" s="20"/>
      <c r="R89" s="20"/>
    </row>
    <row r="90" ht="14.25" customHeight="1">
      <c r="Q90" s="20"/>
    </row>
    <row r="91" ht="14.25" customHeight="1">
      <c r="Q91" s="20"/>
    </row>
    <row r="92" ht="14.25" customHeight="1">
      <c r="Q92" s="20"/>
    </row>
    <row r="93" ht="14.25" customHeight="1">
      <c r="Q93" s="20"/>
    </row>
    <row r="94" ht="14.25" customHeight="1">
      <c r="Q94" s="20"/>
    </row>
    <row r="95" ht="14.25" customHeight="1">
      <c r="Q95" s="20"/>
    </row>
    <row r="96" ht="14.25" customHeight="1">
      <c r="Q96" s="20"/>
    </row>
    <row r="97" ht="14.25" customHeight="1">
      <c r="Q97" s="20"/>
    </row>
    <row r="98" ht="14.25" customHeight="1">
      <c r="Q98" s="20"/>
    </row>
    <row r="99" ht="14.25" customHeight="1">
      <c r="Q99" s="20"/>
    </row>
    <row r="100" ht="14.25" customHeight="1">
      <c r="Q100" s="20"/>
    </row>
    <row r="101" ht="14.25" customHeight="1">
      <c r="Q101" s="20"/>
    </row>
    <row r="102" ht="14.25" customHeight="1">
      <c r="Q102" s="20"/>
    </row>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2:B3"/>
    <mergeCell ref="D2:I2"/>
    <mergeCell ref="K2:O2"/>
    <mergeCell ref="L3:O3"/>
    <mergeCell ref="B10:I10"/>
    <mergeCell ref="B11:I11"/>
    <mergeCell ref="B12:I12"/>
    <mergeCell ref="B13:I13"/>
  </mergeCells>
  <conditionalFormatting sqref="Q29">
    <cfRule type="notContainsBlanks" dxfId="0" priority="1">
      <formula>LEN(TRIM(Q29))&gt;0</formula>
    </cfRule>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0"/>
    <col customWidth="1" min="2" max="2" width="29.57"/>
    <col customWidth="1" min="3" max="3" width="16.57"/>
    <col customWidth="1" min="4" max="4" width="16.86"/>
    <col customWidth="1" min="5" max="5" width="30.43"/>
    <col customWidth="1" min="6" max="6" width="38.14"/>
    <col customWidth="1" min="7" max="7" width="28.29"/>
    <col customWidth="1" min="8" max="8" width="15.43"/>
    <col customWidth="1" min="9" max="9" width="16.0"/>
    <col customWidth="1" min="10" max="10" width="46.14"/>
    <col customWidth="1" min="11" max="27" width="9.14"/>
  </cols>
  <sheetData>
    <row r="1" ht="27.0" customHeight="1">
      <c r="A1" s="74" t="s">
        <v>37</v>
      </c>
      <c r="B1" s="74" t="s">
        <v>38</v>
      </c>
      <c r="C1" s="74" t="s">
        <v>39</v>
      </c>
      <c r="D1" s="74" t="s">
        <v>40</v>
      </c>
      <c r="E1" s="74" t="s">
        <v>41</v>
      </c>
      <c r="F1" s="74" t="s">
        <v>42</v>
      </c>
      <c r="G1" s="74" t="s">
        <v>43</v>
      </c>
      <c r="H1" s="75" t="s">
        <v>14</v>
      </c>
      <c r="I1" s="74" t="s">
        <v>44</v>
      </c>
      <c r="J1" s="76" t="s">
        <v>45</v>
      </c>
      <c r="K1" s="77"/>
      <c r="L1" s="77"/>
      <c r="M1" s="77"/>
      <c r="N1" s="77"/>
      <c r="O1" s="77"/>
      <c r="P1" s="77"/>
      <c r="Q1" s="77"/>
      <c r="R1" s="77"/>
      <c r="S1" s="77"/>
      <c r="T1" s="77"/>
      <c r="U1" s="77"/>
      <c r="V1" s="77"/>
      <c r="W1" s="77"/>
      <c r="X1" s="77"/>
      <c r="Y1" s="77"/>
      <c r="Z1" s="77"/>
      <c r="AA1" s="77"/>
    </row>
    <row r="2" ht="55.5" customHeight="1">
      <c r="A2" s="78"/>
      <c r="B2" s="79" t="s">
        <v>46</v>
      </c>
      <c r="C2" s="79" t="s">
        <v>47</v>
      </c>
      <c r="D2" s="80" t="s">
        <v>48</v>
      </c>
      <c r="E2" s="79" t="s">
        <v>49</v>
      </c>
      <c r="F2" s="79" t="s">
        <v>50</v>
      </c>
      <c r="G2" s="79" t="s">
        <v>51</v>
      </c>
      <c r="H2" s="81" t="s">
        <v>10</v>
      </c>
      <c r="I2" s="82"/>
      <c r="J2" s="82"/>
      <c r="K2" s="83"/>
      <c r="L2" s="83"/>
      <c r="M2" s="83"/>
      <c r="N2" s="83"/>
      <c r="O2" s="83"/>
      <c r="P2" s="83"/>
      <c r="Q2" s="83"/>
      <c r="R2" s="83"/>
      <c r="S2" s="83"/>
      <c r="T2" s="83"/>
      <c r="U2" s="83"/>
      <c r="V2" s="83"/>
      <c r="W2" s="83"/>
      <c r="X2" s="83"/>
      <c r="Y2" s="83"/>
      <c r="Z2" s="83"/>
      <c r="AA2" s="83"/>
    </row>
    <row r="3" ht="55.5" customHeight="1">
      <c r="A3" s="78"/>
      <c r="B3" s="78"/>
      <c r="C3" s="79" t="s">
        <v>52</v>
      </c>
      <c r="D3" s="84"/>
      <c r="E3" s="79" t="s">
        <v>53</v>
      </c>
      <c r="F3" s="79" t="s">
        <v>50</v>
      </c>
      <c r="G3" s="79" t="s">
        <v>54</v>
      </c>
      <c r="H3" s="81" t="s">
        <v>10</v>
      </c>
      <c r="I3" s="82"/>
      <c r="J3" s="82"/>
      <c r="K3" s="83"/>
      <c r="L3" s="83"/>
      <c r="M3" s="83"/>
      <c r="N3" s="83"/>
      <c r="O3" s="83"/>
      <c r="P3" s="83"/>
      <c r="Q3" s="83"/>
      <c r="R3" s="83"/>
      <c r="S3" s="83"/>
      <c r="T3" s="83"/>
      <c r="U3" s="83"/>
      <c r="V3" s="83"/>
      <c r="W3" s="83"/>
      <c r="X3" s="83"/>
      <c r="Y3" s="83"/>
      <c r="Z3" s="83"/>
      <c r="AA3" s="83"/>
    </row>
    <row r="4" ht="55.5" customHeight="1">
      <c r="A4" s="78"/>
      <c r="B4" s="78"/>
      <c r="C4" s="79" t="s">
        <v>55</v>
      </c>
      <c r="D4" s="84"/>
      <c r="E4" s="79" t="s">
        <v>56</v>
      </c>
      <c r="F4" s="79" t="s">
        <v>50</v>
      </c>
      <c r="G4" s="79" t="s">
        <v>57</v>
      </c>
      <c r="H4" s="81" t="s">
        <v>10</v>
      </c>
      <c r="I4" s="82"/>
      <c r="J4" s="82"/>
      <c r="K4" s="83"/>
      <c r="L4" s="83"/>
      <c r="M4" s="83"/>
      <c r="N4" s="83"/>
      <c r="O4" s="83"/>
      <c r="P4" s="83"/>
      <c r="Q4" s="83"/>
      <c r="R4" s="83"/>
      <c r="S4" s="83"/>
      <c r="T4" s="83"/>
      <c r="U4" s="83"/>
      <c r="V4" s="83"/>
      <c r="W4" s="83"/>
      <c r="X4" s="83"/>
      <c r="Y4" s="83"/>
      <c r="Z4" s="83"/>
      <c r="AA4" s="83"/>
    </row>
    <row r="5" ht="55.5" customHeight="1">
      <c r="A5" s="78"/>
      <c r="B5" s="78"/>
      <c r="C5" s="79" t="s">
        <v>58</v>
      </c>
      <c r="D5" s="84"/>
      <c r="E5" s="79" t="s">
        <v>59</v>
      </c>
      <c r="F5" s="79" t="s">
        <v>60</v>
      </c>
      <c r="G5" s="79" t="s">
        <v>61</v>
      </c>
      <c r="H5" s="81" t="s">
        <v>10</v>
      </c>
      <c r="I5" s="82"/>
      <c r="J5" s="82"/>
      <c r="K5" s="83"/>
      <c r="L5" s="83"/>
      <c r="M5" s="83"/>
      <c r="N5" s="83"/>
      <c r="O5" s="83"/>
      <c r="P5" s="83"/>
      <c r="Q5" s="83"/>
      <c r="R5" s="83"/>
      <c r="S5" s="83"/>
      <c r="T5" s="83"/>
      <c r="U5" s="83"/>
      <c r="V5" s="83"/>
      <c r="W5" s="83"/>
      <c r="X5" s="83"/>
      <c r="Y5" s="83"/>
      <c r="Z5" s="83"/>
      <c r="AA5" s="83"/>
    </row>
    <row r="6" ht="55.5" customHeight="1">
      <c r="A6" s="78"/>
      <c r="B6" s="78"/>
      <c r="C6" s="79" t="s">
        <v>62</v>
      </c>
      <c r="D6" s="12"/>
      <c r="E6" s="79" t="s">
        <v>63</v>
      </c>
      <c r="F6" s="79" t="s">
        <v>60</v>
      </c>
      <c r="G6" s="79" t="s">
        <v>61</v>
      </c>
      <c r="H6" s="81" t="s">
        <v>10</v>
      </c>
      <c r="I6" s="82"/>
      <c r="J6" s="82"/>
      <c r="K6" s="83"/>
      <c r="L6" s="83"/>
      <c r="M6" s="83"/>
      <c r="N6" s="83"/>
      <c r="O6" s="83"/>
      <c r="P6" s="83"/>
      <c r="Q6" s="83"/>
      <c r="R6" s="83"/>
      <c r="S6" s="83"/>
      <c r="T6" s="83"/>
      <c r="U6" s="83"/>
      <c r="V6" s="83"/>
      <c r="W6" s="83"/>
      <c r="X6" s="83"/>
      <c r="Y6" s="83"/>
      <c r="Z6" s="83"/>
      <c r="AA6" s="83"/>
    </row>
    <row r="7" ht="55.5" customHeight="1">
      <c r="A7" s="78"/>
      <c r="B7" s="78"/>
      <c r="C7" s="79" t="s">
        <v>64</v>
      </c>
      <c r="D7" s="80" t="s">
        <v>65</v>
      </c>
      <c r="E7" s="79" t="s">
        <v>66</v>
      </c>
      <c r="F7" s="79" t="s">
        <v>67</v>
      </c>
      <c r="G7" s="79" t="s">
        <v>68</v>
      </c>
      <c r="H7" s="81" t="s">
        <v>10</v>
      </c>
      <c r="I7" s="82"/>
      <c r="J7" s="82"/>
      <c r="K7" s="83"/>
      <c r="L7" s="83"/>
      <c r="M7" s="83"/>
      <c r="N7" s="83"/>
      <c r="O7" s="83"/>
      <c r="P7" s="83"/>
      <c r="Q7" s="83"/>
      <c r="R7" s="83"/>
      <c r="S7" s="83"/>
      <c r="T7" s="83"/>
      <c r="U7" s="83"/>
      <c r="V7" s="83"/>
      <c r="W7" s="83"/>
      <c r="X7" s="83"/>
      <c r="Y7" s="83"/>
      <c r="Z7" s="83"/>
      <c r="AA7" s="83"/>
    </row>
    <row r="8" ht="55.5" customHeight="1">
      <c r="A8" s="78"/>
      <c r="B8" s="78"/>
      <c r="C8" s="79" t="s">
        <v>69</v>
      </c>
      <c r="D8" s="84"/>
      <c r="E8" s="79" t="s">
        <v>70</v>
      </c>
      <c r="F8" s="79" t="s">
        <v>67</v>
      </c>
      <c r="G8" s="79" t="s">
        <v>71</v>
      </c>
      <c r="H8" s="81" t="s">
        <v>10</v>
      </c>
      <c r="I8" s="82"/>
      <c r="J8" s="82"/>
      <c r="K8" s="83"/>
      <c r="L8" s="83"/>
      <c r="M8" s="83"/>
      <c r="N8" s="83"/>
      <c r="O8" s="83"/>
      <c r="P8" s="83"/>
      <c r="Q8" s="83"/>
      <c r="R8" s="83"/>
      <c r="S8" s="83"/>
      <c r="T8" s="83"/>
      <c r="U8" s="83"/>
      <c r="V8" s="83"/>
      <c r="W8" s="83"/>
      <c r="X8" s="83"/>
      <c r="Y8" s="83"/>
      <c r="Z8" s="83"/>
      <c r="AA8" s="83"/>
    </row>
    <row r="9" ht="55.5" customHeight="1">
      <c r="A9" s="78"/>
      <c r="B9" s="78"/>
      <c r="C9" s="79" t="s">
        <v>72</v>
      </c>
      <c r="D9" s="84"/>
      <c r="E9" s="79" t="s">
        <v>73</v>
      </c>
      <c r="F9" s="79" t="s">
        <v>67</v>
      </c>
      <c r="G9" s="79" t="s">
        <v>74</v>
      </c>
      <c r="H9" s="81" t="s">
        <v>10</v>
      </c>
      <c r="I9" s="82"/>
      <c r="J9" s="82"/>
      <c r="K9" s="83"/>
      <c r="L9" s="83"/>
      <c r="M9" s="83"/>
      <c r="N9" s="83"/>
      <c r="O9" s="83"/>
      <c r="P9" s="83"/>
      <c r="Q9" s="83"/>
      <c r="R9" s="83"/>
      <c r="S9" s="83"/>
      <c r="T9" s="83"/>
      <c r="U9" s="83"/>
      <c r="V9" s="83"/>
      <c r="W9" s="83"/>
      <c r="X9" s="83"/>
      <c r="Y9" s="83"/>
      <c r="Z9" s="83"/>
      <c r="AA9" s="83"/>
    </row>
    <row r="10" ht="55.5" customHeight="1">
      <c r="A10" s="78"/>
      <c r="B10" s="78"/>
      <c r="C10" s="79" t="s">
        <v>75</v>
      </c>
      <c r="D10" s="12"/>
      <c r="E10" s="79" t="s">
        <v>76</v>
      </c>
      <c r="F10" s="79" t="s">
        <v>77</v>
      </c>
      <c r="G10" s="79" t="s">
        <v>78</v>
      </c>
      <c r="H10" s="81" t="s">
        <v>10</v>
      </c>
      <c r="I10" s="82"/>
      <c r="J10" s="82"/>
      <c r="K10" s="83"/>
      <c r="L10" s="83"/>
      <c r="M10" s="83"/>
      <c r="N10" s="83"/>
      <c r="O10" s="83"/>
      <c r="P10" s="83"/>
      <c r="Q10" s="83"/>
      <c r="R10" s="83"/>
      <c r="S10" s="83"/>
      <c r="T10" s="83"/>
      <c r="U10" s="83"/>
      <c r="V10" s="83"/>
      <c r="W10" s="83"/>
      <c r="X10" s="83"/>
      <c r="Y10" s="83"/>
      <c r="Z10" s="83"/>
      <c r="AA10" s="83"/>
    </row>
    <row r="11" ht="55.5" customHeight="1">
      <c r="A11" s="78"/>
      <c r="B11" s="78"/>
      <c r="C11" s="79" t="s">
        <v>79</v>
      </c>
      <c r="D11" s="80" t="s">
        <v>80</v>
      </c>
      <c r="E11" s="79" t="s">
        <v>81</v>
      </c>
      <c r="F11" s="79" t="s">
        <v>67</v>
      </c>
      <c r="G11" s="79" t="s">
        <v>82</v>
      </c>
      <c r="H11" s="81" t="s">
        <v>10</v>
      </c>
      <c r="I11" s="82"/>
      <c r="J11" s="82"/>
      <c r="K11" s="83"/>
      <c r="L11" s="83"/>
      <c r="M11" s="83"/>
      <c r="N11" s="83"/>
      <c r="O11" s="83"/>
      <c r="P11" s="83"/>
      <c r="Q11" s="83"/>
      <c r="R11" s="83"/>
      <c r="S11" s="83"/>
      <c r="T11" s="83"/>
      <c r="U11" s="83"/>
      <c r="V11" s="83"/>
      <c r="W11" s="83"/>
      <c r="X11" s="83"/>
      <c r="Y11" s="83"/>
      <c r="Z11" s="83"/>
      <c r="AA11" s="83"/>
    </row>
    <row r="12" ht="55.5" customHeight="1">
      <c r="A12" s="78"/>
      <c r="B12" s="78"/>
      <c r="C12" s="79" t="s">
        <v>83</v>
      </c>
      <c r="D12" s="84"/>
      <c r="E12" s="79" t="s">
        <v>84</v>
      </c>
      <c r="F12" s="79" t="s">
        <v>67</v>
      </c>
      <c r="G12" s="79" t="s">
        <v>85</v>
      </c>
      <c r="H12" s="81" t="s">
        <v>10</v>
      </c>
      <c r="I12" s="82"/>
      <c r="J12" s="82"/>
      <c r="K12" s="83"/>
      <c r="L12" s="83"/>
      <c r="M12" s="83"/>
      <c r="N12" s="83"/>
      <c r="O12" s="83"/>
      <c r="P12" s="83"/>
      <c r="Q12" s="83"/>
      <c r="R12" s="83"/>
      <c r="S12" s="83"/>
      <c r="T12" s="83"/>
      <c r="U12" s="83"/>
      <c r="V12" s="83"/>
      <c r="W12" s="83"/>
      <c r="X12" s="83"/>
      <c r="Y12" s="83"/>
      <c r="Z12" s="83"/>
      <c r="AA12" s="83"/>
    </row>
    <row r="13" ht="55.5" customHeight="1">
      <c r="A13" s="78"/>
      <c r="B13" s="78"/>
      <c r="C13" s="79" t="s">
        <v>86</v>
      </c>
      <c r="D13" s="84"/>
      <c r="E13" s="79" t="s">
        <v>70</v>
      </c>
      <c r="F13" s="79" t="s">
        <v>67</v>
      </c>
      <c r="G13" s="79" t="s">
        <v>87</v>
      </c>
      <c r="H13" s="81" t="s">
        <v>10</v>
      </c>
      <c r="I13" s="82"/>
      <c r="J13" s="82"/>
      <c r="K13" s="83"/>
      <c r="L13" s="83"/>
      <c r="M13" s="83"/>
      <c r="N13" s="83"/>
      <c r="O13" s="83"/>
      <c r="P13" s="83"/>
      <c r="Q13" s="83"/>
      <c r="R13" s="83"/>
      <c r="S13" s="83"/>
      <c r="T13" s="83"/>
      <c r="U13" s="83"/>
      <c r="V13" s="83"/>
      <c r="W13" s="83"/>
      <c r="X13" s="83"/>
      <c r="Y13" s="83"/>
      <c r="Z13" s="83"/>
      <c r="AA13" s="83"/>
    </row>
    <row r="14" ht="55.5" customHeight="1">
      <c r="A14" s="78"/>
      <c r="B14" s="78"/>
      <c r="C14" s="79" t="s">
        <v>88</v>
      </c>
      <c r="D14" s="84"/>
      <c r="E14" s="79" t="s">
        <v>89</v>
      </c>
      <c r="F14" s="79" t="s">
        <v>67</v>
      </c>
      <c r="G14" s="79" t="s">
        <v>90</v>
      </c>
      <c r="H14" s="81" t="s">
        <v>10</v>
      </c>
      <c r="I14" s="82"/>
      <c r="J14" s="82"/>
      <c r="K14" s="83"/>
      <c r="L14" s="83"/>
      <c r="M14" s="83"/>
      <c r="N14" s="83"/>
      <c r="O14" s="83"/>
      <c r="P14" s="83"/>
      <c r="Q14" s="83"/>
      <c r="R14" s="83"/>
      <c r="S14" s="83"/>
      <c r="T14" s="83"/>
      <c r="U14" s="83"/>
      <c r="V14" s="83"/>
      <c r="W14" s="83"/>
      <c r="X14" s="83"/>
      <c r="Y14" s="83"/>
      <c r="Z14" s="83"/>
      <c r="AA14" s="83"/>
    </row>
    <row r="15" ht="55.5" customHeight="1">
      <c r="A15" s="78"/>
      <c r="B15" s="78"/>
      <c r="C15" s="79" t="s">
        <v>91</v>
      </c>
      <c r="D15" s="84"/>
      <c r="E15" s="79" t="s">
        <v>92</v>
      </c>
      <c r="F15" s="79" t="s">
        <v>67</v>
      </c>
      <c r="G15" s="79" t="s">
        <v>93</v>
      </c>
      <c r="H15" s="81" t="s">
        <v>10</v>
      </c>
      <c r="I15" s="82"/>
      <c r="J15" s="82"/>
      <c r="K15" s="83"/>
      <c r="L15" s="83"/>
      <c r="M15" s="83"/>
      <c r="N15" s="83"/>
      <c r="O15" s="83"/>
      <c r="P15" s="83"/>
      <c r="Q15" s="83"/>
      <c r="R15" s="83"/>
      <c r="S15" s="83"/>
      <c r="T15" s="83"/>
      <c r="U15" s="83"/>
      <c r="V15" s="83"/>
      <c r="W15" s="83"/>
      <c r="X15" s="83"/>
      <c r="Y15" s="83"/>
      <c r="Z15" s="83"/>
      <c r="AA15" s="83"/>
    </row>
    <row r="16" ht="55.5" customHeight="1">
      <c r="A16" s="78"/>
      <c r="B16" s="78"/>
      <c r="C16" s="79" t="s">
        <v>94</v>
      </c>
      <c r="D16" s="84"/>
      <c r="E16" s="79" t="s">
        <v>95</v>
      </c>
      <c r="F16" s="79" t="s">
        <v>67</v>
      </c>
      <c r="G16" s="79" t="s">
        <v>93</v>
      </c>
      <c r="H16" s="81" t="s">
        <v>10</v>
      </c>
      <c r="I16" s="82"/>
      <c r="J16" s="82"/>
      <c r="K16" s="83"/>
      <c r="L16" s="83"/>
      <c r="M16" s="83"/>
      <c r="N16" s="83"/>
      <c r="O16" s="83"/>
      <c r="P16" s="83"/>
      <c r="Q16" s="83"/>
      <c r="R16" s="83"/>
      <c r="S16" s="83"/>
      <c r="T16" s="83"/>
      <c r="U16" s="83"/>
      <c r="V16" s="83"/>
      <c r="W16" s="83"/>
      <c r="X16" s="83"/>
      <c r="Y16" s="83"/>
      <c r="Z16" s="83"/>
      <c r="AA16" s="83"/>
    </row>
    <row r="17" ht="55.5" customHeight="1">
      <c r="A17" s="78"/>
      <c r="B17" s="78"/>
      <c r="C17" s="79" t="s">
        <v>96</v>
      </c>
      <c r="D17" s="12"/>
      <c r="E17" s="79" t="s">
        <v>97</v>
      </c>
      <c r="F17" s="79" t="s">
        <v>67</v>
      </c>
      <c r="G17" s="79" t="s">
        <v>93</v>
      </c>
      <c r="H17" s="81" t="s">
        <v>10</v>
      </c>
      <c r="I17" s="82"/>
      <c r="J17" s="82"/>
      <c r="K17" s="83"/>
      <c r="L17" s="83"/>
      <c r="M17" s="83"/>
      <c r="N17" s="83"/>
      <c r="O17" s="83"/>
      <c r="P17" s="83"/>
      <c r="Q17" s="83"/>
      <c r="R17" s="83"/>
      <c r="S17" s="83"/>
      <c r="T17" s="83"/>
      <c r="U17" s="83"/>
      <c r="V17" s="83"/>
      <c r="W17" s="83"/>
      <c r="X17" s="83"/>
      <c r="Y17" s="83"/>
      <c r="Z17" s="83"/>
      <c r="AA17" s="83"/>
    </row>
    <row r="18" ht="55.5" customHeight="1">
      <c r="A18" s="78"/>
      <c r="B18" s="78"/>
      <c r="C18" s="79" t="s">
        <v>98</v>
      </c>
      <c r="D18" s="80" t="s">
        <v>99</v>
      </c>
      <c r="E18" s="79" t="s">
        <v>100</v>
      </c>
      <c r="F18" s="79" t="s">
        <v>67</v>
      </c>
      <c r="G18" s="79" t="s">
        <v>101</v>
      </c>
      <c r="H18" s="81" t="s">
        <v>10</v>
      </c>
      <c r="I18" s="82"/>
      <c r="J18" s="82"/>
      <c r="K18" s="83"/>
      <c r="L18" s="83"/>
      <c r="M18" s="83"/>
      <c r="N18" s="83"/>
      <c r="O18" s="83"/>
      <c r="P18" s="83"/>
      <c r="Q18" s="83"/>
      <c r="R18" s="83"/>
      <c r="S18" s="83"/>
      <c r="T18" s="83"/>
      <c r="U18" s="83"/>
      <c r="V18" s="83"/>
      <c r="W18" s="83"/>
      <c r="X18" s="83"/>
      <c r="Y18" s="83"/>
      <c r="Z18" s="83"/>
      <c r="AA18" s="83"/>
    </row>
    <row r="19" ht="55.5" customHeight="1">
      <c r="A19" s="78"/>
      <c r="B19" s="78"/>
      <c r="C19" s="79" t="s">
        <v>102</v>
      </c>
      <c r="D19" s="84"/>
      <c r="E19" s="79" t="s">
        <v>103</v>
      </c>
      <c r="F19" s="79" t="s">
        <v>67</v>
      </c>
      <c r="G19" s="79" t="s">
        <v>104</v>
      </c>
      <c r="H19" s="81" t="s">
        <v>10</v>
      </c>
      <c r="I19" s="82"/>
      <c r="J19" s="82"/>
      <c r="K19" s="83"/>
      <c r="L19" s="83"/>
      <c r="M19" s="83"/>
      <c r="N19" s="83"/>
      <c r="O19" s="83"/>
      <c r="P19" s="83"/>
      <c r="Q19" s="83"/>
      <c r="R19" s="83"/>
      <c r="S19" s="83"/>
      <c r="T19" s="83"/>
      <c r="U19" s="83"/>
      <c r="V19" s="83"/>
      <c r="W19" s="83"/>
      <c r="X19" s="83"/>
      <c r="Y19" s="83"/>
      <c r="Z19" s="83"/>
      <c r="AA19" s="83"/>
    </row>
    <row r="20" ht="55.5" customHeight="1">
      <c r="A20" s="78"/>
      <c r="B20" s="78"/>
      <c r="C20" s="79" t="s">
        <v>105</v>
      </c>
      <c r="D20" s="84"/>
      <c r="E20" s="79" t="s">
        <v>106</v>
      </c>
      <c r="F20" s="79" t="s">
        <v>67</v>
      </c>
      <c r="G20" s="79" t="s">
        <v>101</v>
      </c>
      <c r="H20" s="81" t="s">
        <v>10</v>
      </c>
      <c r="I20" s="82"/>
      <c r="J20" s="82"/>
      <c r="K20" s="83"/>
      <c r="L20" s="83"/>
      <c r="M20" s="83"/>
      <c r="N20" s="83"/>
      <c r="O20" s="83"/>
      <c r="P20" s="83"/>
      <c r="Q20" s="83"/>
      <c r="R20" s="83"/>
      <c r="S20" s="83"/>
      <c r="T20" s="83"/>
      <c r="U20" s="83"/>
      <c r="V20" s="83"/>
      <c r="W20" s="83"/>
      <c r="X20" s="83"/>
      <c r="Y20" s="83"/>
      <c r="Z20" s="83"/>
      <c r="AA20" s="83"/>
    </row>
    <row r="21" ht="55.5" customHeight="1">
      <c r="A21" s="78"/>
      <c r="B21" s="78"/>
      <c r="C21" s="79" t="s">
        <v>107</v>
      </c>
      <c r="D21" s="84"/>
      <c r="E21" s="79" t="s">
        <v>108</v>
      </c>
      <c r="F21" s="79" t="s">
        <v>67</v>
      </c>
      <c r="G21" s="79" t="s">
        <v>104</v>
      </c>
      <c r="H21" s="81" t="s">
        <v>10</v>
      </c>
      <c r="I21" s="82"/>
      <c r="J21" s="82"/>
      <c r="K21" s="83"/>
      <c r="L21" s="83"/>
      <c r="M21" s="83"/>
      <c r="N21" s="83"/>
      <c r="O21" s="83"/>
      <c r="P21" s="83"/>
      <c r="Q21" s="83"/>
      <c r="R21" s="83"/>
      <c r="S21" s="83"/>
      <c r="T21" s="83"/>
      <c r="U21" s="83"/>
      <c r="V21" s="83"/>
      <c r="W21" s="83"/>
      <c r="X21" s="83"/>
      <c r="Y21" s="83"/>
      <c r="Z21" s="83"/>
      <c r="AA21" s="83"/>
    </row>
    <row r="22" ht="55.5" customHeight="1">
      <c r="A22" s="78"/>
      <c r="B22" s="78"/>
      <c r="C22" s="79" t="s">
        <v>109</v>
      </c>
      <c r="D22" s="84"/>
      <c r="E22" s="79" t="s">
        <v>110</v>
      </c>
      <c r="F22" s="79" t="s">
        <v>67</v>
      </c>
      <c r="G22" s="79" t="s">
        <v>104</v>
      </c>
      <c r="H22" s="81" t="s">
        <v>10</v>
      </c>
      <c r="I22" s="82"/>
      <c r="J22" s="82"/>
      <c r="K22" s="83"/>
      <c r="L22" s="83"/>
      <c r="M22" s="83"/>
      <c r="N22" s="83"/>
      <c r="O22" s="83"/>
      <c r="P22" s="83"/>
      <c r="Q22" s="83"/>
      <c r="R22" s="83"/>
      <c r="S22" s="83"/>
      <c r="T22" s="83"/>
      <c r="U22" s="83"/>
      <c r="V22" s="83"/>
      <c r="W22" s="83"/>
      <c r="X22" s="83"/>
      <c r="Y22" s="83"/>
      <c r="Z22" s="83"/>
      <c r="AA22" s="83"/>
    </row>
    <row r="23" ht="55.5" customHeight="1">
      <c r="A23" s="78"/>
      <c r="B23" s="78"/>
      <c r="C23" s="79" t="s">
        <v>111</v>
      </c>
      <c r="D23" s="84"/>
      <c r="E23" s="79" t="s">
        <v>112</v>
      </c>
      <c r="F23" s="79" t="s">
        <v>67</v>
      </c>
      <c r="G23" s="79" t="s">
        <v>104</v>
      </c>
      <c r="H23" s="81" t="s">
        <v>10</v>
      </c>
      <c r="I23" s="82"/>
      <c r="J23" s="82"/>
      <c r="K23" s="83"/>
      <c r="L23" s="83"/>
      <c r="M23" s="83"/>
      <c r="N23" s="83"/>
      <c r="O23" s="83"/>
      <c r="P23" s="83"/>
      <c r="Q23" s="83"/>
      <c r="R23" s="83"/>
      <c r="S23" s="83"/>
      <c r="T23" s="83"/>
      <c r="U23" s="83"/>
      <c r="V23" s="83"/>
      <c r="W23" s="83"/>
      <c r="X23" s="83"/>
      <c r="Y23" s="83"/>
      <c r="Z23" s="83"/>
      <c r="AA23" s="83"/>
    </row>
    <row r="24" ht="55.5" customHeight="1">
      <c r="A24" s="78"/>
      <c r="B24" s="78"/>
      <c r="C24" s="79" t="s">
        <v>113</v>
      </c>
      <c r="D24" s="84"/>
      <c r="E24" s="79" t="s">
        <v>114</v>
      </c>
      <c r="F24" s="79" t="s">
        <v>67</v>
      </c>
      <c r="G24" s="79" t="s">
        <v>101</v>
      </c>
      <c r="H24" s="81" t="s">
        <v>10</v>
      </c>
      <c r="I24" s="82"/>
      <c r="J24" s="82"/>
      <c r="K24" s="83"/>
      <c r="L24" s="83"/>
      <c r="M24" s="83"/>
      <c r="N24" s="83"/>
      <c r="O24" s="83"/>
      <c r="P24" s="83"/>
      <c r="Q24" s="83"/>
      <c r="R24" s="83"/>
      <c r="S24" s="83"/>
      <c r="T24" s="83"/>
      <c r="U24" s="83"/>
      <c r="V24" s="83"/>
      <c r="W24" s="83"/>
      <c r="X24" s="83"/>
      <c r="Y24" s="83"/>
      <c r="Z24" s="83"/>
      <c r="AA24" s="83"/>
    </row>
    <row r="25" ht="55.5" customHeight="1">
      <c r="A25" s="78"/>
      <c r="B25" s="78"/>
      <c r="C25" s="79" t="s">
        <v>115</v>
      </c>
      <c r="D25" s="84"/>
      <c r="E25" s="79" t="s">
        <v>116</v>
      </c>
      <c r="F25" s="79" t="s">
        <v>67</v>
      </c>
      <c r="G25" s="79" t="s">
        <v>101</v>
      </c>
      <c r="H25" s="81" t="s">
        <v>10</v>
      </c>
      <c r="I25" s="82"/>
      <c r="J25" s="82"/>
      <c r="K25" s="83"/>
      <c r="L25" s="83"/>
      <c r="M25" s="83"/>
      <c r="N25" s="83"/>
      <c r="O25" s="83"/>
      <c r="P25" s="83"/>
      <c r="Q25" s="83"/>
      <c r="R25" s="83"/>
      <c r="S25" s="83"/>
      <c r="T25" s="83"/>
      <c r="U25" s="83"/>
      <c r="V25" s="83"/>
      <c r="W25" s="83"/>
      <c r="X25" s="83"/>
      <c r="Y25" s="83"/>
      <c r="Z25" s="83"/>
      <c r="AA25" s="83"/>
    </row>
    <row r="26" ht="55.5" customHeight="1">
      <c r="A26" s="78"/>
      <c r="B26" s="78"/>
      <c r="C26" s="79" t="s">
        <v>117</v>
      </c>
      <c r="D26" s="84"/>
      <c r="E26" s="79" t="s">
        <v>118</v>
      </c>
      <c r="F26" s="79" t="s">
        <v>67</v>
      </c>
      <c r="G26" s="79" t="s">
        <v>101</v>
      </c>
      <c r="H26" s="81" t="s">
        <v>10</v>
      </c>
      <c r="I26" s="82"/>
      <c r="J26" s="82"/>
      <c r="K26" s="83"/>
      <c r="L26" s="83"/>
      <c r="M26" s="83"/>
      <c r="N26" s="83"/>
      <c r="O26" s="83"/>
      <c r="P26" s="83"/>
      <c r="Q26" s="83"/>
      <c r="R26" s="83"/>
      <c r="S26" s="83"/>
      <c r="T26" s="83"/>
      <c r="U26" s="83"/>
      <c r="V26" s="83"/>
      <c r="W26" s="83"/>
      <c r="X26" s="83"/>
      <c r="Y26" s="83"/>
      <c r="Z26" s="83"/>
      <c r="AA26" s="83"/>
    </row>
    <row r="27" ht="55.5" customHeight="1">
      <c r="A27" s="78"/>
      <c r="B27" s="78"/>
      <c r="C27" s="79" t="s">
        <v>119</v>
      </c>
      <c r="D27" s="84"/>
      <c r="E27" s="79" t="s">
        <v>120</v>
      </c>
      <c r="F27" s="79" t="s">
        <v>67</v>
      </c>
      <c r="G27" s="79" t="s">
        <v>104</v>
      </c>
      <c r="H27" s="81" t="s">
        <v>10</v>
      </c>
      <c r="I27" s="82"/>
      <c r="J27" s="82"/>
      <c r="K27" s="83"/>
      <c r="L27" s="83"/>
      <c r="M27" s="83"/>
      <c r="N27" s="83"/>
      <c r="O27" s="83"/>
      <c r="P27" s="83"/>
      <c r="Q27" s="83"/>
      <c r="R27" s="83"/>
      <c r="S27" s="83"/>
      <c r="T27" s="83"/>
      <c r="U27" s="83"/>
      <c r="V27" s="83"/>
      <c r="W27" s="83"/>
      <c r="X27" s="83"/>
      <c r="Y27" s="83"/>
      <c r="Z27" s="83"/>
      <c r="AA27" s="83"/>
    </row>
    <row r="28" ht="55.5" customHeight="1">
      <c r="A28" s="78"/>
      <c r="B28" s="78"/>
      <c r="C28" s="79" t="s">
        <v>121</v>
      </c>
      <c r="D28" s="12"/>
      <c r="E28" s="79" t="s">
        <v>122</v>
      </c>
      <c r="F28" s="79" t="s">
        <v>67</v>
      </c>
      <c r="G28" s="79" t="s">
        <v>104</v>
      </c>
      <c r="H28" s="81" t="s">
        <v>10</v>
      </c>
      <c r="I28" s="82"/>
      <c r="J28" s="82"/>
      <c r="K28" s="83"/>
      <c r="L28" s="83"/>
      <c r="M28" s="83"/>
      <c r="N28" s="83"/>
      <c r="O28" s="83"/>
      <c r="P28" s="83"/>
      <c r="Q28" s="83"/>
      <c r="R28" s="83"/>
      <c r="S28" s="83"/>
      <c r="T28" s="83"/>
      <c r="U28" s="83"/>
      <c r="V28" s="83"/>
      <c r="W28" s="83"/>
      <c r="X28" s="83"/>
      <c r="Y28" s="83"/>
      <c r="Z28" s="83"/>
      <c r="AA28" s="83"/>
    </row>
    <row r="29" ht="55.5" customHeight="1">
      <c r="A29" s="78"/>
      <c r="B29" s="78"/>
      <c r="C29" s="79" t="s">
        <v>123</v>
      </c>
      <c r="D29" s="80" t="s">
        <v>124</v>
      </c>
      <c r="E29" s="79" t="s">
        <v>125</v>
      </c>
      <c r="F29" s="79" t="s">
        <v>67</v>
      </c>
      <c r="G29" s="79" t="s">
        <v>68</v>
      </c>
      <c r="H29" s="81" t="s">
        <v>10</v>
      </c>
      <c r="I29" s="82"/>
      <c r="J29" s="82"/>
      <c r="K29" s="83"/>
      <c r="L29" s="83"/>
      <c r="M29" s="83"/>
      <c r="N29" s="83"/>
      <c r="O29" s="83"/>
      <c r="P29" s="83"/>
      <c r="Q29" s="83"/>
      <c r="R29" s="83"/>
      <c r="S29" s="83"/>
      <c r="T29" s="83"/>
      <c r="U29" s="83"/>
      <c r="V29" s="83"/>
      <c r="W29" s="83"/>
      <c r="X29" s="83"/>
      <c r="Y29" s="83"/>
      <c r="Z29" s="83"/>
      <c r="AA29" s="83"/>
    </row>
    <row r="30" ht="55.5" customHeight="1">
      <c r="A30" s="78"/>
      <c r="B30" s="78"/>
      <c r="C30" s="79" t="s">
        <v>126</v>
      </c>
      <c r="D30" s="12"/>
      <c r="E30" s="79" t="s">
        <v>127</v>
      </c>
      <c r="F30" s="79" t="s">
        <v>67</v>
      </c>
      <c r="G30" s="79" t="s">
        <v>128</v>
      </c>
      <c r="H30" s="81" t="s">
        <v>10</v>
      </c>
      <c r="I30" s="82"/>
      <c r="J30" s="82"/>
      <c r="K30" s="83"/>
      <c r="L30" s="83"/>
      <c r="M30" s="83"/>
      <c r="N30" s="83"/>
      <c r="O30" s="83"/>
      <c r="P30" s="83"/>
      <c r="Q30" s="83"/>
      <c r="R30" s="83"/>
      <c r="S30" s="83"/>
      <c r="T30" s="83"/>
      <c r="U30" s="83"/>
      <c r="V30" s="83"/>
      <c r="W30" s="83"/>
      <c r="X30" s="83"/>
      <c r="Y30" s="83"/>
      <c r="Z30" s="83"/>
      <c r="AA30" s="83"/>
    </row>
    <row r="31" ht="55.5" customHeight="1">
      <c r="A31" s="78"/>
      <c r="B31" s="78"/>
      <c r="C31" s="79" t="s">
        <v>129</v>
      </c>
      <c r="D31" s="80" t="s">
        <v>130</v>
      </c>
      <c r="E31" s="79" t="s">
        <v>131</v>
      </c>
      <c r="F31" s="79" t="s">
        <v>67</v>
      </c>
      <c r="G31" s="79" t="s">
        <v>132</v>
      </c>
      <c r="H31" s="81" t="s">
        <v>10</v>
      </c>
      <c r="I31" s="82"/>
      <c r="J31" s="82"/>
      <c r="K31" s="83"/>
      <c r="L31" s="83"/>
      <c r="M31" s="83"/>
      <c r="N31" s="83"/>
      <c r="O31" s="83"/>
      <c r="P31" s="83"/>
      <c r="Q31" s="83"/>
      <c r="R31" s="83"/>
      <c r="S31" s="83"/>
      <c r="T31" s="83"/>
      <c r="U31" s="83"/>
      <c r="V31" s="83"/>
      <c r="W31" s="83"/>
      <c r="X31" s="83"/>
      <c r="Y31" s="83"/>
      <c r="Z31" s="83"/>
      <c r="AA31" s="83"/>
    </row>
    <row r="32" ht="55.5" customHeight="1">
      <c r="A32" s="78"/>
      <c r="B32" s="78"/>
      <c r="C32" s="79" t="s">
        <v>133</v>
      </c>
      <c r="D32" s="84"/>
      <c r="E32" s="79" t="s">
        <v>134</v>
      </c>
      <c r="F32" s="79" t="s">
        <v>67</v>
      </c>
      <c r="G32" s="79" t="s">
        <v>135</v>
      </c>
      <c r="H32" s="81" t="s">
        <v>10</v>
      </c>
      <c r="I32" s="85"/>
      <c r="J32" s="82"/>
      <c r="K32" s="83"/>
      <c r="L32" s="83"/>
      <c r="M32" s="83"/>
      <c r="N32" s="83"/>
      <c r="O32" s="83"/>
      <c r="P32" s="83"/>
      <c r="Q32" s="83"/>
      <c r="R32" s="83"/>
      <c r="S32" s="83"/>
      <c r="T32" s="83"/>
      <c r="U32" s="83"/>
      <c r="V32" s="83"/>
      <c r="W32" s="83"/>
      <c r="X32" s="83"/>
      <c r="Y32" s="83"/>
      <c r="Z32" s="83"/>
      <c r="AA32" s="83"/>
    </row>
    <row r="33" ht="55.5" customHeight="1">
      <c r="A33" s="78"/>
      <c r="B33" s="78"/>
      <c r="C33" s="79" t="s">
        <v>136</v>
      </c>
      <c r="D33" s="12"/>
      <c r="E33" s="79" t="s">
        <v>137</v>
      </c>
      <c r="F33" s="79" t="s">
        <v>67</v>
      </c>
      <c r="G33" s="79" t="s">
        <v>138</v>
      </c>
      <c r="H33" s="81" t="s">
        <v>10</v>
      </c>
      <c r="I33" s="82"/>
      <c r="J33" s="82"/>
      <c r="K33" s="83"/>
      <c r="L33" s="83"/>
      <c r="M33" s="83"/>
      <c r="N33" s="83"/>
      <c r="O33" s="83"/>
      <c r="P33" s="83"/>
      <c r="Q33" s="83"/>
      <c r="R33" s="83"/>
      <c r="S33" s="83"/>
      <c r="T33" s="83"/>
      <c r="U33" s="83"/>
      <c r="V33" s="83"/>
      <c r="W33" s="83"/>
      <c r="X33" s="83"/>
      <c r="Y33" s="83"/>
      <c r="Z33" s="83"/>
      <c r="AA33" s="83"/>
    </row>
    <row r="34" ht="55.5" customHeight="1">
      <c r="A34" s="78"/>
      <c r="B34" s="78"/>
      <c r="C34" s="79" t="s">
        <v>139</v>
      </c>
      <c r="D34" s="80" t="s">
        <v>140</v>
      </c>
      <c r="E34" s="79" t="s">
        <v>141</v>
      </c>
      <c r="F34" s="79" t="s">
        <v>142</v>
      </c>
      <c r="G34" s="79" t="s">
        <v>143</v>
      </c>
      <c r="H34" s="81" t="s">
        <v>10</v>
      </c>
      <c r="I34" s="82"/>
      <c r="J34" s="82"/>
      <c r="K34" s="83"/>
      <c r="L34" s="83"/>
      <c r="M34" s="83"/>
      <c r="N34" s="83"/>
      <c r="O34" s="83"/>
      <c r="P34" s="83"/>
      <c r="Q34" s="83"/>
      <c r="R34" s="83"/>
      <c r="S34" s="83"/>
      <c r="T34" s="83"/>
      <c r="U34" s="83"/>
      <c r="V34" s="83"/>
      <c r="W34" s="83"/>
      <c r="X34" s="83"/>
      <c r="Y34" s="83"/>
      <c r="Z34" s="83"/>
      <c r="AA34" s="83"/>
    </row>
    <row r="35" ht="55.5" customHeight="1">
      <c r="A35" s="78"/>
      <c r="B35" s="78"/>
      <c r="C35" s="79" t="s">
        <v>144</v>
      </c>
      <c r="D35" s="84"/>
      <c r="E35" s="79" t="s">
        <v>145</v>
      </c>
      <c r="F35" s="79" t="s">
        <v>146</v>
      </c>
      <c r="G35" s="79" t="s">
        <v>147</v>
      </c>
      <c r="H35" s="81" t="s">
        <v>10</v>
      </c>
      <c r="I35" s="82"/>
      <c r="J35" s="82"/>
      <c r="K35" s="83"/>
      <c r="L35" s="83"/>
      <c r="M35" s="83"/>
      <c r="N35" s="83"/>
      <c r="O35" s="83"/>
      <c r="P35" s="83"/>
      <c r="Q35" s="83"/>
      <c r="R35" s="83"/>
      <c r="S35" s="83"/>
      <c r="T35" s="83"/>
      <c r="U35" s="83"/>
      <c r="V35" s="83"/>
      <c r="W35" s="83"/>
      <c r="X35" s="83"/>
      <c r="Y35" s="83"/>
      <c r="Z35" s="83"/>
      <c r="AA35" s="83"/>
    </row>
    <row r="36" ht="55.5" customHeight="1">
      <c r="A36" s="78"/>
      <c r="B36" s="78"/>
      <c r="C36" s="79" t="s">
        <v>148</v>
      </c>
      <c r="D36" s="84"/>
      <c r="E36" s="79" t="s">
        <v>149</v>
      </c>
      <c r="F36" s="79" t="s">
        <v>150</v>
      </c>
      <c r="G36" s="79" t="s">
        <v>135</v>
      </c>
      <c r="H36" s="81" t="s">
        <v>10</v>
      </c>
      <c r="I36" s="82"/>
      <c r="J36" s="82"/>
      <c r="K36" s="83"/>
      <c r="L36" s="83"/>
      <c r="M36" s="83"/>
      <c r="N36" s="83"/>
      <c r="O36" s="83"/>
      <c r="P36" s="83"/>
      <c r="Q36" s="83"/>
      <c r="R36" s="83"/>
      <c r="S36" s="83"/>
      <c r="T36" s="83"/>
      <c r="U36" s="83"/>
      <c r="V36" s="83"/>
      <c r="W36" s="83"/>
      <c r="X36" s="83"/>
      <c r="Y36" s="83"/>
      <c r="Z36" s="83"/>
      <c r="AA36" s="83"/>
    </row>
    <row r="37" ht="55.5" customHeight="1">
      <c r="A37" s="78"/>
      <c r="B37" s="78"/>
      <c r="C37" s="79" t="s">
        <v>151</v>
      </c>
      <c r="D37" s="84"/>
      <c r="E37" s="79" t="s">
        <v>152</v>
      </c>
      <c r="F37" s="79" t="s">
        <v>153</v>
      </c>
      <c r="G37" s="79" t="s">
        <v>135</v>
      </c>
      <c r="H37" s="81" t="s">
        <v>10</v>
      </c>
      <c r="I37" s="82"/>
      <c r="J37" s="82"/>
      <c r="K37" s="83"/>
      <c r="L37" s="83"/>
      <c r="M37" s="83"/>
      <c r="N37" s="83"/>
      <c r="O37" s="83"/>
      <c r="P37" s="83"/>
      <c r="Q37" s="83"/>
      <c r="R37" s="83"/>
      <c r="S37" s="83"/>
      <c r="T37" s="83"/>
      <c r="U37" s="83"/>
      <c r="V37" s="83"/>
      <c r="W37" s="83"/>
      <c r="X37" s="83"/>
      <c r="Y37" s="83"/>
      <c r="Z37" s="83"/>
      <c r="AA37" s="83"/>
    </row>
    <row r="38" ht="55.5" customHeight="1">
      <c r="A38" s="78"/>
      <c r="B38" s="78"/>
      <c r="C38" s="79" t="s">
        <v>154</v>
      </c>
      <c r="D38" s="84"/>
      <c r="E38" s="79" t="s">
        <v>155</v>
      </c>
      <c r="F38" s="79" t="s">
        <v>156</v>
      </c>
      <c r="G38" s="79" t="s">
        <v>157</v>
      </c>
      <c r="H38" s="81" t="s">
        <v>10</v>
      </c>
      <c r="I38" s="82"/>
      <c r="J38" s="82"/>
      <c r="K38" s="83"/>
      <c r="L38" s="83"/>
      <c r="M38" s="83"/>
      <c r="N38" s="83"/>
      <c r="O38" s="83"/>
      <c r="P38" s="83"/>
      <c r="Q38" s="83"/>
      <c r="R38" s="83"/>
      <c r="S38" s="83"/>
      <c r="T38" s="83"/>
      <c r="U38" s="83"/>
      <c r="V38" s="83"/>
      <c r="W38" s="83"/>
      <c r="X38" s="83"/>
      <c r="Y38" s="83"/>
      <c r="Z38" s="83"/>
      <c r="AA38" s="83"/>
    </row>
    <row r="39" ht="55.5" customHeight="1">
      <c r="A39" s="78"/>
      <c r="B39" s="78"/>
      <c r="C39" s="79" t="s">
        <v>158</v>
      </c>
      <c r="D39" s="12"/>
      <c r="E39" s="79" t="s">
        <v>159</v>
      </c>
      <c r="F39" s="79" t="s">
        <v>160</v>
      </c>
      <c r="G39" s="79" t="s">
        <v>161</v>
      </c>
      <c r="H39" s="81" t="s">
        <v>10</v>
      </c>
      <c r="I39" s="82"/>
      <c r="J39" s="82"/>
      <c r="K39" s="83"/>
      <c r="L39" s="83"/>
      <c r="M39" s="83"/>
      <c r="N39" s="83"/>
      <c r="O39" s="83"/>
      <c r="P39" s="83"/>
      <c r="Q39" s="83"/>
      <c r="R39" s="83"/>
      <c r="S39" s="83"/>
      <c r="T39" s="83"/>
      <c r="U39" s="83"/>
      <c r="V39" s="83"/>
      <c r="W39" s="83"/>
      <c r="X39" s="83"/>
      <c r="Y39" s="83"/>
      <c r="Z39" s="83"/>
      <c r="AA39" s="83"/>
    </row>
    <row r="40" ht="55.5" customHeight="1">
      <c r="A40" s="78"/>
      <c r="B40" s="78"/>
      <c r="C40" s="79" t="s">
        <v>162</v>
      </c>
      <c r="D40" s="80" t="s">
        <v>163</v>
      </c>
      <c r="E40" s="79" t="s">
        <v>164</v>
      </c>
      <c r="F40" s="79" t="s">
        <v>67</v>
      </c>
      <c r="G40" s="79" t="s">
        <v>132</v>
      </c>
      <c r="H40" s="81" t="s">
        <v>10</v>
      </c>
      <c r="I40" s="82"/>
      <c r="J40" s="82"/>
      <c r="K40" s="83"/>
      <c r="L40" s="83"/>
      <c r="M40" s="83"/>
      <c r="N40" s="83"/>
      <c r="O40" s="83"/>
      <c r="P40" s="83"/>
      <c r="Q40" s="83"/>
      <c r="R40" s="83"/>
      <c r="S40" s="83"/>
      <c r="T40" s="83"/>
      <c r="U40" s="83"/>
      <c r="V40" s="83"/>
      <c r="W40" s="83"/>
      <c r="X40" s="83"/>
      <c r="Y40" s="83"/>
      <c r="Z40" s="83"/>
      <c r="AA40" s="83"/>
    </row>
    <row r="41" ht="55.5" customHeight="1">
      <c r="A41" s="78"/>
      <c r="B41" s="78"/>
      <c r="C41" s="79" t="s">
        <v>165</v>
      </c>
      <c r="D41" s="84"/>
      <c r="E41" s="79" t="s">
        <v>166</v>
      </c>
      <c r="F41" s="79" t="s">
        <v>67</v>
      </c>
      <c r="G41" s="79" t="s">
        <v>132</v>
      </c>
      <c r="H41" s="81" t="s">
        <v>10</v>
      </c>
      <c r="I41" s="82"/>
      <c r="J41" s="82"/>
      <c r="K41" s="83"/>
      <c r="L41" s="83"/>
      <c r="M41" s="83"/>
      <c r="N41" s="83"/>
      <c r="O41" s="83"/>
      <c r="P41" s="83"/>
      <c r="Q41" s="83"/>
      <c r="R41" s="83"/>
      <c r="S41" s="83"/>
      <c r="T41" s="83"/>
      <c r="U41" s="83"/>
      <c r="V41" s="83"/>
      <c r="W41" s="83"/>
      <c r="X41" s="83"/>
      <c r="Y41" s="83"/>
      <c r="Z41" s="83"/>
      <c r="AA41" s="83"/>
    </row>
    <row r="42" ht="55.5" customHeight="1">
      <c r="A42" s="78"/>
      <c r="B42" s="78"/>
      <c r="C42" s="79" t="s">
        <v>167</v>
      </c>
      <c r="D42" s="84"/>
      <c r="E42" s="79" t="s">
        <v>168</v>
      </c>
      <c r="F42" s="79" t="s">
        <v>67</v>
      </c>
      <c r="G42" s="79" t="s">
        <v>132</v>
      </c>
      <c r="H42" s="81" t="s">
        <v>10</v>
      </c>
      <c r="I42" s="82"/>
      <c r="J42" s="82"/>
      <c r="K42" s="83"/>
      <c r="L42" s="83"/>
      <c r="M42" s="83"/>
      <c r="N42" s="83"/>
      <c r="O42" s="83"/>
      <c r="P42" s="83"/>
      <c r="Q42" s="83"/>
      <c r="R42" s="83"/>
      <c r="S42" s="83"/>
      <c r="T42" s="83"/>
      <c r="U42" s="83"/>
      <c r="V42" s="83"/>
      <c r="W42" s="83"/>
      <c r="X42" s="83"/>
      <c r="Y42" s="83"/>
      <c r="Z42" s="83"/>
      <c r="AA42" s="83"/>
    </row>
    <row r="43" ht="55.5" customHeight="1">
      <c r="A43" s="78"/>
      <c r="B43" s="78"/>
      <c r="C43" s="79" t="s">
        <v>169</v>
      </c>
      <c r="D43" s="84"/>
      <c r="E43" s="79" t="s">
        <v>170</v>
      </c>
      <c r="F43" s="79" t="s">
        <v>67</v>
      </c>
      <c r="G43" s="79" t="s">
        <v>132</v>
      </c>
      <c r="H43" s="81" t="s">
        <v>10</v>
      </c>
      <c r="I43" s="82"/>
      <c r="J43" s="82"/>
      <c r="K43" s="83"/>
      <c r="L43" s="83"/>
      <c r="M43" s="83"/>
      <c r="N43" s="83"/>
      <c r="O43" s="83"/>
      <c r="P43" s="83"/>
      <c r="Q43" s="83"/>
      <c r="R43" s="83"/>
      <c r="S43" s="83"/>
      <c r="T43" s="83"/>
      <c r="U43" s="83"/>
      <c r="V43" s="83"/>
      <c r="W43" s="83"/>
      <c r="X43" s="83"/>
      <c r="Y43" s="83"/>
      <c r="Z43" s="83"/>
      <c r="AA43" s="83"/>
    </row>
    <row r="44" ht="55.5" customHeight="1">
      <c r="A44" s="78"/>
      <c r="B44" s="78"/>
      <c r="C44" s="79" t="s">
        <v>171</v>
      </c>
      <c r="D44" s="12"/>
      <c r="E44" s="79" t="s">
        <v>172</v>
      </c>
      <c r="F44" s="79" t="s">
        <v>67</v>
      </c>
      <c r="G44" s="79" t="s">
        <v>132</v>
      </c>
      <c r="H44" s="81" t="s">
        <v>10</v>
      </c>
      <c r="I44" s="82"/>
      <c r="J44" s="82"/>
      <c r="K44" s="83"/>
      <c r="L44" s="83"/>
      <c r="M44" s="83"/>
      <c r="N44" s="83"/>
      <c r="O44" s="83"/>
      <c r="P44" s="83"/>
      <c r="Q44" s="83"/>
      <c r="R44" s="83"/>
      <c r="S44" s="83"/>
      <c r="T44" s="83"/>
      <c r="U44" s="83"/>
      <c r="V44" s="83"/>
      <c r="W44" s="83"/>
      <c r="X44" s="83"/>
      <c r="Y44" s="83"/>
      <c r="Z44" s="83"/>
      <c r="AA44" s="83"/>
    </row>
    <row r="45" ht="55.5" customHeight="1">
      <c r="A45" s="78"/>
      <c r="B45" s="78"/>
      <c r="C45" s="79" t="s">
        <v>173</v>
      </c>
      <c r="D45" s="80" t="s">
        <v>163</v>
      </c>
      <c r="E45" s="79" t="s">
        <v>174</v>
      </c>
      <c r="F45" s="79" t="s">
        <v>67</v>
      </c>
      <c r="G45" s="79" t="s">
        <v>132</v>
      </c>
      <c r="H45" s="81" t="s">
        <v>10</v>
      </c>
      <c r="I45" s="82"/>
      <c r="J45" s="82"/>
      <c r="K45" s="83"/>
      <c r="L45" s="83"/>
      <c r="M45" s="83"/>
      <c r="N45" s="83"/>
      <c r="O45" s="83"/>
      <c r="P45" s="83"/>
      <c r="Q45" s="83"/>
      <c r="R45" s="83"/>
      <c r="S45" s="83"/>
      <c r="T45" s="83"/>
      <c r="U45" s="83"/>
      <c r="V45" s="83"/>
      <c r="W45" s="83"/>
      <c r="X45" s="83"/>
      <c r="Y45" s="83"/>
      <c r="Z45" s="83"/>
      <c r="AA45" s="83"/>
    </row>
    <row r="46" ht="55.5" customHeight="1">
      <c r="A46" s="78"/>
      <c r="B46" s="78"/>
      <c r="C46" s="79" t="s">
        <v>175</v>
      </c>
      <c r="D46" s="84"/>
      <c r="E46" s="79" t="s">
        <v>176</v>
      </c>
      <c r="F46" s="79" t="s">
        <v>67</v>
      </c>
      <c r="G46" s="79" t="s">
        <v>132</v>
      </c>
      <c r="H46" s="81" t="s">
        <v>10</v>
      </c>
      <c r="I46" s="82"/>
      <c r="J46" s="82"/>
      <c r="K46" s="83"/>
      <c r="L46" s="83"/>
      <c r="M46" s="83"/>
      <c r="N46" s="83"/>
      <c r="O46" s="83"/>
      <c r="P46" s="83"/>
      <c r="Q46" s="83"/>
      <c r="R46" s="83"/>
      <c r="S46" s="83"/>
      <c r="T46" s="83"/>
      <c r="U46" s="83"/>
      <c r="V46" s="83"/>
      <c r="W46" s="83"/>
      <c r="X46" s="83"/>
      <c r="Y46" s="83"/>
      <c r="Z46" s="83"/>
      <c r="AA46" s="83"/>
    </row>
    <row r="47" ht="55.5" customHeight="1">
      <c r="A47" s="78"/>
      <c r="B47" s="78"/>
      <c r="C47" s="79" t="s">
        <v>177</v>
      </c>
      <c r="D47" s="84"/>
      <c r="E47" s="79" t="s">
        <v>178</v>
      </c>
      <c r="F47" s="79" t="s">
        <v>67</v>
      </c>
      <c r="G47" s="79" t="s">
        <v>132</v>
      </c>
      <c r="H47" s="81" t="s">
        <v>10</v>
      </c>
      <c r="I47" s="82"/>
      <c r="J47" s="82"/>
      <c r="K47" s="83"/>
      <c r="L47" s="83"/>
      <c r="M47" s="83"/>
      <c r="N47" s="83"/>
      <c r="O47" s="83"/>
      <c r="P47" s="83"/>
      <c r="Q47" s="83"/>
      <c r="R47" s="83"/>
      <c r="S47" s="83"/>
      <c r="T47" s="83"/>
      <c r="U47" s="83"/>
      <c r="V47" s="83"/>
      <c r="W47" s="83"/>
      <c r="X47" s="83"/>
      <c r="Y47" s="83"/>
      <c r="Z47" s="83"/>
      <c r="AA47" s="83"/>
    </row>
    <row r="48" ht="55.5" customHeight="1">
      <c r="A48" s="78"/>
      <c r="B48" s="78"/>
      <c r="C48" s="79" t="s">
        <v>179</v>
      </c>
      <c r="D48" s="84"/>
      <c r="E48" s="79" t="s">
        <v>180</v>
      </c>
      <c r="F48" s="79" t="s">
        <v>67</v>
      </c>
      <c r="G48" s="79" t="s">
        <v>132</v>
      </c>
      <c r="H48" s="81" t="s">
        <v>10</v>
      </c>
      <c r="I48" s="82"/>
      <c r="J48" s="82"/>
      <c r="K48" s="83"/>
      <c r="L48" s="83"/>
      <c r="M48" s="83"/>
      <c r="N48" s="83"/>
      <c r="O48" s="83"/>
      <c r="P48" s="83"/>
      <c r="Q48" s="83"/>
      <c r="R48" s="83"/>
      <c r="S48" s="83"/>
      <c r="T48" s="83"/>
      <c r="U48" s="83"/>
      <c r="V48" s="83"/>
      <c r="W48" s="83"/>
      <c r="X48" s="83"/>
      <c r="Y48" s="83"/>
      <c r="Z48" s="83"/>
      <c r="AA48" s="83"/>
    </row>
    <row r="49" ht="55.5" customHeight="1">
      <c r="A49" s="78"/>
      <c r="B49" s="78"/>
      <c r="C49" s="79" t="s">
        <v>181</v>
      </c>
      <c r="D49" s="84"/>
      <c r="E49" s="79" t="s">
        <v>182</v>
      </c>
      <c r="F49" s="79" t="s">
        <v>67</v>
      </c>
      <c r="G49" s="79" t="s">
        <v>132</v>
      </c>
      <c r="H49" s="81" t="s">
        <v>10</v>
      </c>
      <c r="I49" s="82"/>
      <c r="J49" s="82"/>
      <c r="K49" s="83"/>
      <c r="L49" s="83"/>
      <c r="M49" s="83"/>
      <c r="N49" s="83"/>
      <c r="O49" s="83"/>
      <c r="P49" s="83"/>
      <c r="Q49" s="83"/>
      <c r="R49" s="83"/>
      <c r="S49" s="83"/>
      <c r="T49" s="83"/>
      <c r="U49" s="83"/>
      <c r="V49" s="83"/>
      <c r="W49" s="83"/>
      <c r="X49" s="83"/>
      <c r="Y49" s="83"/>
      <c r="Z49" s="83"/>
      <c r="AA49" s="83"/>
    </row>
    <row r="50" ht="55.5" customHeight="1">
      <c r="A50" s="78"/>
      <c r="B50" s="78"/>
      <c r="C50" s="79" t="s">
        <v>183</v>
      </c>
      <c r="D50" s="84"/>
      <c r="E50" s="79" t="s">
        <v>184</v>
      </c>
      <c r="F50" s="79" t="s">
        <v>67</v>
      </c>
      <c r="G50" s="79" t="s">
        <v>132</v>
      </c>
      <c r="H50" s="81" t="s">
        <v>10</v>
      </c>
      <c r="I50" s="82"/>
      <c r="J50" s="82"/>
      <c r="K50" s="83"/>
      <c r="L50" s="83"/>
      <c r="M50" s="83"/>
      <c r="N50" s="83"/>
      <c r="O50" s="83"/>
      <c r="P50" s="83"/>
      <c r="Q50" s="83"/>
      <c r="R50" s="83"/>
      <c r="S50" s="83"/>
      <c r="T50" s="83"/>
      <c r="U50" s="83"/>
      <c r="V50" s="83"/>
      <c r="W50" s="83"/>
      <c r="X50" s="83"/>
      <c r="Y50" s="83"/>
      <c r="Z50" s="83"/>
      <c r="AA50" s="83"/>
    </row>
    <row r="51" ht="55.5" customHeight="1">
      <c r="A51" s="78"/>
      <c r="B51" s="78"/>
      <c r="C51" s="79" t="s">
        <v>185</v>
      </c>
      <c r="D51" s="84"/>
      <c r="E51" s="79" t="s">
        <v>186</v>
      </c>
      <c r="F51" s="79" t="s">
        <v>67</v>
      </c>
      <c r="G51" s="79" t="s">
        <v>132</v>
      </c>
      <c r="H51" s="81" t="s">
        <v>10</v>
      </c>
      <c r="I51" s="82"/>
      <c r="J51" s="82"/>
      <c r="K51" s="83"/>
      <c r="L51" s="83"/>
      <c r="M51" s="83"/>
      <c r="N51" s="83"/>
      <c r="O51" s="83"/>
      <c r="P51" s="83"/>
      <c r="Q51" s="83"/>
      <c r="R51" s="83"/>
      <c r="S51" s="83"/>
      <c r="T51" s="83"/>
      <c r="U51" s="83"/>
      <c r="V51" s="83"/>
      <c r="W51" s="83"/>
      <c r="X51" s="83"/>
      <c r="Y51" s="83"/>
      <c r="Z51" s="83"/>
      <c r="AA51" s="83"/>
    </row>
    <row r="52" ht="55.5" customHeight="1">
      <c r="A52" s="78"/>
      <c r="B52" s="78"/>
      <c r="C52" s="79" t="s">
        <v>187</v>
      </c>
      <c r="D52" s="12"/>
      <c r="E52" s="79" t="s">
        <v>188</v>
      </c>
      <c r="F52" s="79" t="s">
        <v>67</v>
      </c>
      <c r="G52" s="79" t="s">
        <v>132</v>
      </c>
      <c r="H52" s="81" t="s">
        <v>10</v>
      </c>
      <c r="I52" s="82"/>
      <c r="J52" s="82"/>
      <c r="K52" s="83"/>
      <c r="L52" s="83"/>
      <c r="M52" s="83"/>
      <c r="N52" s="83"/>
      <c r="O52" s="83"/>
      <c r="P52" s="83"/>
      <c r="Q52" s="83"/>
      <c r="R52" s="83"/>
      <c r="S52" s="83"/>
      <c r="T52" s="83"/>
      <c r="U52" s="83"/>
      <c r="V52" s="83"/>
      <c r="W52" s="83"/>
      <c r="X52" s="83"/>
      <c r="Y52" s="83"/>
      <c r="Z52" s="83"/>
      <c r="AA52" s="83"/>
    </row>
    <row r="53" ht="55.5" customHeight="1">
      <c r="A53" s="78"/>
      <c r="B53" s="78"/>
      <c r="C53" s="79" t="s">
        <v>189</v>
      </c>
      <c r="D53" s="79" t="s">
        <v>190</v>
      </c>
      <c r="E53" s="79" t="s">
        <v>191</v>
      </c>
      <c r="F53" s="79" t="s">
        <v>67</v>
      </c>
      <c r="G53" s="79" t="s">
        <v>132</v>
      </c>
      <c r="H53" s="81" t="s">
        <v>10</v>
      </c>
      <c r="I53" s="82"/>
      <c r="J53" s="82"/>
      <c r="K53" s="83"/>
      <c r="L53" s="83"/>
      <c r="M53" s="83"/>
      <c r="N53" s="83"/>
      <c r="O53" s="83"/>
      <c r="P53" s="83"/>
      <c r="Q53" s="83"/>
      <c r="R53" s="83"/>
      <c r="S53" s="83"/>
      <c r="T53" s="83"/>
      <c r="U53" s="83"/>
      <c r="V53" s="83"/>
      <c r="W53" s="83"/>
      <c r="X53" s="83"/>
      <c r="Y53" s="83"/>
      <c r="Z53" s="83"/>
      <c r="AA53" s="83"/>
    </row>
    <row r="54" ht="55.5" customHeight="1">
      <c r="A54" s="78"/>
      <c r="B54" s="78"/>
      <c r="C54" s="79" t="s">
        <v>192</v>
      </c>
      <c r="D54" s="80" t="s">
        <v>193</v>
      </c>
      <c r="E54" s="79" t="s">
        <v>194</v>
      </c>
      <c r="F54" s="79" t="s">
        <v>67</v>
      </c>
      <c r="G54" s="79" t="s">
        <v>195</v>
      </c>
      <c r="H54" s="81" t="s">
        <v>10</v>
      </c>
      <c r="I54" s="82"/>
      <c r="J54" s="82"/>
      <c r="K54" s="83"/>
      <c r="L54" s="83"/>
      <c r="M54" s="83"/>
      <c r="N54" s="83"/>
      <c r="O54" s="83"/>
      <c r="P54" s="83"/>
      <c r="Q54" s="83"/>
      <c r="R54" s="83"/>
      <c r="S54" s="83"/>
      <c r="T54" s="83"/>
      <c r="U54" s="83"/>
      <c r="V54" s="83"/>
      <c r="W54" s="83"/>
      <c r="X54" s="83"/>
      <c r="Y54" s="83"/>
      <c r="Z54" s="83"/>
      <c r="AA54" s="83"/>
    </row>
    <row r="55" ht="55.5" customHeight="1">
      <c r="A55" s="78"/>
      <c r="B55" s="78"/>
      <c r="C55" s="79" t="s">
        <v>196</v>
      </c>
      <c r="D55" s="84"/>
      <c r="E55" s="79" t="s">
        <v>197</v>
      </c>
      <c r="F55" s="79" t="s">
        <v>67</v>
      </c>
      <c r="G55" s="79" t="s">
        <v>195</v>
      </c>
      <c r="H55" s="81" t="s">
        <v>10</v>
      </c>
      <c r="I55" s="82"/>
      <c r="J55" s="82"/>
      <c r="K55" s="83"/>
      <c r="L55" s="83"/>
      <c r="M55" s="83"/>
      <c r="N55" s="83"/>
      <c r="O55" s="83"/>
      <c r="P55" s="83"/>
      <c r="Q55" s="83"/>
      <c r="R55" s="83"/>
      <c r="S55" s="83"/>
      <c r="T55" s="83"/>
      <c r="U55" s="83"/>
      <c r="V55" s="83"/>
      <c r="W55" s="83"/>
      <c r="X55" s="83"/>
      <c r="Y55" s="83"/>
      <c r="Z55" s="83"/>
      <c r="AA55" s="83"/>
    </row>
    <row r="56" ht="55.5" customHeight="1">
      <c r="A56" s="78"/>
      <c r="B56" s="78"/>
      <c r="C56" s="79" t="s">
        <v>198</v>
      </c>
      <c r="D56" s="12"/>
      <c r="E56" s="79" t="s">
        <v>199</v>
      </c>
      <c r="F56" s="79" t="s">
        <v>67</v>
      </c>
      <c r="G56" s="79" t="s">
        <v>200</v>
      </c>
      <c r="H56" s="81" t="s">
        <v>10</v>
      </c>
      <c r="I56" s="82"/>
      <c r="J56" s="82"/>
      <c r="K56" s="83"/>
      <c r="L56" s="83"/>
      <c r="M56" s="83"/>
      <c r="N56" s="83"/>
      <c r="O56" s="83"/>
      <c r="P56" s="83"/>
      <c r="Q56" s="83"/>
      <c r="R56" s="83"/>
      <c r="S56" s="83"/>
      <c r="T56" s="83"/>
      <c r="U56" s="83"/>
      <c r="V56" s="83"/>
      <c r="W56" s="83"/>
      <c r="X56" s="83"/>
      <c r="Y56" s="83"/>
      <c r="Z56" s="83"/>
      <c r="AA56" s="83"/>
    </row>
    <row r="57" ht="55.5" customHeight="1">
      <c r="A57" s="78"/>
      <c r="B57" s="78"/>
      <c r="C57" s="79" t="s">
        <v>201</v>
      </c>
      <c r="D57" s="79" t="s">
        <v>202</v>
      </c>
      <c r="E57" s="79" t="s">
        <v>203</v>
      </c>
      <c r="F57" s="79" t="s">
        <v>67</v>
      </c>
      <c r="G57" s="79" t="s">
        <v>204</v>
      </c>
      <c r="H57" s="81" t="s">
        <v>10</v>
      </c>
      <c r="I57" s="82"/>
      <c r="J57" s="82"/>
      <c r="K57" s="83"/>
      <c r="L57" s="83"/>
      <c r="M57" s="83"/>
      <c r="N57" s="83"/>
      <c r="O57" s="83"/>
      <c r="P57" s="83"/>
      <c r="Q57" s="83"/>
      <c r="R57" s="83"/>
      <c r="S57" s="83"/>
      <c r="T57" s="83"/>
      <c r="U57" s="83"/>
      <c r="V57" s="83"/>
      <c r="W57" s="83"/>
      <c r="X57" s="83"/>
      <c r="Y57" s="83"/>
      <c r="Z57" s="83"/>
      <c r="AA57" s="83"/>
    </row>
    <row r="58" ht="55.5" customHeight="1">
      <c r="A58" s="78"/>
      <c r="B58" s="78"/>
      <c r="C58" s="79" t="s">
        <v>205</v>
      </c>
      <c r="D58" s="80" t="s">
        <v>206</v>
      </c>
      <c r="E58" s="79" t="s">
        <v>207</v>
      </c>
      <c r="F58" s="79" t="s">
        <v>67</v>
      </c>
      <c r="G58" s="79" t="s">
        <v>147</v>
      </c>
      <c r="H58" s="81" t="s">
        <v>10</v>
      </c>
      <c r="I58" s="82"/>
      <c r="J58" s="82"/>
      <c r="K58" s="83"/>
      <c r="L58" s="83"/>
      <c r="M58" s="83"/>
      <c r="N58" s="83"/>
      <c r="O58" s="83"/>
      <c r="P58" s="83"/>
      <c r="Q58" s="83"/>
      <c r="R58" s="83"/>
      <c r="S58" s="83"/>
      <c r="T58" s="83"/>
      <c r="U58" s="83"/>
      <c r="V58" s="83"/>
      <c r="W58" s="83"/>
      <c r="X58" s="83"/>
      <c r="Y58" s="83"/>
      <c r="Z58" s="83"/>
      <c r="AA58" s="83"/>
    </row>
    <row r="59" ht="55.5" customHeight="1">
      <c r="A59" s="78"/>
      <c r="B59" s="78"/>
      <c r="C59" s="79" t="s">
        <v>208</v>
      </c>
      <c r="D59" s="84"/>
      <c r="E59" s="79" t="s">
        <v>209</v>
      </c>
      <c r="F59" s="79" t="s">
        <v>67</v>
      </c>
      <c r="G59" s="79" t="s">
        <v>210</v>
      </c>
      <c r="H59" s="81" t="s">
        <v>10</v>
      </c>
      <c r="I59" s="82"/>
      <c r="J59" s="82"/>
      <c r="K59" s="83"/>
      <c r="L59" s="83"/>
      <c r="M59" s="83"/>
      <c r="N59" s="83"/>
      <c r="O59" s="83"/>
      <c r="P59" s="83"/>
      <c r="Q59" s="83"/>
      <c r="R59" s="83"/>
      <c r="S59" s="83"/>
      <c r="T59" s="83"/>
      <c r="U59" s="83"/>
      <c r="V59" s="83"/>
      <c r="W59" s="83"/>
      <c r="X59" s="83"/>
      <c r="Y59" s="83"/>
      <c r="Z59" s="83"/>
      <c r="AA59" s="83"/>
    </row>
    <row r="60" ht="55.5" customHeight="1">
      <c r="A60" s="78"/>
      <c r="B60" s="78"/>
      <c r="C60" s="79" t="s">
        <v>211</v>
      </c>
      <c r="D60" s="84"/>
      <c r="E60" s="79" t="s">
        <v>212</v>
      </c>
      <c r="F60" s="79" t="s">
        <v>67</v>
      </c>
      <c r="G60" s="79" t="s">
        <v>210</v>
      </c>
      <c r="H60" s="81" t="s">
        <v>10</v>
      </c>
      <c r="I60" s="82"/>
      <c r="J60" s="82"/>
      <c r="K60" s="83"/>
      <c r="L60" s="83"/>
      <c r="M60" s="83"/>
      <c r="N60" s="83"/>
      <c r="O60" s="83"/>
      <c r="P60" s="83"/>
      <c r="Q60" s="83"/>
      <c r="R60" s="83"/>
      <c r="S60" s="83"/>
      <c r="T60" s="83"/>
      <c r="U60" s="83"/>
      <c r="V60" s="83"/>
      <c r="W60" s="83"/>
      <c r="X60" s="83"/>
      <c r="Y60" s="83"/>
      <c r="Z60" s="83"/>
      <c r="AA60" s="83"/>
    </row>
    <row r="61" ht="55.5" customHeight="1">
      <c r="A61" s="78"/>
      <c r="B61" s="78"/>
      <c r="C61" s="79" t="s">
        <v>213</v>
      </c>
      <c r="D61" s="84"/>
      <c r="E61" s="79" t="s">
        <v>214</v>
      </c>
      <c r="F61" s="79" t="s">
        <v>67</v>
      </c>
      <c r="G61" s="79" t="s">
        <v>210</v>
      </c>
      <c r="H61" s="81" t="s">
        <v>10</v>
      </c>
      <c r="I61" s="82"/>
      <c r="J61" s="82"/>
      <c r="K61" s="83"/>
      <c r="L61" s="83"/>
      <c r="M61" s="83"/>
      <c r="N61" s="83"/>
      <c r="O61" s="83"/>
      <c r="P61" s="83"/>
      <c r="Q61" s="83"/>
      <c r="R61" s="83"/>
      <c r="S61" s="83"/>
      <c r="T61" s="83"/>
      <c r="U61" s="83"/>
      <c r="V61" s="83"/>
      <c r="W61" s="83"/>
      <c r="X61" s="83"/>
      <c r="Y61" s="83"/>
      <c r="Z61" s="83"/>
      <c r="AA61" s="83"/>
    </row>
    <row r="62" ht="55.5" customHeight="1">
      <c r="A62" s="78"/>
      <c r="B62" s="78"/>
      <c r="C62" s="79" t="s">
        <v>215</v>
      </c>
      <c r="D62" s="84"/>
      <c r="E62" s="79" t="s">
        <v>216</v>
      </c>
      <c r="F62" s="79" t="s">
        <v>67</v>
      </c>
      <c r="G62" s="79" t="s">
        <v>210</v>
      </c>
      <c r="H62" s="81" t="s">
        <v>10</v>
      </c>
      <c r="I62" s="82"/>
      <c r="J62" s="82"/>
      <c r="K62" s="83"/>
      <c r="L62" s="83"/>
      <c r="M62" s="83"/>
      <c r="N62" s="83"/>
      <c r="O62" s="83"/>
      <c r="P62" s="83"/>
      <c r="Q62" s="83"/>
      <c r="R62" s="83"/>
      <c r="S62" s="83"/>
      <c r="T62" s="83"/>
      <c r="U62" s="83"/>
      <c r="V62" s="83"/>
      <c r="W62" s="83"/>
      <c r="X62" s="83"/>
      <c r="Y62" s="83"/>
      <c r="Z62" s="83"/>
      <c r="AA62" s="83"/>
    </row>
    <row r="63" ht="55.5" customHeight="1">
      <c r="A63" s="78"/>
      <c r="B63" s="78"/>
      <c r="C63" s="79" t="s">
        <v>217</v>
      </c>
      <c r="D63" s="12"/>
      <c r="E63" s="79" t="s">
        <v>218</v>
      </c>
      <c r="F63" s="79" t="s">
        <v>67</v>
      </c>
      <c r="G63" s="79" t="s">
        <v>219</v>
      </c>
      <c r="H63" s="81" t="s">
        <v>10</v>
      </c>
      <c r="I63" s="82"/>
      <c r="J63" s="82"/>
      <c r="K63" s="83"/>
      <c r="L63" s="83"/>
      <c r="M63" s="83"/>
      <c r="N63" s="83"/>
      <c r="O63" s="83"/>
      <c r="P63" s="83"/>
      <c r="Q63" s="83"/>
      <c r="R63" s="83"/>
      <c r="S63" s="83"/>
      <c r="T63" s="83"/>
      <c r="U63" s="83"/>
      <c r="V63" s="83"/>
      <c r="W63" s="83"/>
      <c r="X63" s="83"/>
      <c r="Y63" s="83"/>
      <c r="Z63" s="83"/>
      <c r="AA63" s="83"/>
    </row>
    <row r="64" ht="55.5" customHeight="1">
      <c r="A64" s="86" t="s">
        <v>220</v>
      </c>
      <c r="B64" s="87" t="s">
        <v>221</v>
      </c>
      <c r="C64" s="86" t="s">
        <v>47</v>
      </c>
      <c r="D64" s="87" t="s">
        <v>48</v>
      </c>
      <c r="E64" s="86" t="s">
        <v>49</v>
      </c>
      <c r="F64" s="86" t="s">
        <v>50</v>
      </c>
      <c r="G64" s="86" t="s">
        <v>51</v>
      </c>
      <c r="H64" s="81" t="s">
        <v>10</v>
      </c>
      <c r="I64" s="88"/>
      <c r="J64" s="88"/>
      <c r="K64" s="89"/>
      <c r="L64" s="89"/>
      <c r="M64" s="89"/>
      <c r="N64" s="89"/>
      <c r="O64" s="89"/>
      <c r="P64" s="89"/>
      <c r="Q64" s="89"/>
      <c r="R64" s="89"/>
      <c r="S64" s="89"/>
      <c r="T64" s="89"/>
      <c r="U64" s="89"/>
      <c r="V64" s="89"/>
      <c r="W64" s="89"/>
      <c r="X64" s="89"/>
      <c r="Y64" s="89"/>
      <c r="Z64" s="89"/>
      <c r="AA64" s="89"/>
    </row>
    <row r="65" ht="55.5" customHeight="1">
      <c r="A65" s="86" t="s">
        <v>220</v>
      </c>
      <c r="B65" s="84"/>
      <c r="C65" s="86" t="s">
        <v>52</v>
      </c>
      <c r="D65" s="84"/>
      <c r="E65" s="86" t="s">
        <v>53</v>
      </c>
      <c r="F65" s="86" t="s">
        <v>50</v>
      </c>
      <c r="G65" s="86" t="s">
        <v>222</v>
      </c>
      <c r="H65" s="81" t="s">
        <v>10</v>
      </c>
      <c r="I65" s="88"/>
      <c r="J65" s="88"/>
      <c r="K65" s="89"/>
      <c r="L65" s="89"/>
      <c r="M65" s="89"/>
      <c r="N65" s="89"/>
      <c r="O65" s="89"/>
      <c r="P65" s="89"/>
      <c r="Q65" s="89"/>
      <c r="R65" s="89"/>
      <c r="S65" s="89"/>
      <c r="T65" s="89"/>
      <c r="U65" s="89"/>
      <c r="V65" s="89"/>
      <c r="W65" s="89"/>
      <c r="X65" s="89"/>
      <c r="Y65" s="89"/>
      <c r="Z65" s="89"/>
      <c r="AA65" s="89"/>
    </row>
    <row r="66" ht="55.5" customHeight="1">
      <c r="A66" s="86" t="s">
        <v>220</v>
      </c>
      <c r="B66" s="84"/>
      <c r="C66" s="86" t="s">
        <v>55</v>
      </c>
      <c r="D66" s="84"/>
      <c r="E66" s="86" t="s">
        <v>56</v>
      </c>
      <c r="F66" s="86" t="s">
        <v>50</v>
      </c>
      <c r="G66" s="86" t="s">
        <v>57</v>
      </c>
      <c r="H66" s="81" t="s">
        <v>10</v>
      </c>
      <c r="I66" s="88"/>
      <c r="J66" s="88"/>
      <c r="K66" s="89"/>
      <c r="L66" s="89"/>
      <c r="M66" s="89"/>
      <c r="N66" s="89"/>
      <c r="O66" s="89"/>
      <c r="P66" s="89"/>
      <c r="Q66" s="89"/>
      <c r="R66" s="89"/>
      <c r="S66" s="89"/>
      <c r="T66" s="89"/>
      <c r="U66" s="89"/>
      <c r="V66" s="89"/>
      <c r="W66" s="89"/>
      <c r="X66" s="89"/>
      <c r="Y66" s="89"/>
      <c r="Z66" s="89"/>
      <c r="AA66" s="89"/>
    </row>
    <row r="67" ht="55.5" customHeight="1">
      <c r="A67" s="86" t="s">
        <v>220</v>
      </c>
      <c r="B67" s="84"/>
      <c r="C67" s="86" t="s">
        <v>58</v>
      </c>
      <c r="D67" s="84"/>
      <c r="E67" s="86" t="s">
        <v>223</v>
      </c>
      <c r="F67" s="86" t="s">
        <v>224</v>
      </c>
      <c r="G67" s="86" t="s">
        <v>61</v>
      </c>
      <c r="H67" s="81" t="s">
        <v>10</v>
      </c>
      <c r="I67" s="88"/>
      <c r="J67" s="88"/>
      <c r="K67" s="89"/>
      <c r="L67" s="89"/>
      <c r="M67" s="89"/>
      <c r="N67" s="89"/>
      <c r="O67" s="89"/>
      <c r="P67" s="89"/>
      <c r="Q67" s="89"/>
      <c r="R67" s="89"/>
      <c r="S67" s="89"/>
      <c r="T67" s="89"/>
      <c r="U67" s="89"/>
      <c r="V67" s="89"/>
      <c r="W67" s="89"/>
      <c r="X67" s="89"/>
      <c r="Y67" s="89"/>
      <c r="Z67" s="89"/>
      <c r="AA67" s="89"/>
    </row>
    <row r="68" ht="55.5" customHeight="1">
      <c r="A68" s="86" t="s">
        <v>220</v>
      </c>
      <c r="B68" s="84"/>
      <c r="C68" s="86" t="s">
        <v>62</v>
      </c>
      <c r="D68" s="84"/>
      <c r="E68" s="86" t="s">
        <v>225</v>
      </c>
      <c r="F68" s="86" t="s">
        <v>226</v>
      </c>
      <c r="G68" s="86" t="s">
        <v>61</v>
      </c>
      <c r="H68" s="81" t="s">
        <v>10</v>
      </c>
      <c r="I68" s="88"/>
      <c r="J68" s="88"/>
      <c r="K68" s="89"/>
      <c r="L68" s="89"/>
      <c r="M68" s="89"/>
      <c r="N68" s="89"/>
      <c r="O68" s="89"/>
      <c r="P68" s="89"/>
      <c r="Q68" s="89"/>
      <c r="R68" s="89"/>
      <c r="S68" s="89"/>
      <c r="T68" s="89"/>
      <c r="U68" s="89"/>
      <c r="V68" s="89"/>
      <c r="W68" s="89"/>
      <c r="X68" s="89"/>
      <c r="Y68" s="89"/>
      <c r="Z68" s="89"/>
      <c r="AA68" s="89"/>
    </row>
    <row r="69" ht="55.5" customHeight="1">
      <c r="A69" s="86" t="s">
        <v>220</v>
      </c>
      <c r="B69" s="84"/>
      <c r="C69" s="86" t="s">
        <v>64</v>
      </c>
      <c r="D69" s="84"/>
      <c r="E69" s="86" t="s">
        <v>227</v>
      </c>
      <c r="F69" s="86" t="s">
        <v>228</v>
      </c>
      <c r="G69" s="86" t="s">
        <v>229</v>
      </c>
      <c r="H69" s="81" t="s">
        <v>10</v>
      </c>
      <c r="I69" s="88"/>
      <c r="J69" s="88"/>
      <c r="K69" s="89"/>
      <c r="L69" s="89"/>
      <c r="M69" s="89"/>
      <c r="N69" s="89"/>
      <c r="O69" s="89"/>
      <c r="P69" s="89"/>
      <c r="Q69" s="89"/>
      <c r="R69" s="89"/>
      <c r="S69" s="89"/>
      <c r="T69" s="89"/>
      <c r="U69" s="89"/>
      <c r="V69" s="89"/>
      <c r="W69" s="89"/>
      <c r="X69" s="89"/>
      <c r="Y69" s="89"/>
      <c r="Z69" s="89"/>
      <c r="AA69" s="89"/>
    </row>
    <row r="70" ht="55.5" customHeight="1">
      <c r="A70" s="86" t="s">
        <v>220</v>
      </c>
      <c r="B70" s="84"/>
      <c r="C70" s="86" t="s">
        <v>69</v>
      </c>
      <c r="D70" s="84"/>
      <c r="E70" s="86" t="s">
        <v>230</v>
      </c>
      <c r="F70" s="86" t="s">
        <v>228</v>
      </c>
      <c r="G70" s="86" t="s">
        <v>231</v>
      </c>
      <c r="H70" s="81" t="s">
        <v>10</v>
      </c>
      <c r="I70" s="88"/>
      <c r="J70" s="88"/>
      <c r="K70" s="89"/>
      <c r="L70" s="89"/>
      <c r="M70" s="89"/>
      <c r="N70" s="89"/>
      <c r="O70" s="89"/>
      <c r="P70" s="89"/>
      <c r="Q70" s="89"/>
      <c r="R70" s="89"/>
      <c r="S70" s="89"/>
      <c r="T70" s="89"/>
      <c r="U70" s="89"/>
      <c r="V70" s="89"/>
      <c r="W70" s="89"/>
      <c r="X70" s="89"/>
      <c r="Y70" s="89"/>
      <c r="Z70" s="89"/>
      <c r="AA70" s="89"/>
    </row>
    <row r="71" ht="55.5" customHeight="1">
      <c r="A71" s="86" t="s">
        <v>220</v>
      </c>
      <c r="B71" s="84"/>
      <c r="C71" s="86" t="s">
        <v>72</v>
      </c>
      <c r="D71" s="84"/>
      <c r="E71" s="86" t="s">
        <v>232</v>
      </c>
      <c r="F71" s="86" t="s">
        <v>228</v>
      </c>
      <c r="G71" s="86" t="s">
        <v>233</v>
      </c>
      <c r="H71" s="81" t="s">
        <v>10</v>
      </c>
      <c r="I71" s="88"/>
      <c r="J71" s="88"/>
      <c r="K71" s="89"/>
      <c r="L71" s="89"/>
      <c r="M71" s="89"/>
      <c r="N71" s="89"/>
      <c r="O71" s="89"/>
      <c r="P71" s="89"/>
      <c r="Q71" s="89"/>
      <c r="R71" s="89"/>
      <c r="S71" s="89"/>
      <c r="T71" s="89"/>
      <c r="U71" s="89"/>
      <c r="V71" s="89"/>
      <c r="W71" s="89"/>
      <c r="X71" s="89"/>
      <c r="Y71" s="89"/>
      <c r="Z71" s="89"/>
      <c r="AA71" s="89"/>
    </row>
    <row r="72" ht="55.5" customHeight="1">
      <c r="A72" s="86" t="s">
        <v>220</v>
      </c>
      <c r="B72" s="84"/>
      <c r="C72" s="86" t="s">
        <v>75</v>
      </c>
      <c r="D72" s="84"/>
      <c r="E72" s="86" t="s">
        <v>234</v>
      </c>
      <c r="F72" s="86" t="s">
        <v>228</v>
      </c>
      <c r="G72" s="86" t="s">
        <v>235</v>
      </c>
      <c r="H72" s="81" t="s">
        <v>10</v>
      </c>
      <c r="I72" s="88"/>
      <c r="J72" s="88"/>
      <c r="K72" s="89"/>
      <c r="L72" s="89"/>
      <c r="M72" s="89"/>
      <c r="N72" s="89"/>
      <c r="O72" s="89"/>
      <c r="P72" s="89"/>
      <c r="Q72" s="89"/>
      <c r="R72" s="89"/>
      <c r="S72" s="89"/>
      <c r="T72" s="89"/>
      <c r="U72" s="89"/>
      <c r="V72" s="89"/>
      <c r="W72" s="89"/>
      <c r="X72" s="89"/>
      <c r="Y72" s="89"/>
      <c r="Z72" s="89"/>
      <c r="AA72" s="89"/>
    </row>
    <row r="73" ht="55.5" customHeight="1">
      <c r="A73" s="86" t="s">
        <v>220</v>
      </c>
      <c r="B73" s="84"/>
      <c r="C73" s="86" t="s">
        <v>79</v>
      </c>
      <c r="D73" s="12"/>
      <c r="E73" s="86" t="s">
        <v>236</v>
      </c>
      <c r="F73" s="86" t="s">
        <v>228</v>
      </c>
      <c r="G73" s="86" t="s">
        <v>61</v>
      </c>
      <c r="H73" s="81" t="s">
        <v>10</v>
      </c>
      <c r="I73" s="88"/>
      <c r="J73" s="88"/>
      <c r="K73" s="89"/>
      <c r="L73" s="89"/>
      <c r="M73" s="89"/>
      <c r="N73" s="89"/>
      <c r="O73" s="89"/>
      <c r="P73" s="89"/>
      <c r="Q73" s="89"/>
      <c r="R73" s="89"/>
      <c r="S73" s="89"/>
      <c r="T73" s="89"/>
      <c r="U73" s="89"/>
      <c r="V73" s="89"/>
      <c r="W73" s="89"/>
      <c r="X73" s="89"/>
      <c r="Y73" s="89"/>
      <c r="Z73" s="89"/>
      <c r="AA73" s="89"/>
    </row>
    <row r="74" ht="55.5" customHeight="1">
      <c r="A74" s="86" t="s">
        <v>220</v>
      </c>
      <c r="B74" s="84"/>
      <c r="C74" s="86" t="s">
        <v>83</v>
      </c>
      <c r="D74" s="87" t="s">
        <v>65</v>
      </c>
      <c r="E74" s="86" t="s">
        <v>66</v>
      </c>
      <c r="F74" s="86" t="s">
        <v>67</v>
      </c>
      <c r="G74" s="86" t="s">
        <v>68</v>
      </c>
      <c r="H74" s="81" t="s">
        <v>10</v>
      </c>
      <c r="I74" s="88"/>
      <c r="J74" s="88"/>
      <c r="K74" s="89"/>
      <c r="L74" s="89"/>
      <c r="M74" s="89"/>
      <c r="N74" s="89"/>
      <c r="O74" s="89"/>
      <c r="P74" s="89"/>
      <c r="Q74" s="89"/>
      <c r="R74" s="89"/>
      <c r="S74" s="89"/>
      <c r="T74" s="89"/>
      <c r="U74" s="89"/>
      <c r="V74" s="89"/>
      <c r="W74" s="89"/>
      <c r="X74" s="89"/>
      <c r="Y74" s="89"/>
      <c r="Z74" s="89"/>
      <c r="AA74" s="89"/>
    </row>
    <row r="75" ht="55.5" customHeight="1">
      <c r="A75" s="90"/>
      <c r="B75" s="84"/>
      <c r="C75" s="86" t="s">
        <v>86</v>
      </c>
      <c r="D75" s="84"/>
      <c r="E75" s="86" t="s">
        <v>237</v>
      </c>
      <c r="F75" s="86" t="s">
        <v>67</v>
      </c>
      <c r="G75" s="86" t="s">
        <v>238</v>
      </c>
      <c r="H75" s="81" t="s">
        <v>10</v>
      </c>
      <c r="I75" s="91"/>
      <c r="J75" s="92"/>
      <c r="K75" s="89"/>
      <c r="L75" s="89"/>
      <c r="M75" s="89"/>
      <c r="N75" s="89"/>
      <c r="O75" s="89"/>
      <c r="P75" s="89"/>
      <c r="Q75" s="89"/>
      <c r="R75" s="89"/>
      <c r="S75" s="89"/>
      <c r="T75" s="89"/>
      <c r="U75" s="89"/>
      <c r="V75" s="89"/>
      <c r="W75" s="89"/>
      <c r="X75" s="89"/>
      <c r="Y75" s="89"/>
      <c r="Z75" s="89"/>
      <c r="AA75" s="89"/>
    </row>
    <row r="76" ht="55.5" customHeight="1">
      <c r="A76" s="86" t="s">
        <v>220</v>
      </c>
      <c r="B76" s="84"/>
      <c r="C76" s="86" t="s">
        <v>88</v>
      </c>
      <c r="D76" s="84"/>
      <c r="E76" s="86" t="s">
        <v>70</v>
      </c>
      <c r="F76" s="86" t="s">
        <v>67</v>
      </c>
      <c r="G76" s="86" t="s">
        <v>71</v>
      </c>
      <c r="H76" s="81" t="s">
        <v>10</v>
      </c>
      <c r="I76" s="88"/>
      <c r="J76" s="88"/>
      <c r="K76" s="89"/>
      <c r="L76" s="89"/>
      <c r="M76" s="89"/>
      <c r="N76" s="89"/>
      <c r="O76" s="89"/>
      <c r="P76" s="89"/>
      <c r="Q76" s="89"/>
      <c r="R76" s="89"/>
      <c r="S76" s="89"/>
      <c r="T76" s="89"/>
      <c r="U76" s="89"/>
      <c r="V76" s="89"/>
      <c r="W76" s="89"/>
      <c r="X76" s="89"/>
      <c r="Y76" s="89"/>
      <c r="Z76" s="89"/>
      <c r="AA76" s="89"/>
    </row>
    <row r="77" ht="55.5" customHeight="1">
      <c r="A77" s="86" t="s">
        <v>220</v>
      </c>
      <c r="B77" s="84"/>
      <c r="C77" s="86" t="s">
        <v>91</v>
      </c>
      <c r="D77" s="84"/>
      <c r="E77" s="86" t="s">
        <v>73</v>
      </c>
      <c r="F77" s="86" t="s">
        <v>67</v>
      </c>
      <c r="G77" s="86" t="s">
        <v>74</v>
      </c>
      <c r="H77" s="81" t="s">
        <v>10</v>
      </c>
      <c r="I77" s="88"/>
      <c r="J77" s="88"/>
      <c r="K77" s="89"/>
      <c r="L77" s="89"/>
      <c r="M77" s="89"/>
      <c r="N77" s="89"/>
      <c r="O77" s="89"/>
      <c r="P77" s="89"/>
      <c r="Q77" s="89"/>
      <c r="R77" s="89"/>
      <c r="S77" s="89"/>
      <c r="T77" s="89"/>
      <c r="U77" s="89"/>
      <c r="V77" s="89"/>
      <c r="W77" s="89"/>
      <c r="X77" s="89"/>
      <c r="Y77" s="89"/>
      <c r="Z77" s="89"/>
      <c r="AA77" s="89"/>
    </row>
    <row r="78" ht="55.5" customHeight="1">
      <c r="A78" s="86" t="s">
        <v>220</v>
      </c>
      <c r="B78" s="84"/>
      <c r="C78" s="86" t="s">
        <v>94</v>
      </c>
      <c r="D78" s="12"/>
      <c r="E78" s="86" t="s">
        <v>76</v>
      </c>
      <c r="F78" s="86" t="s">
        <v>77</v>
      </c>
      <c r="G78" s="86" t="s">
        <v>239</v>
      </c>
      <c r="H78" s="81" t="s">
        <v>10</v>
      </c>
      <c r="I78" s="88"/>
      <c r="J78" s="88"/>
      <c r="K78" s="89"/>
      <c r="L78" s="89"/>
      <c r="M78" s="89"/>
      <c r="N78" s="89"/>
      <c r="O78" s="89"/>
      <c r="P78" s="89"/>
      <c r="Q78" s="89"/>
      <c r="R78" s="89"/>
      <c r="S78" s="89"/>
      <c r="T78" s="89"/>
      <c r="U78" s="89"/>
      <c r="V78" s="89"/>
      <c r="W78" s="89"/>
      <c r="X78" s="89"/>
      <c r="Y78" s="89"/>
      <c r="Z78" s="89"/>
      <c r="AA78" s="89"/>
    </row>
    <row r="79" ht="55.5" customHeight="1">
      <c r="A79" s="86" t="s">
        <v>220</v>
      </c>
      <c r="B79" s="84"/>
      <c r="C79" s="86" t="s">
        <v>96</v>
      </c>
      <c r="D79" s="87" t="s">
        <v>80</v>
      </c>
      <c r="E79" s="86" t="s">
        <v>81</v>
      </c>
      <c r="F79" s="86" t="s">
        <v>67</v>
      </c>
      <c r="G79" s="86" t="s">
        <v>82</v>
      </c>
      <c r="H79" s="81" t="s">
        <v>10</v>
      </c>
      <c r="I79" s="88"/>
      <c r="J79" s="88"/>
      <c r="K79" s="89"/>
      <c r="L79" s="89"/>
      <c r="M79" s="89"/>
      <c r="N79" s="89"/>
      <c r="O79" s="89"/>
      <c r="P79" s="89"/>
      <c r="Q79" s="89"/>
      <c r="R79" s="89"/>
      <c r="S79" s="89"/>
      <c r="T79" s="89"/>
      <c r="U79" s="89"/>
      <c r="V79" s="89"/>
      <c r="W79" s="89"/>
      <c r="X79" s="89"/>
      <c r="Y79" s="89"/>
      <c r="Z79" s="89"/>
      <c r="AA79" s="89"/>
    </row>
    <row r="80" ht="55.5" customHeight="1">
      <c r="A80" s="86" t="s">
        <v>220</v>
      </c>
      <c r="B80" s="84"/>
      <c r="C80" s="86" t="s">
        <v>98</v>
      </c>
      <c r="D80" s="84"/>
      <c r="E80" s="86" t="s">
        <v>84</v>
      </c>
      <c r="F80" s="86" t="s">
        <v>67</v>
      </c>
      <c r="G80" s="86" t="s">
        <v>240</v>
      </c>
      <c r="H80" s="81" t="s">
        <v>10</v>
      </c>
      <c r="I80" s="88"/>
      <c r="J80" s="88"/>
      <c r="K80" s="89"/>
      <c r="L80" s="89"/>
      <c r="M80" s="89"/>
      <c r="N80" s="89"/>
      <c r="O80" s="89"/>
      <c r="P80" s="89"/>
      <c r="Q80" s="89"/>
      <c r="R80" s="89"/>
      <c r="S80" s="89"/>
      <c r="T80" s="89"/>
      <c r="U80" s="89"/>
      <c r="V80" s="89"/>
      <c r="W80" s="89"/>
      <c r="X80" s="89"/>
      <c r="Y80" s="89"/>
      <c r="Z80" s="89"/>
      <c r="AA80" s="89"/>
    </row>
    <row r="81" ht="55.5" customHeight="1">
      <c r="A81" s="86" t="s">
        <v>220</v>
      </c>
      <c r="B81" s="84"/>
      <c r="C81" s="86" t="s">
        <v>102</v>
      </c>
      <c r="D81" s="84"/>
      <c r="E81" s="86" t="s">
        <v>70</v>
      </c>
      <c r="F81" s="86" t="s">
        <v>67</v>
      </c>
      <c r="G81" s="86" t="s">
        <v>87</v>
      </c>
      <c r="H81" s="81" t="s">
        <v>10</v>
      </c>
      <c r="I81" s="88"/>
      <c r="J81" s="88"/>
      <c r="K81" s="89"/>
      <c r="L81" s="89"/>
      <c r="M81" s="89"/>
      <c r="N81" s="89"/>
      <c r="O81" s="89"/>
      <c r="P81" s="89"/>
      <c r="Q81" s="89"/>
      <c r="R81" s="89"/>
      <c r="S81" s="89"/>
      <c r="T81" s="89"/>
      <c r="U81" s="89"/>
      <c r="V81" s="89"/>
      <c r="W81" s="89"/>
      <c r="X81" s="89"/>
      <c r="Y81" s="89"/>
      <c r="Z81" s="89"/>
      <c r="AA81" s="89"/>
    </row>
    <row r="82" ht="55.5" customHeight="1">
      <c r="A82" s="86" t="s">
        <v>220</v>
      </c>
      <c r="B82" s="84"/>
      <c r="C82" s="86" t="s">
        <v>105</v>
      </c>
      <c r="D82" s="84"/>
      <c r="E82" s="86" t="s">
        <v>89</v>
      </c>
      <c r="F82" s="86" t="s">
        <v>67</v>
      </c>
      <c r="G82" s="86" t="s">
        <v>90</v>
      </c>
      <c r="H82" s="81" t="s">
        <v>10</v>
      </c>
      <c r="I82" s="88"/>
      <c r="J82" s="88"/>
      <c r="K82" s="89"/>
      <c r="L82" s="89"/>
      <c r="M82" s="89"/>
      <c r="N82" s="89"/>
      <c r="O82" s="89"/>
      <c r="P82" s="89"/>
      <c r="Q82" s="89"/>
      <c r="R82" s="89"/>
      <c r="S82" s="89"/>
      <c r="T82" s="89"/>
      <c r="U82" s="89"/>
      <c r="V82" s="89"/>
      <c r="W82" s="89"/>
      <c r="X82" s="89"/>
      <c r="Y82" s="89"/>
      <c r="Z82" s="89"/>
      <c r="AA82" s="89"/>
    </row>
    <row r="83" ht="55.5" customHeight="1">
      <c r="A83" s="86" t="s">
        <v>220</v>
      </c>
      <c r="B83" s="84"/>
      <c r="C83" s="86" t="s">
        <v>107</v>
      </c>
      <c r="D83" s="84"/>
      <c r="E83" s="86" t="s">
        <v>92</v>
      </c>
      <c r="F83" s="86" t="s">
        <v>67</v>
      </c>
      <c r="G83" s="86" t="s">
        <v>93</v>
      </c>
      <c r="H83" s="81" t="s">
        <v>10</v>
      </c>
      <c r="I83" s="88"/>
      <c r="J83" s="88"/>
      <c r="K83" s="89"/>
      <c r="L83" s="89"/>
      <c r="M83" s="89"/>
      <c r="N83" s="89"/>
      <c r="O83" s="89"/>
      <c r="P83" s="89"/>
      <c r="Q83" s="89"/>
      <c r="R83" s="89"/>
      <c r="S83" s="89"/>
      <c r="T83" s="89"/>
      <c r="U83" s="89"/>
      <c r="V83" s="89"/>
      <c r="W83" s="89"/>
      <c r="X83" s="89"/>
      <c r="Y83" s="89"/>
      <c r="Z83" s="89"/>
      <c r="AA83" s="89"/>
    </row>
    <row r="84" ht="55.5" customHeight="1">
      <c r="A84" s="86" t="s">
        <v>220</v>
      </c>
      <c r="B84" s="84"/>
      <c r="C84" s="86" t="s">
        <v>109</v>
      </c>
      <c r="D84" s="84"/>
      <c r="E84" s="86" t="s">
        <v>95</v>
      </c>
      <c r="F84" s="86" t="s">
        <v>67</v>
      </c>
      <c r="G84" s="86" t="s">
        <v>93</v>
      </c>
      <c r="H84" s="81" t="s">
        <v>10</v>
      </c>
      <c r="I84" s="88"/>
      <c r="J84" s="88"/>
      <c r="K84" s="89"/>
      <c r="L84" s="89"/>
      <c r="M84" s="89"/>
      <c r="N84" s="89"/>
      <c r="O84" s="89"/>
      <c r="P84" s="89"/>
      <c r="Q84" s="89"/>
      <c r="R84" s="89"/>
      <c r="S84" s="89"/>
      <c r="T84" s="89"/>
      <c r="U84" s="89"/>
      <c r="V84" s="89"/>
      <c r="W84" s="89"/>
      <c r="X84" s="89"/>
      <c r="Y84" s="89"/>
      <c r="Z84" s="89"/>
      <c r="AA84" s="89"/>
    </row>
    <row r="85" ht="55.5" customHeight="1">
      <c r="A85" s="86" t="s">
        <v>220</v>
      </c>
      <c r="B85" s="84"/>
      <c r="C85" s="86" t="s">
        <v>111</v>
      </c>
      <c r="D85" s="12"/>
      <c r="E85" s="86" t="s">
        <v>97</v>
      </c>
      <c r="F85" s="86" t="s">
        <v>67</v>
      </c>
      <c r="G85" s="86" t="s">
        <v>93</v>
      </c>
      <c r="H85" s="81" t="s">
        <v>10</v>
      </c>
      <c r="I85" s="88"/>
      <c r="J85" s="88"/>
      <c r="K85" s="89"/>
      <c r="L85" s="89"/>
      <c r="M85" s="89"/>
      <c r="N85" s="89"/>
      <c r="O85" s="89"/>
      <c r="P85" s="89"/>
      <c r="Q85" s="89"/>
      <c r="R85" s="89"/>
      <c r="S85" s="89"/>
      <c r="T85" s="89"/>
      <c r="U85" s="89"/>
      <c r="V85" s="89"/>
      <c r="W85" s="89"/>
      <c r="X85" s="89"/>
      <c r="Y85" s="89"/>
      <c r="Z85" s="89"/>
      <c r="AA85" s="89"/>
    </row>
    <row r="86" ht="55.5" customHeight="1">
      <c r="A86" s="86" t="s">
        <v>220</v>
      </c>
      <c r="B86" s="84"/>
      <c r="C86" s="86" t="s">
        <v>113</v>
      </c>
      <c r="D86" s="87" t="s">
        <v>99</v>
      </c>
      <c r="E86" s="86" t="s">
        <v>100</v>
      </c>
      <c r="F86" s="86" t="s">
        <v>67</v>
      </c>
      <c r="G86" s="86" t="s">
        <v>101</v>
      </c>
      <c r="H86" s="81" t="s">
        <v>10</v>
      </c>
      <c r="I86" s="88"/>
      <c r="J86" s="88"/>
      <c r="K86" s="89"/>
      <c r="L86" s="89"/>
      <c r="M86" s="89"/>
      <c r="N86" s="89"/>
      <c r="O86" s="89"/>
      <c r="P86" s="89"/>
      <c r="Q86" s="89"/>
      <c r="R86" s="89"/>
      <c r="S86" s="89"/>
      <c r="T86" s="89"/>
      <c r="U86" s="89"/>
      <c r="V86" s="89"/>
      <c r="W86" s="89"/>
      <c r="X86" s="89"/>
      <c r="Y86" s="89"/>
      <c r="Z86" s="89"/>
      <c r="AA86" s="89"/>
    </row>
    <row r="87" ht="55.5" customHeight="1">
      <c r="A87" s="86" t="s">
        <v>220</v>
      </c>
      <c r="B87" s="84"/>
      <c r="C87" s="86" t="s">
        <v>115</v>
      </c>
      <c r="D87" s="84"/>
      <c r="E87" s="86" t="s">
        <v>103</v>
      </c>
      <c r="F87" s="86" t="s">
        <v>67</v>
      </c>
      <c r="G87" s="86" t="s">
        <v>104</v>
      </c>
      <c r="H87" s="81" t="s">
        <v>10</v>
      </c>
      <c r="I87" s="88"/>
      <c r="J87" s="88"/>
      <c r="K87" s="89"/>
      <c r="L87" s="89"/>
      <c r="M87" s="89"/>
      <c r="N87" s="89"/>
      <c r="O87" s="89"/>
      <c r="P87" s="89"/>
      <c r="Q87" s="89"/>
      <c r="R87" s="89"/>
      <c r="S87" s="89"/>
      <c r="T87" s="89"/>
      <c r="U87" s="89"/>
      <c r="V87" s="89"/>
      <c r="W87" s="89"/>
      <c r="X87" s="89"/>
      <c r="Y87" s="89"/>
      <c r="Z87" s="89"/>
      <c r="AA87" s="89"/>
    </row>
    <row r="88" ht="55.5" customHeight="1">
      <c r="A88" s="86" t="s">
        <v>220</v>
      </c>
      <c r="B88" s="84"/>
      <c r="C88" s="86" t="s">
        <v>117</v>
      </c>
      <c r="D88" s="84"/>
      <c r="E88" s="86" t="s">
        <v>106</v>
      </c>
      <c r="F88" s="86" t="s">
        <v>67</v>
      </c>
      <c r="G88" s="86" t="s">
        <v>104</v>
      </c>
      <c r="H88" s="81" t="s">
        <v>10</v>
      </c>
      <c r="I88" s="88"/>
      <c r="J88" s="88"/>
      <c r="K88" s="89"/>
      <c r="L88" s="89"/>
      <c r="M88" s="89"/>
      <c r="N88" s="89"/>
      <c r="O88" s="89"/>
      <c r="P88" s="89"/>
      <c r="Q88" s="89"/>
      <c r="R88" s="89"/>
      <c r="S88" s="89"/>
      <c r="T88" s="89"/>
      <c r="U88" s="89"/>
      <c r="V88" s="89"/>
      <c r="W88" s="89"/>
      <c r="X88" s="89"/>
      <c r="Y88" s="89"/>
      <c r="Z88" s="89"/>
      <c r="AA88" s="89"/>
    </row>
    <row r="89" ht="55.5" customHeight="1">
      <c r="A89" s="86" t="s">
        <v>220</v>
      </c>
      <c r="B89" s="84"/>
      <c r="C89" s="86" t="s">
        <v>119</v>
      </c>
      <c r="D89" s="84"/>
      <c r="E89" s="86" t="s">
        <v>108</v>
      </c>
      <c r="F89" s="86" t="s">
        <v>67</v>
      </c>
      <c r="G89" s="86" t="s">
        <v>104</v>
      </c>
      <c r="H89" s="81" t="s">
        <v>10</v>
      </c>
      <c r="I89" s="88"/>
      <c r="J89" s="88"/>
      <c r="K89" s="89"/>
      <c r="L89" s="89"/>
      <c r="M89" s="89"/>
      <c r="N89" s="89"/>
      <c r="O89" s="89"/>
      <c r="P89" s="89"/>
      <c r="Q89" s="89"/>
      <c r="R89" s="89"/>
      <c r="S89" s="89"/>
      <c r="T89" s="89"/>
      <c r="U89" s="89"/>
      <c r="V89" s="89"/>
      <c r="W89" s="89"/>
      <c r="X89" s="89"/>
      <c r="Y89" s="89"/>
      <c r="Z89" s="89"/>
      <c r="AA89" s="89"/>
    </row>
    <row r="90" ht="55.5" customHeight="1">
      <c r="A90" s="86" t="s">
        <v>220</v>
      </c>
      <c r="B90" s="84"/>
      <c r="C90" s="86" t="s">
        <v>121</v>
      </c>
      <c r="D90" s="84"/>
      <c r="E90" s="86" t="s">
        <v>110</v>
      </c>
      <c r="F90" s="86" t="s">
        <v>67</v>
      </c>
      <c r="G90" s="86" t="s">
        <v>104</v>
      </c>
      <c r="H90" s="81" t="s">
        <v>10</v>
      </c>
      <c r="I90" s="88"/>
      <c r="J90" s="88"/>
      <c r="K90" s="89"/>
      <c r="L90" s="89"/>
      <c r="M90" s="89"/>
      <c r="N90" s="89"/>
      <c r="O90" s="89"/>
      <c r="P90" s="89"/>
      <c r="Q90" s="89"/>
      <c r="R90" s="89"/>
      <c r="S90" s="89"/>
      <c r="T90" s="89"/>
      <c r="U90" s="89"/>
      <c r="V90" s="89"/>
      <c r="W90" s="89"/>
      <c r="X90" s="89"/>
      <c r="Y90" s="89"/>
      <c r="Z90" s="89"/>
      <c r="AA90" s="89"/>
    </row>
    <row r="91" ht="55.5" customHeight="1">
      <c r="A91" s="86" t="s">
        <v>220</v>
      </c>
      <c r="B91" s="84"/>
      <c r="C91" s="86" t="s">
        <v>123</v>
      </c>
      <c r="D91" s="84"/>
      <c r="E91" s="86" t="s">
        <v>112</v>
      </c>
      <c r="F91" s="86" t="s">
        <v>67</v>
      </c>
      <c r="G91" s="86" t="s">
        <v>104</v>
      </c>
      <c r="H91" s="81" t="s">
        <v>10</v>
      </c>
      <c r="I91" s="88"/>
      <c r="J91" s="88"/>
      <c r="K91" s="89"/>
      <c r="L91" s="89"/>
      <c r="M91" s="89"/>
      <c r="N91" s="89"/>
      <c r="O91" s="89"/>
      <c r="P91" s="89"/>
      <c r="Q91" s="89"/>
      <c r="R91" s="89"/>
      <c r="S91" s="89"/>
      <c r="T91" s="89"/>
      <c r="U91" s="89"/>
      <c r="V91" s="89"/>
      <c r="W91" s="89"/>
      <c r="X91" s="89"/>
      <c r="Y91" s="89"/>
      <c r="Z91" s="89"/>
      <c r="AA91" s="89"/>
    </row>
    <row r="92" ht="55.5" customHeight="1">
      <c r="A92" s="86" t="s">
        <v>220</v>
      </c>
      <c r="B92" s="84"/>
      <c r="C92" s="86" t="s">
        <v>126</v>
      </c>
      <c r="D92" s="84"/>
      <c r="E92" s="86" t="s">
        <v>114</v>
      </c>
      <c r="F92" s="86" t="s">
        <v>67</v>
      </c>
      <c r="G92" s="86" t="s">
        <v>101</v>
      </c>
      <c r="H92" s="81" t="s">
        <v>10</v>
      </c>
      <c r="I92" s="88"/>
      <c r="J92" s="88"/>
      <c r="K92" s="89"/>
      <c r="L92" s="89"/>
      <c r="M92" s="89"/>
      <c r="N92" s="89"/>
      <c r="O92" s="89"/>
      <c r="P92" s="89"/>
      <c r="Q92" s="89"/>
      <c r="R92" s="89"/>
      <c r="S92" s="89"/>
      <c r="T92" s="89"/>
      <c r="U92" s="89"/>
      <c r="V92" s="89"/>
      <c r="W92" s="89"/>
      <c r="X92" s="89"/>
      <c r="Y92" s="89"/>
      <c r="Z92" s="89"/>
      <c r="AA92" s="89"/>
    </row>
    <row r="93" ht="55.5" customHeight="1">
      <c r="A93" s="86" t="s">
        <v>220</v>
      </c>
      <c r="B93" s="84"/>
      <c r="C93" s="86" t="s">
        <v>129</v>
      </c>
      <c r="D93" s="84"/>
      <c r="E93" s="86" t="s">
        <v>116</v>
      </c>
      <c r="F93" s="86" t="s">
        <v>67</v>
      </c>
      <c r="G93" s="86" t="s">
        <v>101</v>
      </c>
      <c r="H93" s="81" t="s">
        <v>10</v>
      </c>
      <c r="I93" s="88"/>
      <c r="J93" s="88"/>
      <c r="K93" s="89"/>
      <c r="L93" s="89"/>
      <c r="M93" s="89"/>
      <c r="N93" s="89"/>
      <c r="O93" s="89"/>
      <c r="P93" s="89"/>
      <c r="Q93" s="89"/>
      <c r="R93" s="89"/>
      <c r="S93" s="89"/>
      <c r="T93" s="89"/>
      <c r="U93" s="89"/>
      <c r="V93" s="89"/>
      <c r="W93" s="89"/>
      <c r="X93" s="89"/>
      <c r="Y93" s="89"/>
      <c r="Z93" s="89"/>
      <c r="AA93" s="89"/>
    </row>
    <row r="94" ht="55.5" customHeight="1">
      <c r="A94" s="86" t="s">
        <v>220</v>
      </c>
      <c r="B94" s="84"/>
      <c r="C94" s="86" t="s">
        <v>133</v>
      </c>
      <c r="D94" s="84"/>
      <c r="E94" s="86" t="s">
        <v>118</v>
      </c>
      <c r="F94" s="86" t="s">
        <v>67</v>
      </c>
      <c r="G94" s="86" t="s">
        <v>101</v>
      </c>
      <c r="H94" s="81" t="s">
        <v>10</v>
      </c>
      <c r="I94" s="88"/>
      <c r="J94" s="88"/>
      <c r="K94" s="89"/>
      <c r="L94" s="89"/>
      <c r="M94" s="89"/>
      <c r="N94" s="89"/>
      <c r="O94" s="89"/>
      <c r="P94" s="89"/>
      <c r="Q94" s="89"/>
      <c r="R94" s="89"/>
      <c r="S94" s="89"/>
      <c r="T94" s="89"/>
      <c r="U94" s="89"/>
      <c r="V94" s="89"/>
      <c r="W94" s="89"/>
      <c r="X94" s="89"/>
      <c r="Y94" s="89"/>
      <c r="Z94" s="89"/>
      <c r="AA94" s="89"/>
    </row>
    <row r="95" ht="55.5" customHeight="1">
      <c r="A95" s="86" t="s">
        <v>220</v>
      </c>
      <c r="B95" s="84"/>
      <c r="C95" s="86" t="s">
        <v>136</v>
      </c>
      <c r="D95" s="84"/>
      <c r="E95" s="86" t="s">
        <v>120</v>
      </c>
      <c r="F95" s="86" t="s">
        <v>67</v>
      </c>
      <c r="G95" s="86" t="s">
        <v>104</v>
      </c>
      <c r="H95" s="81" t="s">
        <v>10</v>
      </c>
      <c r="I95" s="88"/>
      <c r="J95" s="88"/>
      <c r="K95" s="89"/>
      <c r="L95" s="89"/>
      <c r="M95" s="89"/>
      <c r="N95" s="89"/>
      <c r="O95" s="89"/>
      <c r="P95" s="89"/>
      <c r="Q95" s="89"/>
      <c r="R95" s="89"/>
      <c r="S95" s="89"/>
      <c r="T95" s="89"/>
      <c r="U95" s="89"/>
      <c r="V95" s="89"/>
      <c r="W95" s="89"/>
      <c r="X95" s="89"/>
      <c r="Y95" s="89"/>
      <c r="Z95" s="89"/>
      <c r="AA95" s="89"/>
    </row>
    <row r="96" ht="55.5" customHeight="1">
      <c r="A96" s="86" t="s">
        <v>220</v>
      </c>
      <c r="B96" s="84"/>
      <c r="C96" s="86" t="s">
        <v>139</v>
      </c>
      <c r="D96" s="12"/>
      <c r="E96" s="86" t="s">
        <v>122</v>
      </c>
      <c r="F96" s="86" t="s">
        <v>67</v>
      </c>
      <c r="G96" s="86" t="s">
        <v>104</v>
      </c>
      <c r="H96" s="81" t="s">
        <v>10</v>
      </c>
      <c r="I96" s="88"/>
      <c r="J96" s="88"/>
      <c r="K96" s="89"/>
      <c r="L96" s="89"/>
      <c r="M96" s="89"/>
      <c r="N96" s="89"/>
      <c r="O96" s="89"/>
      <c r="P96" s="89"/>
      <c r="Q96" s="89"/>
      <c r="R96" s="89"/>
      <c r="S96" s="89"/>
      <c r="T96" s="89"/>
      <c r="U96" s="89"/>
      <c r="V96" s="89"/>
      <c r="W96" s="89"/>
      <c r="X96" s="89"/>
      <c r="Y96" s="89"/>
      <c r="Z96" s="89"/>
      <c r="AA96" s="89"/>
    </row>
    <row r="97" ht="55.5" customHeight="1">
      <c r="A97" s="86" t="s">
        <v>220</v>
      </c>
      <c r="B97" s="84"/>
      <c r="C97" s="86" t="s">
        <v>144</v>
      </c>
      <c r="D97" s="87" t="s">
        <v>124</v>
      </c>
      <c r="E97" s="86" t="s">
        <v>125</v>
      </c>
      <c r="F97" s="86" t="s">
        <v>67</v>
      </c>
      <c r="G97" s="86" t="s">
        <v>241</v>
      </c>
      <c r="H97" s="81" t="s">
        <v>10</v>
      </c>
      <c r="I97" s="88"/>
      <c r="J97" s="88"/>
      <c r="K97" s="89"/>
      <c r="L97" s="89"/>
      <c r="M97" s="89"/>
      <c r="N97" s="89"/>
      <c r="O97" s="89"/>
      <c r="P97" s="89"/>
      <c r="Q97" s="89"/>
      <c r="R97" s="89"/>
      <c r="S97" s="89"/>
      <c r="T97" s="89"/>
      <c r="U97" s="89"/>
      <c r="V97" s="89"/>
      <c r="W97" s="89"/>
      <c r="X97" s="89"/>
      <c r="Y97" s="89"/>
      <c r="Z97" s="89"/>
      <c r="AA97" s="89"/>
    </row>
    <row r="98" ht="55.5" customHeight="1">
      <c r="A98" s="86" t="s">
        <v>220</v>
      </c>
      <c r="B98" s="84"/>
      <c r="C98" s="86" t="s">
        <v>148</v>
      </c>
      <c r="D98" s="12"/>
      <c r="E98" s="86" t="s">
        <v>127</v>
      </c>
      <c r="F98" s="86" t="s">
        <v>67</v>
      </c>
      <c r="G98" s="86" t="s">
        <v>242</v>
      </c>
      <c r="H98" s="81" t="s">
        <v>10</v>
      </c>
      <c r="I98" s="88"/>
      <c r="J98" s="88"/>
      <c r="K98" s="89"/>
      <c r="L98" s="89"/>
      <c r="M98" s="89"/>
      <c r="N98" s="89"/>
      <c r="O98" s="89"/>
      <c r="P98" s="89"/>
      <c r="Q98" s="89"/>
      <c r="R98" s="89"/>
      <c r="S98" s="89"/>
      <c r="T98" s="89"/>
      <c r="U98" s="89"/>
      <c r="V98" s="89"/>
      <c r="W98" s="89"/>
      <c r="X98" s="89"/>
      <c r="Y98" s="89"/>
      <c r="Z98" s="89"/>
      <c r="AA98" s="89"/>
    </row>
    <row r="99" ht="55.5" customHeight="1">
      <c r="A99" s="86" t="s">
        <v>220</v>
      </c>
      <c r="B99" s="84"/>
      <c r="C99" s="86" t="s">
        <v>151</v>
      </c>
      <c r="D99" s="87" t="s">
        <v>130</v>
      </c>
      <c r="E99" s="86" t="s">
        <v>131</v>
      </c>
      <c r="F99" s="86" t="s">
        <v>67</v>
      </c>
      <c r="G99" s="86" t="s">
        <v>132</v>
      </c>
      <c r="H99" s="81" t="s">
        <v>10</v>
      </c>
      <c r="I99" s="88"/>
      <c r="J99" s="88"/>
      <c r="K99" s="89"/>
      <c r="L99" s="89"/>
      <c r="M99" s="89"/>
      <c r="N99" s="89"/>
      <c r="O99" s="89"/>
      <c r="P99" s="89"/>
      <c r="Q99" s="89"/>
      <c r="R99" s="89"/>
      <c r="S99" s="89"/>
      <c r="T99" s="89"/>
      <c r="U99" s="89"/>
      <c r="V99" s="89"/>
      <c r="W99" s="89"/>
      <c r="X99" s="89"/>
      <c r="Y99" s="89"/>
      <c r="Z99" s="89"/>
      <c r="AA99" s="89"/>
    </row>
    <row r="100" ht="55.5" customHeight="1">
      <c r="A100" s="86" t="s">
        <v>220</v>
      </c>
      <c r="B100" s="84"/>
      <c r="C100" s="86" t="s">
        <v>154</v>
      </c>
      <c r="D100" s="84"/>
      <c r="E100" s="86" t="s">
        <v>134</v>
      </c>
      <c r="F100" s="86" t="s">
        <v>67</v>
      </c>
      <c r="G100" s="86" t="s">
        <v>135</v>
      </c>
      <c r="H100" s="81" t="s">
        <v>10</v>
      </c>
      <c r="I100" s="88"/>
      <c r="J100" s="88"/>
      <c r="K100" s="89"/>
      <c r="L100" s="89"/>
      <c r="M100" s="89"/>
      <c r="N100" s="89"/>
      <c r="O100" s="89"/>
      <c r="P100" s="89"/>
      <c r="Q100" s="89"/>
      <c r="R100" s="89"/>
      <c r="S100" s="89"/>
      <c r="T100" s="89"/>
      <c r="U100" s="89"/>
      <c r="V100" s="89"/>
      <c r="W100" s="89"/>
      <c r="X100" s="89"/>
      <c r="Y100" s="89"/>
      <c r="Z100" s="89"/>
      <c r="AA100" s="89"/>
    </row>
    <row r="101" ht="55.5" customHeight="1">
      <c r="A101" s="86" t="s">
        <v>220</v>
      </c>
      <c r="B101" s="84"/>
      <c r="C101" s="86" t="s">
        <v>158</v>
      </c>
      <c r="D101" s="12"/>
      <c r="E101" s="86" t="s">
        <v>243</v>
      </c>
      <c r="F101" s="86" t="s">
        <v>67</v>
      </c>
      <c r="G101" s="86" t="s">
        <v>138</v>
      </c>
      <c r="H101" s="81" t="s">
        <v>10</v>
      </c>
      <c r="I101" s="88"/>
      <c r="J101" s="88"/>
      <c r="K101" s="89"/>
      <c r="L101" s="89"/>
      <c r="M101" s="89"/>
      <c r="N101" s="89"/>
      <c r="O101" s="89"/>
      <c r="P101" s="89"/>
      <c r="Q101" s="89"/>
      <c r="R101" s="89"/>
      <c r="S101" s="89"/>
      <c r="T101" s="89"/>
      <c r="U101" s="89"/>
      <c r="V101" s="89"/>
      <c r="W101" s="89"/>
      <c r="X101" s="89"/>
      <c r="Y101" s="89"/>
      <c r="Z101" s="89"/>
      <c r="AA101" s="89"/>
    </row>
    <row r="102" ht="55.5" customHeight="1">
      <c r="A102" s="86" t="s">
        <v>220</v>
      </c>
      <c r="B102" s="84"/>
      <c r="C102" s="86" t="s">
        <v>162</v>
      </c>
      <c r="D102" s="87" t="s">
        <v>140</v>
      </c>
      <c r="E102" s="86" t="s">
        <v>141</v>
      </c>
      <c r="F102" s="86" t="s">
        <v>142</v>
      </c>
      <c r="G102" s="86" t="s">
        <v>143</v>
      </c>
      <c r="H102" s="81" t="s">
        <v>10</v>
      </c>
      <c r="I102" s="88"/>
      <c r="J102" s="88"/>
      <c r="K102" s="89"/>
      <c r="L102" s="89"/>
      <c r="M102" s="89"/>
      <c r="N102" s="89"/>
      <c r="O102" s="89"/>
      <c r="P102" s="89"/>
      <c r="Q102" s="89"/>
      <c r="R102" s="89"/>
      <c r="S102" s="89"/>
      <c r="T102" s="89"/>
      <c r="U102" s="89"/>
      <c r="V102" s="89"/>
      <c r="W102" s="89"/>
      <c r="X102" s="89"/>
      <c r="Y102" s="89"/>
      <c r="Z102" s="89"/>
      <c r="AA102" s="89"/>
    </row>
    <row r="103" ht="55.5" customHeight="1">
      <c r="A103" s="86" t="s">
        <v>220</v>
      </c>
      <c r="B103" s="84"/>
      <c r="C103" s="86" t="s">
        <v>165</v>
      </c>
      <c r="D103" s="84"/>
      <c r="E103" s="86" t="s">
        <v>145</v>
      </c>
      <c r="F103" s="86" t="s">
        <v>146</v>
      </c>
      <c r="G103" s="86" t="s">
        <v>147</v>
      </c>
      <c r="H103" s="81" t="s">
        <v>10</v>
      </c>
      <c r="I103" s="88"/>
      <c r="J103" s="88"/>
      <c r="K103" s="89"/>
      <c r="L103" s="89"/>
      <c r="M103" s="89"/>
      <c r="N103" s="89"/>
      <c r="O103" s="89"/>
      <c r="P103" s="89"/>
      <c r="Q103" s="89"/>
      <c r="R103" s="89"/>
      <c r="S103" s="89"/>
      <c r="T103" s="89"/>
      <c r="U103" s="89"/>
      <c r="V103" s="89"/>
      <c r="W103" s="89"/>
      <c r="X103" s="89"/>
      <c r="Y103" s="89"/>
      <c r="Z103" s="89"/>
      <c r="AA103" s="89"/>
    </row>
    <row r="104" ht="55.5" customHeight="1">
      <c r="A104" s="86" t="s">
        <v>220</v>
      </c>
      <c r="B104" s="84"/>
      <c r="C104" s="86" t="s">
        <v>167</v>
      </c>
      <c r="D104" s="84"/>
      <c r="E104" s="86" t="s">
        <v>149</v>
      </c>
      <c r="F104" s="86" t="s">
        <v>150</v>
      </c>
      <c r="G104" s="86" t="s">
        <v>135</v>
      </c>
      <c r="H104" s="81" t="s">
        <v>10</v>
      </c>
      <c r="I104" s="88"/>
      <c r="J104" s="88"/>
      <c r="K104" s="89"/>
      <c r="L104" s="89"/>
      <c r="M104" s="89"/>
      <c r="N104" s="89"/>
      <c r="O104" s="89"/>
      <c r="P104" s="89"/>
      <c r="Q104" s="89"/>
      <c r="R104" s="89"/>
      <c r="S104" s="89"/>
      <c r="T104" s="89"/>
      <c r="U104" s="89"/>
      <c r="V104" s="89"/>
      <c r="W104" s="89"/>
      <c r="X104" s="89"/>
      <c r="Y104" s="89"/>
      <c r="Z104" s="89"/>
      <c r="AA104" s="89"/>
    </row>
    <row r="105" ht="55.5" customHeight="1">
      <c r="A105" s="86" t="s">
        <v>220</v>
      </c>
      <c r="B105" s="84"/>
      <c r="C105" s="86" t="s">
        <v>169</v>
      </c>
      <c r="D105" s="84"/>
      <c r="E105" s="86" t="s">
        <v>152</v>
      </c>
      <c r="F105" s="86" t="s">
        <v>153</v>
      </c>
      <c r="G105" s="86" t="s">
        <v>135</v>
      </c>
      <c r="H105" s="81" t="s">
        <v>10</v>
      </c>
      <c r="I105" s="88"/>
      <c r="J105" s="88"/>
      <c r="K105" s="89"/>
      <c r="L105" s="89"/>
      <c r="M105" s="89"/>
      <c r="N105" s="89"/>
      <c r="O105" s="89"/>
      <c r="P105" s="89"/>
      <c r="Q105" s="89"/>
      <c r="R105" s="89"/>
      <c r="S105" s="89"/>
      <c r="T105" s="89"/>
      <c r="U105" s="89"/>
      <c r="V105" s="89"/>
      <c r="W105" s="89"/>
      <c r="X105" s="89"/>
      <c r="Y105" s="89"/>
      <c r="Z105" s="89"/>
      <c r="AA105" s="89"/>
    </row>
    <row r="106" ht="55.5" customHeight="1">
      <c r="A106" s="86" t="s">
        <v>220</v>
      </c>
      <c r="B106" s="84"/>
      <c r="C106" s="86" t="s">
        <v>171</v>
      </c>
      <c r="D106" s="84"/>
      <c r="E106" s="86" t="s">
        <v>155</v>
      </c>
      <c r="F106" s="86" t="s">
        <v>156</v>
      </c>
      <c r="G106" s="86" t="s">
        <v>157</v>
      </c>
      <c r="H106" s="81" t="s">
        <v>10</v>
      </c>
      <c r="I106" s="88"/>
      <c r="J106" s="88"/>
      <c r="K106" s="89"/>
      <c r="L106" s="89"/>
      <c r="M106" s="89"/>
      <c r="N106" s="89"/>
      <c r="O106" s="89"/>
      <c r="P106" s="89"/>
      <c r="Q106" s="89"/>
      <c r="R106" s="89"/>
      <c r="S106" s="89"/>
      <c r="T106" s="89"/>
      <c r="U106" s="89"/>
      <c r="V106" s="89"/>
      <c r="W106" s="89"/>
      <c r="X106" s="89"/>
      <c r="Y106" s="89"/>
      <c r="Z106" s="89"/>
      <c r="AA106" s="89"/>
    </row>
    <row r="107" ht="55.5" customHeight="1">
      <c r="A107" s="86" t="s">
        <v>220</v>
      </c>
      <c r="B107" s="84"/>
      <c r="C107" s="86" t="s">
        <v>173</v>
      </c>
      <c r="D107" s="12"/>
      <c r="E107" s="86" t="s">
        <v>159</v>
      </c>
      <c r="F107" s="86" t="s">
        <v>160</v>
      </c>
      <c r="G107" s="86" t="s">
        <v>161</v>
      </c>
      <c r="H107" s="81" t="s">
        <v>10</v>
      </c>
      <c r="I107" s="88"/>
      <c r="J107" s="88"/>
      <c r="K107" s="89"/>
      <c r="L107" s="89"/>
      <c r="M107" s="89"/>
      <c r="N107" s="89"/>
      <c r="O107" s="89"/>
      <c r="P107" s="89"/>
      <c r="Q107" s="89"/>
      <c r="R107" s="89"/>
      <c r="S107" s="89"/>
      <c r="T107" s="89"/>
      <c r="U107" s="89"/>
      <c r="V107" s="89"/>
      <c r="W107" s="89"/>
      <c r="X107" s="89"/>
      <c r="Y107" s="89"/>
      <c r="Z107" s="89"/>
      <c r="AA107" s="89"/>
    </row>
    <row r="108" ht="55.5" customHeight="1">
      <c r="A108" s="86" t="s">
        <v>220</v>
      </c>
      <c r="B108" s="84"/>
      <c r="C108" s="86" t="s">
        <v>244</v>
      </c>
      <c r="D108" s="87" t="s">
        <v>163</v>
      </c>
      <c r="E108" s="86" t="s">
        <v>164</v>
      </c>
      <c r="F108" s="86" t="s">
        <v>67</v>
      </c>
      <c r="G108" s="86" t="s">
        <v>132</v>
      </c>
      <c r="H108" s="81" t="s">
        <v>10</v>
      </c>
      <c r="I108" s="88"/>
      <c r="J108" s="88"/>
      <c r="K108" s="89"/>
      <c r="L108" s="89"/>
      <c r="M108" s="89"/>
      <c r="N108" s="89"/>
      <c r="O108" s="89"/>
      <c r="P108" s="89"/>
      <c r="Q108" s="89"/>
      <c r="R108" s="89"/>
      <c r="S108" s="89"/>
      <c r="T108" s="89"/>
      <c r="U108" s="89"/>
      <c r="V108" s="89"/>
      <c r="W108" s="89"/>
      <c r="X108" s="89"/>
      <c r="Y108" s="89"/>
      <c r="Z108" s="89"/>
      <c r="AA108" s="89"/>
    </row>
    <row r="109" ht="55.5" customHeight="1">
      <c r="A109" s="86" t="s">
        <v>220</v>
      </c>
      <c r="B109" s="84"/>
      <c r="C109" s="86" t="s">
        <v>177</v>
      </c>
      <c r="D109" s="84"/>
      <c r="E109" s="86" t="s">
        <v>166</v>
      </c>
      <c r="F109" s="86" t="s">
        <v>67</v>
      </c>
      <c r="G109" s="86" t="s">
        <v>132</v>
      </c>
      <c r="H109" s="81" t="s">
        <v>10</v>
      </c>
      <c r="I109" s="88"/>
      <c r="J109" s="88"/>
      <c r="K109" s="89"/>
      <c r="L109" s="89"/>
      <c r="M109" s="89"/>
      <c r="N109" s="89"/>
      <c r="O109" s="89"/>
      <c r="P109" s="89"/>
      <c r="Q109" s="89"/>
      <c r="R109" s="89"/>
      <c r="S109" s="89"/>
      <c r="T109" s="89"/>
      <c r="U109" s="89"/>
      <c r="V109" s="89"/>
      <c r="W109" s="89"/>
      <c r="X109" s="89"/>
      <c r="Y109" s="89"/>
      <c r="Z109" s="89"/>
      <c r="AA109" s="89"/>
    </row>
    <row r="110" ht="55.5" customHeight="1">
      <c r="A110" s="86" t="s">
        <v>220</v>
      </c>
      <c r="B110" s="84"/>
      <c r="C110" s="86" t="s">
        <v>179</v>
      </c>
      <c r="D110" s="84"/>
      <c r="E110" s="86" t="s">
        <v>168</v>
      </c>
      <c r="F110" s="86" t="s">
        <v>67</v>
      </c>
      <c r="G110" s="86" t="s">
        <v>132</v>
      </c>
      <c r="H110" s="81" t="s">
        <v>10</v>
      </c>
      <c r="I110" s="88"/>
      <c r="J110" s="88"/>
      <c r="K110" s="89"/>
      <c r="L110" s="89"/>
      <c r="M110" s="89"/>
      <c r="N110" s="89"/>
      <c r="O110" s="89"/>
      <c r="P110" s="89"/>
      <c r="Q110" s="89"/>
      <c r="R110" s="89"/>
      <c r="S110" s="89"/>
      <c r="T110" s="89"/>
      <c r="U110" s="89"/>
      <c r="V110" s="89"/>
      <c r="W110" s="89"/>
      <c r="X110" s="89"/>
      <c r="Y110" s="89"/>
      <c r="Z110" s="89"/>
      <c r="AA110" s="89"/>
    </row>
    <row r="111" ht="55.5" customHeight="1">
      <c r="A111" s="86" t="s">
        <v>220</v>
      </c>
      <c r="B111" s="84"/>
      <c r="C111" s="86" t="s">
        <v>181</v>
      </c>
      <c r="D111" s="84"/>
      <c r="E111" s="86" t="s">
        <v>170</v>
      </c>
      <c r="F111" s="86" t="s">
        <v>67</v>
      </c>
      <c r="G111" s="86" t="s">
        <v>132</v>
      </c>
      <c r="H111" s="81" t="s">
        <v>10</v>
      </c>
      <c r="I111" s="88"/>
      <c r="J111" s="88"/>
      <c r="K111" s="89"/>
      <c r="L111" s="89"/>
      <c r="M111" s="89"/>
      <c r="N111" s="89"/>
      <c r="O111" s="89"/>
      <c r="P111" s="89"/>
      <c r="Q111" s="89"/>
      <c r="R111" s="89"/>
      <c r="S111" s="89"/>
      <c r="T111" s="89"/>
      <c r="U111" s="89"/>
      <c r="V111" s="89"/>
      <c r="W111" s="89"/>
      <c r="X111" s="89"/>
      <c r="Y111" s="89"/>
      <c r="Z111" s="89"/>
      <c r="AA111" s="89"/>
    </row>
    <row r="112" ht="55.5" customHeight="1">
      <c r="A112" s="86" t="s">
        <v>220</v>
      </c>
      <c r="B112" s="84"/>
      <c r="C112" s="86" t="s">
        <v>183</v>
      </c>
      <c r="D112" s="12"/>
      <c r="E112" s="86" t="s">
        <v>172</v>
      </c>
      <c r="F112" s="86" t="s">
        <v>67</v>
      </c>
      <c r="G112" s="86" t="s">
        <v>132</v>
      </c>
      <c r="H112" s="81" t="s">
        <v>10</v>
      </c>
      <c r="I112" s="88"/>
      <c r="J112" s="88"/>
      <c r="K112" s="89"/>
      <c r="L112" s="89"/>
      <c r="M112" s="89"/>
      <c r="N112" s="89"/>
      <c r="O112" s="89"/>
      <c r="P112" s="89"/>
      <c r="Q112" s="89"/>
      <c r="R112" s="89"/>
      <c r="S112" s="89"/>
      <c r="T112" s="89"/>
      <c r="U112" s="89"/>
      <c r="V112" s="89"/>
      <c r="W112" s="89"/>
      <c r="X112" s="89"/>
      <c r="Y112" s="89"/>
      <c r="Z112" s="89"/>
      <c r="AA112" s="89"/>
    </row>
    <row r="113" ht="55.5" customHeight="1">
      <c r="A113" s="86" t="s">
        <v>220</v>
      </c>
      <c r="B113" s="84"/>
      <c r="C113" s="86" t="s">
        <v>185</v>
      </c>
      <c r="D113" s="86" t="s">
        <v>163</v>
      </c>
      <c r="E113" s="86" t="s">
        <v>245</v>
      </c>
      <c r="F113" s="86" t="s">
        <v>67</v>
      </c>
      <c r="G113" s="86" t="s">
        <v>132</v>
      </c>
      <c r="H113" s="81" t="s">
        <v>10</v>
      </c>
      <c r="I113" s="88"/>
      <c r="J113" s="88"/>
      <c r="K113" s="89"/>
      <c r="L113" s="89"/>
      <c r="M113" s="89"/>
      <c r="N113" s="89"/>
      <c r="O113" s="89"/>
      <c r="P113" s="89"/>
      <c r="Q113" s="89"/>
      <c r="R113" s="89"/>
      <c r="S113" s="89"/>
      <c r="T113" s="89"/>
      <c r="U113" s="89"/>
      <c r="V113" s="89"/>
      <c r="W113" s="89"/>
      <c r="X113" s="89"/>
      <c r="Y113" s="89"/>
      <c r="Z113" s="89"/>
      <c r="AA113" s="89"/>
    </row>
    <row r="114" ht="55.5" customHeight="1">
      <c r="A114" s="86" t="s">
        <v>220</v>
      </c>
      <c r="B114" s="84"/>
      <c r="C114" s="86" t="s">
        <v>187</v>
      </c>
      <c r="D114" s="87" t="s">
        <v>246</v>
      </c>
      <c r="E114" s="86" t="s">
        <v>176</v>
      </c>
      <c r="F114" s="86" t="s">
        <v>67</v>
      </c>
      <c r="G114" s="86" t="s">
        <v>132</v>
      </c>
      <c r="H114" s="81" t="s">
        <v>10</v>
      </c>
      <c r="I114" s="88"/>
      <c r="J114" s="88"/>
      <c r="K114" s="89"/>
      <c r="L114" s="89"/>
      <c r="M114" s="89"/>
      <c r="N114" s="89"/>
      <c r="O114" s="89"/>
      <c r="P114" s="89"/>
      <c r="Q114" s="89"/>
      <c r="R114" s="89"/>
      <c r="S114" s="89"/>
      <c r="T114" s="89"/>
      <c r="U114" s="89"/>
      <c r="V114" s="89"/>
      <c r="W114" s="89"/>
      <c r="X114" s="89"/>
      <c r="Y114" s="89"/>
      <c r="Z114" s="89"/>
      <c r="AA114" s="89"/>
    </row>
    <row r="115" ht="55.5" customHeight="1">
      <c r="A115" s="86" t="s">
        <v>220</v>
      </c>
      <c r="B115" s="84"/>
      <c r="C115" s="86" t="s">
        <v>189</v>
      </c>
      <c r="D115" s="84"/>
      <c r="E115" s="86" t="s">
        <v>178</v>
      </c>
      <c r="F115" s="86" t="s">
        <v>67</v>
      </c>
      <c r="G115" s="86" t="s">
        <v>132</v>
      </c>
      <c r="H115" s="81" t="s">
        <v>10</v>
      </c>
      <c r="I115" s="88"/>
      <c r="J115" s="88"/>
      <c r="K115" s="89"/>
      <c r="L115" s="89"/>
      <c r="M115" s="89"/>
      <c r="N115" s="89"/>
      <c r="O115" s="89"/>
      <c r="P115" s="89"/>
      <c r="Q115" s="89"/>
      <c r="R115" s="89"/>
      <c r="S115" s="89"/>
      <c r="T115" s="89"/>
      <c r="U115" s="89"/>
      <c r="V115" s="89"/>
      <c r="W115" s="89"/>
      <c r="X115" s="89"/>
      <c r="Y115" s="89"/>
      <c r="Z115" s="89"/>
      <c r="AA115" s="89"/>
    </row>
    <row r="116" ht="55.5" customHeight="1">
      <c r="A116" s="86" t="s">
        <v>220</v>
      </c>
      <c r="B116" s="84"/>
      <c r="C116" s="86" t="s">
        <v>192</v>
      </c>
      <c r="D116" s="84"/>
      <c r="E116" s="86" t="s">
        <v>180</v>
      </c>
      <c r="F116" s="86" t="s">
        <v>67</v>
      </c>
      <c r="G116" s="86" t="s">
        <v>132</v>
      </c>
      <c r="H116" s="81" t="s">
        <v>10</v>
      </c>
      <c r="I116" s="88"/>
      <c r="J116" s="88"/>
      <c r="K116" s="89"/>
      <c r="L116" s="89"/>
      <c r="M116" s="89"/>
      <c r="N116" s="89"/>
      <c r="O116" s="89"/>
      <c r="P116" s="89"/>
      <c r="Q116" s="89"/>
      <c r="R116" s="89"/>
      <c r="S116" s="89"/>
      <c r="T116" s="89"/>
      <c r="U116" s="89"/>
      <c r="V116" s="89"/>
      <c r="W116" s="89"/>
      <c r="X116" s="89"/>
      <c r="Y116" s="89"/>
      <c r="Z116" s="89"/>
      <c r="AA116" s="89"/>
    </row>
    <row r="117" ht="55.5" customHeight="1">
      <c r="A117" s="86" t="s">
        <v>220</v>
      </c>
      <c r="B117" s="84"/>
      <c r="C117" s="86" t="s">
        <v>196</v>
      </c>
      <c r="D117" s="84"/>
      <c r="E117" s="86" t="s">
        <v>247</v>
      </c>
      <c r="F117" s="86" t="s">
        <v>67</v>
      </c>
      <c r="G117" s="86" t="s">
        <v>132</v>
      </c>
      <c r="H117" s="81" t="s">
        <v>10</v>
      </c>
      <c r="I117" s="88"/>
      <c r="J117" s="88"/>
      <c r="K117" s="89"/>
      <c r="L117" s="89"/>
      <c r="M117" s="89"/>
      <c r="N117" s="89"/>
      <c r="O117" s="89"/>
      <c r="P117" s="89"/>
      <c r="Q117" s="89"/>
      <c r="R117" s="89"/>
      <c r="S117" s="89"/>
      <c r="T117" s="89"/>
      <c r="U117" s="89"/>
      <c r="V117" s="89"/>
      <c r="W117" s="89"/>
      <c r="X117" s="89"/>
      <c r="Y117" s="89"/>
      <c r="Z117" s="89"/>
      <c r="AA117" s="89"/>
    </row>
    <row r="118" ht="55.5" customHeight="1">
      <c r="A118" s="86" t="s">
        <v>220</v>
      </c>
      <c r="B118" s="84"/>
      <c r="C118" s="86" t="s">
        <v>198</v>
      </c>
      <c r="D118" s="84"/>
      <c r="E118" s="86" t="s">
        <v>248</v>
      </c>
      <c r="F118" s="86" t="s">
        <v>67</v>
      </c>
      <c r="G118" s="86" t="s">
        <v>132</v>
      </c>
      <c r="H118" s="81" t="s">
        <v>10</v>
      </c>
      <c r="I118" s="88"/>
      <c r="J118" s="88"/>
      <c r="K118" s="89"/>
      <c r="L118" s="89"/>
      <c r="M118" s="89"/>
      <c r="N118" s="89"/>
      <c r="O118" s="89"/>
      <c r="P118" s="89"/>
      <c r="Q118" s="89"/>
      <c r="R118" s="89"/>
      <c r="S118" s="89"/>
      <c r="T118" s="89"/>
      <c r="U118" s="89"/>
      <c r="V118" s="89"/>
      <c r="W118" s="89"/>
      <c r="X118" s="89"/>
      <c r="Y118" s="89"/>
      <c r="Z118" s="89"/>
      <c r="AA118" s="89"/>
    </row>
    <row r="119" ht="55.5" customHeight="1">
      <c r="A119" s="86" t="s">
        <v>220</v>
      </c>
      <c r="B119" s="84"/>
      <c r="C119" s="86" t="s">
        <v>201</v>
      </c>
      <c r="D119" s="84"/>
      <c r="E119" s="86" t="s">
        <v>186</v>
      </c>
      <c r="F119" s="86" t="s">
        <v>67</v>
      </c>
      <c r="G119" s="86" t="s">
        <v>132</v>
      </c>
      <c r="H119" s="81" t="s">
        <v>10</v>
      </c>
      <c r="I119" s="88"/>
      <c r="J119" s="88"/>
      <c r="K119" s="89"/>
      <c r="L119" s="89"/>
      <c r="M119" s="89"/>
      <c r="N119" s="89"/>
      <c r="O119" s="89"/>
      <c r="P119" s="89"/>
      <c r="Q119" s="89"/>
      <c r="R119" s="89"/>
      <c r="S119" s="89"/>
      <c r="T119" s="89"/>
      <c r="U119" s="89"/>
      <c r="V119" s="89"/>
      <c r="W119" s="89"/>
      <c r="X119" s="89"/>
      <c r="Y119" s="89"/>
      <c r="Z119" s="89"/>
      <c r="AA119" s="89"/>
    </row>
    <row r="120" ht="55.5" customHeight="1">
      <c r="A120" s="86" t="s">
        <v>220</v>
      </c>
      <c r="B120" s="84"/>
      <c r="C120" s="86" t="s">
        <v>205</v>
      </c>
      <c r="D120" s="12"/>
      <c r="E120" s="86" t="s">
        <v>188</v>
      </c>
      <c r="F120" s="86" t="s">
        <v>67</v>
      </c>
      <c r="G120" s="86" t="s">
        <v>161</v>
      </c>
      <c r="H120" s="81" t="s">
        <v>10</v>
      </c>
      <c r="I120" s="88"/>
      <c r="J120" s="88"/>
      <c r="K120" s="89"/>
      <c r="L120" s="89"/>
      <c r="M120" s="89"/>
      <c r="N120" s="89"/>
      <c r="O120" s="89"/>
      <c r="P120" s="89"/>
      <c r="Q120" s="89"/>
      <c r="R120" s="89"/>
      <c r="S120" s="89"/>
      <c r="T120" s="89"/>
      <c r="U120" s="89"/>
      <c r="V120" s="89"/>
      <c r="W120" s="89"/>
      <c r="X120" s="89"/>
      <c r="Y120" s="89"/>
      <c r="Z120" s="89"/>
      <c r="AA120" s="89"/>
    </row>
    <row r="121" ht="55.5" customHeight="1">
      <c r="A121" s="86" t="s">
        <v>220</v>
      </c>
      <c r="B121" s="84"/>
      <c r="C121" s="86" t="s">
        <v>208</v>
      </c>
      <c r="D121" s="86" t="s">
        <v>190</v>
      </c>
      <c r="E121" s="86" t="s">
        <v>191</v>
      </c>
      <c r="F121" s="86" t="s">
        <v>67</v>
      </c>
      <c r="G121" s="86" t="s">
        <v>132</v>
      </c>
      <c r="H121" s="81" t="s">
        <v>10</v>
      </c>
      <c r="I121" s="88"/>
      <c r="J121" s="88"/>
      <c r="K121" s="89"/>
      <c r="L121" s="89"/>
      <c r="M121" s="89"/>
      <c r="N121" s="89"/>
      <c r="O121" s="89"/>
      <c r="P121" s="89"/>
      <c r="Q121" s="89"/>
      <c r="R121" s="89"/>
      <c r="S121" s="89"/>
      <c r="T121" s="89"/>
      <c r="U121" s="89"/>
      <c r="V121" s="89"/>
      <c r="W121" s="89"/>
      <c r="X121" s="89"/>
      <c r="Y121" s="89"/>
      <c r="Z121" s="89"/>
      <c r="AA121" s="89"/>
    </row>
    <row r="122" ht="55.5" customHeight="1">
      <c r="A122" s="86" t="s">
        <v>220</v>
      </c>
      <c r="B122" s="84"/>
      <c r="C122" s="86" t="s">
        <v>211</v>
      </c>
      <c r="D122" s="87" t="s">
        <v>193</v>
      </c>
      <c r="E122" s="86" t="s">
        <v>194</v>
      </c>
      <c r="F122" s="86" t="s">
        <v>67</v>
      </c>
      <c r="G122" s="86" t="s">
        <v>195</v>
      </c>
      <c r="H122" s="81" t="s">
        <v>10</v>
      </c>
      <c r="I122" s="88"/>
      <c r="J122" s="88"/>
      <c r="K122" s="89"/>
      <c r="L122" s="89"/>
      <c r="M122" s="89"/>
      <c r="N122" s="89"/>
      <c r="O122" s="89"/>
      <c r="P122" s="89"/>
      <c r="Q122" s="89"/>
      <c r="R122" s="89"/>
      <c r="S122" s="89"/>
      <c r="T122" s="89"/>
      <c r="U122" s="89"/>
      <c r="V122" s="89"/>
      <c r="W122" s="89"/>
      <c r="X122" s="89"/>
      <c r="Y122" s="89"/>
      <c r="Z122" s="89"/>
      <c r="AA122" s="89"/>
    </row>
    <row r="123" ht="55.5" customHeight="1">
      <c r="A123" s="86" t="s">
        <v>220</v>
      </c>
      <c r="B123" s="84"/>
      <c r="C123" s="86" t="s">
        <v>213</v>
      </c>
      <c r="D123" s="84"/>
      <c r="E123" s="86" t="s">
        <v>197</v>
      </c>
      <c r="F123" s="86" t="s">
        <v>67</v>
      </c>
      <c r="G123" s="86" t="s">
        <v>195</v>
      </c>
      <c r="H123" s="81" t="s">
        <v>10</v>
      </c>
      <c r="I123" s="88"/>
      <c r="J123" s="88"/>
      <c r="K123" s="89"/>
      <c r="L123" s="89"/>
      <c r="M123" s="89"/>
      <c r="N123" s="89"/>
      <c r="O123" s="89"/>
      <c r="P123" s="89"/>
      <c r="Q123" s="89"/>
      <c r="R123" s="89"/>
      <c r="S123" s="89"/>
      <c r="T123" s="89"/>
      <c r="U123" s="89"/>
      <c r="V123" s="89"/>
      <c r="W123" s="89"/>
      <c r="X123" s="89"/>
      <c r="Y123" s="89"/>
      <c r="Z123" s="89"/>
      <c r="AA123" s="89"/>
    </row>
    <row r="124" ht="55.5" customHeight="1">
      <c r="A124" s="86" t="s">
        <v>220</v>
      </c>
      <c r="B124" s="84"/>
      <c r="C124" s="86" t="s">
        <v>215</v>
      </c>
      <c r="D124" s="12"/>
      <c r="E124" s="86" t="s">
        <v>199</v>
      </c>
      <c r="F124" s="86" t="s">
        <v>67</v>
      </c>
      <c r="G124" s="86" t="s">
        <v>200</v>
      </c>
      <c r="H124" s="81" t="s">
        <v>10</v>
      </c>
      <c r="I124" s="88"/>
      <c r="J124" s="88"/>
      <c r="K124" s="89"/>
      <c r="L124" s="89"/>
      <c r="M124" s="89"/>
      <c r="N124" s="89"/>
      <c r="O124" s="89"/>
      <c r="P124" s="89"/>
      <c r="Q124" s="89"/>
      <c r="R124" s="89"/>
      <c r="S124" s="89"/>
      <c r="T124" s="89"/>
      <c r="U124" s="89"/>
      <c r="V124" s="89"/>
      <c r="W124" s="89"/>
      <c r="X124" s="89"/>
      <c r="Y124" s="89"/>
      <c r="Z124" s="89"/>
      <c r="AA124" s="89"/>
    </row>
    <row r="125" ht="55.5" customHeight="1">
      <c r="A125" s="86" t="s">
        <v>220</v>
      </c>
      <c r="B125" s="84"/>
      <c r="C125" s="86" t="s">
        <v>217</v>
      </c>
      <c r="D125" s="86" t="s">
        <v>202</v>
      </c>
      <c r="E125" s="86" t="s">
        <v>203</v>
      </c>
      <c r="F125" s="86" t="s">
        <v>67</v>
      </c>
      <c r="G125" s="86" t="s">
        <v>204</v>
      </c>
      <c r="H125" s="81" t="s">
        <v>10</v>
      </c>
      <c r="I125" s="88"/>
      <c r="J125" s="88"/>
      <c r="K125" s="89"/>
      <c r="L125" s="89"/>
      <c r="M125" s="89"/>
      <c r="N125" s="89"/>
      <c r="O125" s="89"/>
      <c r="P125" s="89"/>
      <c r="Q125" s="89"/>
      <c r="R125" s="89"/>
      <c r="S125" s="89"/>
      <c r="T125" s="89"/>
      <c r="U125" s="89"/>
      <c r="V125" s="89"/>
      <c r="W125" s="89"/>
      <c r="X125" s="89"/>
      <c r="Y125" s="89"/>
      <c r="Z125" s="89"/>
      <c r="AA125" s="89"/>
    </row>
    <row r="126" ht="55.5" customHeight="1">
      <c r="A126" s="86" t="s">
        <v>220</v>
      </c>
      <c r="B126" s="84"/>
      <c r="C126" s="86" t="s">
        <v>249</v>
      </c>
      <c r="D126" s="87" t="s">
        <v>206</v>
      </c>
      <c r="E126" s="86" t="s">
        <v>207</v>
      </c>
      <c r="F126" s="86" t="s">
        <v>67</v>
      </c>
      <c r="G126" s="86" t="s">
        <v>147</v>
      </c>
      <c r="H126" s="81" t="s">
        <v>10</v>
      </c>
      <c r="I126" s="88"/>
      <c r="J126" s="88"/>
      <c r="K126" s="89"/>
      <c r="L126" s="89"/>
      <c r="M126" s="89"/>
      <c r="N126" s="89"/>
      <c r="O126" s="89"/>
      <c r="P126" s="89"/>
      <c r="Q126" s="89"/>
      <c r="R126" s="89"/>
      <c r="S126" s="89"/>
      <c r="T126" s="89"/>
      <c r="U126" s="89"/>
      <c r="V126" s="89"/>
      <c r="W126" s="89"/>
      <c r="X126" s="89"/>
      <c r="Y126" s="89"/>
      <c r="Z126" s="89"/>
      <c r="AA126" s="89"/>
    </row>
    <row r="127" ht="55.5" customHeight="1">
      <c r="A127" s="86" t="s">
        <v>220</v>
      </c>
      <c r="B127" s="84"/>
      <c r="C127" s="86" t="s">
        <v>250</v>
      </c>
      <c r="D127" s="84"/>
      <c r="E127" s="86" t="s">
        <v>209</v>
      </c>
      <c r="F127" s="86" t="s">
        <v>67</v>
      </c>
      <c r="G127" s="86" t="s">
        <v>251</v>
      </c>
      <c r="H127" s="81" t="s">
        <v>10</v>
      </c>
      <c r="I127" s="88"/>
      <c r="J127" s="88"/>
      <c r="K127" s="89"/>
      <c r="L127" s="89"/>
      <c r="M127" s="89"/>
      <c r="N127" s="89"/>
      <c r="O127" s="89"/>
      <c r="P127" s="89"/>
      <c r="Q127" s="89"/>
      <c r="R127" s="89"/>
      <c r="S127" s="89"/>
      <c r="T127" s="89"/>
      <c r="U127" s="89"/>
      <c r="V127" s="89"/>
      <c r="W127" s="89"/>
      <c r="X127" s="89"/>
      <c r="Y127" s="89"/>
      <c r="Z127" s="89"/>
      <c r="AA127" s="89"/>
    </row>
    <row r="128" ht="55.5" customHeight="1">
      <c r="A128" s="86" t="s">
        <v>220</v>
      </c>
      <c r="B128" s="84"/>
      <c r="C128" s="86" t="s">
        <v>252</v>
      </c>
      <c r="D128" s="84"/>
      <c r="E128" s="86" t="s">
        <v>212</v>
      </c>
      <c r="F128" s="86" t="s">
        <v>67</v>
      </c>
      <c r="G128" s="86" t="s">
        <v>251</v>
      </c>
      <c r="H128" s="81" t="s">
        <v>10</v>
      </c>
      <c r="I128" s="88"/>
      <c r="J128" s="88"/>
      <c r="K128" s="89"/>
      <c r="L128" s="89"/>
      <c r="M128" s="89"/>
      <c r="N128" s="89"/>
      <c r="O128" s="89"/>
      <c r="P128" s="89"/>
      <c r="Q128" s="89"/>
      <c r="R128" s="89"/>
      <c r="S128" s="89"/>
      <c r="T128" s="89"/>
      <c r="U128" s="89"/>
      <c r="V128" s="89"/>
      <c r="W128" s="89"/>
      <c r="X128" s="89"/>
      <c r="Y128" s="89"/>
      <c r="Z128" s="89"/>
      <c r="AA128" s="89"/>
    </row>
    <row r="129" ht="55.5" customHeight="1">
      <c r="A129" s="86" t="s">
        <v>220</v>
      </c>
      <c r="B129" s="84"/>
      <c r="C129" s="86" t="s">
        <v>253</v>
      </c>
      <c r="D129" s="84"/>
      <c r="E129" s="86" t="s">
        <v>214</v>
      </c>
      <c r="F129" s="86" t="s">
        <v>67</v>
      </c>
      <c r="G129" s="86" t="s">
        <v>251</v>
      </c>
      <c r="H129" s="81" t="s">
        <v>10</v>
      </c>
      <c r="I129" s="88"/>
      <c r="J129" s="88"/>
      <c r="K129" s="89"/>
      <c r="L129" s="89"/>
      <c r="M129" s="89"/>
      <c r="N129" s="89"/>
      <c r="O129" s="89"/>
      <c r="P129" s="89"/>
      <c r="Q129" s="89"/>
      <c r="R129" s="89"/>
      <c r="S129" s="89"/>
      <c r="T129" s="89"/>
      <c r="U129" s="89"/>
      <c r="V129" s="89"/>
      <c r="W129" s="89"/>
      <c r="X129" s="89"/>
      <c r="Y129" s="89"/>
      <c r="Z129" s="89"/>
      <c r="AA129" s="89"/>
    </row>
    <row r="130" ht="55.5" customHeight="1">
      <c r="A130" s="86" t="s">
        <v>220</v>
      </c>
      <c r="B130" s="84"/>
      <c r="C130" s="86" t="s">
        <v>254</v>
      </c>
      <c r="D130" s="84"/>
      <c r="E130" s="86" t="s">
        <v>216</v>
      </c>
      <c r="F130" s="86" t="s">
        <v>67</v>
      </c>
      <c r="G130" s="86" t="s">
        <v>251</v>
      </c>
      <c r="H130" s="81" t="s">
        <v>10</v>
      </c>
      <c r="I130" s="88"/>
      <c r="J130" s="88"/>
      <c r="K130" s="89"/>
      <c r="L130" s="89"/>
      <c r="M130" s="89"/>
      <c r="N130" s="89"/>
      <c r="O130" s="89"/>
      <c r="P130" s="89"/>
      <c r="Q130" s="89"/>
      <c r="R130" s="89"/>
      <c r="S130" s="89"/>
      <c r="T130" s="89"/>
      <c r="U130" s="89"/>
      <c r="V130" s="89"/>
      <c r="W130" s="89"/>
      <c r="X130" s="89"/>
      <c r="Y130" s="89"/>
      <c r="Z130" s="89"/>
      <c r="AA130" s="89"/>
    </row>
    <row r="131" ht="55.5" customHeight="1">
      <c r="A131" s="86" t="s">
        <v>220</v>
      </c>
      <c r="B131" s="84"/>
      <c r="C131" s="86" t="s">
        <v>255</v>
      </c>
      <c r="D131" s="84"/>
      <c r="E131" s="86" t="s">
        <v>218</v>
      </c>
      <c r="F131" s="86" t="s">
        <v>67</v>
      </c>
      <c r="G131" s="86" t="s">
        <v>256</v>
      </c>
      <c r="H131" s="81" t="s">
        <v>10</v>
      </c>
      <c r="I131" s="88"/>
      <c r="J131" s="88"/>
      <c r="K131" s="89"/>
      <c r="L131" s="89"/>
      <c r="M131" s="89"/>
      <c r="N131" s="89"/>
      <c r="O131" s="89"/>
      <c r="P131" s="89"/>
      <c r="Q131" s="89"/>
      <c r="R131" s="89"/>
      <c r="S131" s="89"/>
      <c r="T131" s="89"/>
      <c r="U131" s="89"/>
      <c r="V131" s="89"/>
      <c r="W131" s="89"/>
      <c r="X131" s="89"/>
      <c r="Y131" s="89"/>
      <c r="Z131" s="89"/>
      <c r="AA131" s="89"/>
    </row>
    <row r="132" ht="55.5" customHeight="1">
      <c r="A132" s="86" t="s">
        <v>220</v>
      </c>
      <c r="B132" s="84"/>
      <c r="C132" s="86" t="s">
        <v>257</v>
      </c>
      <c r="D132" s="84"/>
      <c r="E132" s="86" t="s">
        <v>258</v>
      </c>
      <c r="F132" s="86" t="s">
        <v>67</v>
      </c>
      <c r="G132" s="86" t="s">
        <v>259</v>
      </c>
      <c r="H132" s="81" t="s">
        <v>10</v>
      </c>
      <c r="I132" s="88"/>
      <c r="J132" s="88"/>
      <c r="K132" s="89"/>
      <c r="L132" s="89"/>
      <c r="M132" s="89"/>
      <c r="N132" s="89"/>
      <c r="O132" s="89"/>
      <c r="P132" s="89"/>
      <c r="Q132" s="89"/>
      <c r="R132" s="89"/>
      <c r="S132" s="89"/>
      <c r="T132" s="89"/>
      <c r="U132" s="89"/>
      <c r="V132" s="89"/>
      <c r="W132" s="89"/>
      <c r="X132" s="89"/>
      <c r="Y132" s="89"/>
      <c r="Z132" s="89"/>
      <c r="AA132" s="89"/>
    </row>
    <row r="133" ht="55.5" customHeight="1">
      <c r="A133" s="86" t="s">
        <v>220</v>
      </c>
      <c r="B133" s="84"/>
      <c r="C133" s="86" t="s">
        <v>260</v>
      </c>
      <c r="D133" s="12"/>
      <c r="E133" s="86" t="s">
        <v>261</v>
      </c>
      <c r="F133" s="86" t="s">
        <v>67</v>
      </c>
      <c r="G133" s="86" t="s">
        <v>262</v>
      </c>
      <c r="H133" s="81" t="s">
        <v>10</v>
      </c>
      <c r="I133" s="88"/>
      <c r="J133" s="88"/>
      <c r="K133" s="89"/>
      <c r="L133" s="89"/>
      <c r="M133" s="89"/>
      <c r="N133" s="89"/>
      <c r="O133" s="89"/>
      <c r="P133" s="89"/>
      <c r="Q133" s="89"/>
      <c r="R133" s="89"/>
      <c r="S133" s="89"/>
      <c r="T133" s="89"/>
      <c r="U133" s="89"/>
      <c r="V133" s="89"/>
      <c r="W133" s="89"/>
      <c r="X133" s="89"/>
      <c r="Y133" s="89"/>
      <c r="Z133" s="89"/>
      <c r="AA133" s="89"/>
    </row>
    <row r="134" ht="55.5" customHeight="1">
      <c r="A134" s="86" t="s">
        <v>220</v>
      </c>
      <c r="B134" s="84"/>
      <c r="C134" s="86" t="s">
        <v>263</v>
      </c>
      <c r="D134" s="87" t="s">
        <v>264</v>
      </c>
      <c r="E134" s="86" t="s">
        <v>265</v>
      </c>
      <c r="F134" s="86" t="s">
        <v>266</v>
      </c>
      <c r="G134" s="86" t="s">
        <v>267</v>
      </c>
      <c r="H134" s="81" t="s">
        <v>10</v>
      </c>
      <c r="I134" s="93"/>
      <c r="J134" s="88"/>
      <c r="K134" s="89"/>
      <c r="L134" s="89"/>
      <c r="M134" s="89"/>
      <c r="N134" s="89"/>
      <c r="O134" s="89"/>
      <c r="P134" s="89"/>
      <c r="Q134" s="89"/>
      <c r="R134" s="89"/>
      <c r="S134" s="89"/>
      <c r="T134" s="89"/>
      <c r="U134" s="89"/>
      <c r="V134" s="89"/>
      <c r="W134" s="89"/>
      <c r="X134" s="89"/>
      <c r="Y134" s="89"/>
      <c r="Z134" s="89"/>
      <c r="AA134" s="89"/>
    </row>
    <row r="135" ht="55.5" customHeight="1">
      <c r="A135" s="86" t="s">
        <v>220</v>
      </c>
      <c r="B135" s="84"/>
      <c r="C135" s="86" t="s">
        <v>268</v>
      </c>
      <c r="D135" s="84"/>
      <c r="E135" s="86" t="s">
        <v>269</v>
      </c>
      <c r="F135" s="86" t="s">
        <v>270</v>
      </c>
      <c r="G135" s="86" t="s">
        <v>267</v>
      </c>
      <c r="H135" s="81" t="s">
        <v>10</v>
      </c>
      <c r="I135" s="93"/>
      <c r="J135" s="88"/>
      <c r="K135" s="89"/>
      <c r="L135" s="89"/>
      <c r="M135" s="89"/>
      <c r="N135" s="89"/>
      <c r="O135" s="89"/>
      <c r="P135" s="89"/>
      <c r="Q135" s="89"/>
      <c r="R135" s="89"/>
      <c r="S135" s="89"/>
      <c r="T135" s="89"/>
      <c r="U135" s="89"/>
      <c r="V135" s="89"/>
      <c r="W135" s="89"/>
      <c r="X135" s="89"/>
      <c r="Y135" s="89"/>
      <c r="Z135" s="89"/>
      <c r="AA135" s="89"/>
    </row>
    <row r="136" ht="55.5" customHeight="1">
      <c r="A136" s="86" t="s">
        <v>220</v>
      </c>
      <c r="B136" s="84"/>
      <c r="C136" s="86" t="s">
        <v>271</v>
      </c>
      <c r="D136" s="84"/>
      <c r="E136" s="86" t="s">
        <v>272</v>
      </c>
      <c r="F136" s="86" t="s">
        <v>273</v>
      </c>
      <c r="G136" s="86" t="s">
        <v>274</v>
      </c>
      <c r="H136" s="81" t="s">
        <v>10</v>
      </c>
      <c r="I136" s="93"/>
      <c r="J136" s="88"/>
      <c r="K136" s="89"/>
      <c r="L136" s="89"/>
      <c r="M136" s="89"/>
      <c r="N136" s="89"/>
      <c r="O136" s="89"/>
      <c r="P136" s="89"/>
      <c r="Q136" s="89"/>
      <c r="R136" s="89"/>
      <c r="S136" s="89"/>
      <c r="T136" s="89"/>
      <c r="U136" s="89"/>
      <c r="V136" s="89"/>
      <c r="W136" s="89"/>
      <c r="X136" s="89"/>
      <c r="Y136" s="89"/>
      <c r="Z136" s="89"/>
      <c r="AA136" s="89"/>
    </row>
    <row r="137" ht="55.5" customHeight="1">
      <c r="A137" s="86" t="s">
        <v>220</v>
      </c>
      <c r="B137" s="84"/>
      <c r="C137" s="86" t="s">
        <v>275</v>
      </c>
      <c r="D137" s="84"/>
      <c r="E137" s="86" t="s">
        <v>276</v>
      </c>
      <c r="F137" s="86" t="s">
        <v>270</v>
      </c>
      <c r="G137" s="86" t="s">
        <v>277</v>
      </c>
      <c r="H137" s="81" t="s">
        <v>10</v>
      </c>
      <c r="I137" s="88"/>
      <c r="J137" s="88"/>
      <c r="K137" s="89"/>
      <c r="L137" s="89"/>
      <c r="M137" s="89"/>
      <c r="N137" s="89"/>
      <c r="O137" s="89"/>
      <c r="P137" s="89"/>
      <c r="Q137" s="89"/>
      <c r="R137" s="89"/>
      <c r="S137" s="89"/>
      <c r="T137" s="89"/>
      <c r="U137" s="89"/>
      <c r="V137" s="89"/>
      <c r="W137" s="89"/>
      <c r="X137" s="89"/>
      <c r="Y137" s="89"/>
      <c r="Z137" s="89"/>
      <c r="AA137" s="89"/>
    </row>
    <row r="138" ht="55.5" customHeight="1">
      <c r="A138" s="86" t="s">
        <v>220</v>
      </c>
      <c r="B138" s="84"/>
      <c r="C138" s="86" t="s">
        <v>278</v>
      </c>
      <c r="D138" s="84"/>
      <c r="E138" s="86" t="s">
        <v>279</v>
      </c>
      <c r="F138" s="86" t="s">
        <v>270</v>
      </c>
      <c r="G138" s="86" t="s">
        <v>280</v>
      </c>
      <c r="H138" s="81" t="s">
        <v>10</v>
      </c>
      <c r="I138" s="93"/>
      <c r="J138" s="88"/>
      <c r="K138" s="89"/>
      <c r="L138" s="89"/>
      <c r="M138" s="89"/>
      <c r="N138" s="89"/>
      <c r="O138" s="89"/>
      <c r="P138" s="89"/>
      <c r="Q138" s="89"/>
      <c r="R138" s="89"/>
      <c r="S138" s="89"/>
      <c r="T138" s="89"/>
      <c r="U138" s="89"/>
      <c r="V138" s="89"/>
      <c r="W138" s="89"/>
      <c r="X138" s="89"/>
      <c r="Y138" s="89"/>
      <c r="Z138" s="89"/>
      <c r="AA138" s="89"/>
    </row>
    <row r="139" ht="55.5" customHeight="1">
      <c r="A139" s="86" t="s">
        <v>220</v>
      </c>
      <c r="B139" s="84"/>
      <c r="C139" s="86" t="s">
        <v>281</v>
      </c>
      <c r="D139" s="84"/>
      <c r="E139" s="86" t="s">
        <v>282</v>
      </c>
      <c r="F139" s="86" t="s">
        <v>270</v>
      </c>
      <c r="G139" s="86" t="s">
        <v>283</v>
      </c>
      <c r="H139" s="81" t="s">
        <v>10</v>
      </c>
      <c r="I139" s="88"/>
      <c r="J139" s="92"/>
      <c r="K139" s="89"/>
      <c r="L139" s="89"/>
      <c r="M139" s="89"/>
      <c r="N139" s="89"/>
      <c r="O139" s="89"/>
      <c r="P139" s="89"/>
      <c r="Q139" s="89"/>
      <c r="R139" s="89"/>
      <c r="S139" s="89"/>
      <c r="T139" s="89"/>
      <c r="U139" s="89"/>
      <c r="V139" s="89"/>
      <c r="W139" s="89"/>
      <c r="X139" s="89"/>
      <c r="Y139" s="89"/>
      <c r="Z139" s="89"/>
      <c r="AA139" s="89"/>
    </row>
    <row r="140" ht="55.5" customHeight="1">
      <c r="A140" s="86" t="s">
        <v>220</v>
      </c>
      <c r="B140" s="84"/>
      <c r="C140" s="86" t="s">
        <v>284</v>
      </c>
      <c r="D140" s="12"/>
      <c r="E140" s="86" t="s">
        <v>285</v>
      </c>
      <c r="F140" s="86" t="s">
        <v>286</v>
      </c>
      <c r="G140" s="86" t="s">
        <v>287</v>
      </c>
      <c r="H140" s="81" t="s">
        <v>10</v>
      </c>
      <c r="I140" s="93" t="s">
        <v>288</v>
      </c>
      <c r="J140" s="88"/>
      <c r="K140" s="89"/>
      <c r="L140" s="89"/>
      <c r="M140" s="89"/>
      <c r="N140" s="89"/>
      <c r="O140" s="89"/>
      <c r="P140" s="89"/>
      <c r="Q140" s="89"/>
      <c r="R140" s="89"/>
      <c r="S140" s="89"/>
      <c r="T140" s="89"/>
      <c r="U140" s="89"/>
      <c r="V140" s="89"/>
      <c r="W140" s="89"/>
      <c r="X140" s="89"/>
      <c r="Y140" s="89"/>
      <c r="Z140" s="89"/>
      <c r="AA140" s="89"/>
    </row>
    <row r="141" ht="55.5" customHeight="1">
      <c r="A141" s="86" t="s">
        <v>220</v>
      </c>
      <c r="B141" s="84"/>
      <c r="C141" s="86" t="s">
        <v>289</v>
      </c>
      <c r="D141" s="80" t="s">
        <v>48</v>
      </c>
      <c r="E141" s="86" t="s">
        <v>290</v>
      </c>
      <c r="F141" s="86" t="s">
        <v>291</v>
      </c>
      <c r="G141" s="86" t="s">
        <v>292</v>
      </c>
      <c r="H141" s="81" t="s">
        <v>10</v>
      </c>
      <c r="I141" s="88"/>
      <c r="J141" s="88"/>
      <c r="K141" s="89"/>
      <c r="L141" s="89"/>
      <c r="M141" s="89"/>
      <c r="N141" s="89"/>
      <c r="O141" s="89"/>
      <c r="P141" s="89"/>
      <c r="Q141" s="89"/>
      <c r="R141" s="89"/>
      <c r="S141" s="89"/>
      <c r="T141" s="89"/>
      <c r="U141" s="89"/>
      <c r="V141" s="89"/>
      <c r="W141" s="89"/>
      <c r="X141" s="89"/>
      <c r="Y141" s="89"/>
      <c r="Z141" s="89"/>
      <c r="AA141" s="89"/>
    </row>
    <row r="142" ht="55.5" customHeight="1">
      <c r="A142" s="79" t="s">
        <v>220</v>
      </c>
      <c r="B142" s="84"/>
      <c r="C142" s="86" t="s">
        <v>293</v>
      </c>
      <c r="D142" s="84"/>
      <c r="E142" s="79" t="s">
        <v>294</v>
      </c>
      <c r="F142" s="79" t="s">
        <v>226</v>
      </c>
      <c r="G142" s="79" t="s">
        <v>295</v>
      </c>
      <c r="H142" s="81" t="s">
        <v>10</v>
      </c>
      <c r="I142" s="82"/>
      <c r="J142" s="82"/>
      <c r="K142" s="83"/>
      <c r="L142" s="83"/>
      <c r="M142" s="83"/>
      <c r="N142" s="83"/>
      <c r="O142" s="83"/>
      <c r="P142" s="83"/>
      <c r="Q142" s="83"/>
      <c r="R142" s="83"/>
      <c r="S142" s="83"/>
      <c r="T142" s="83"/>
      <c r="U142" s="83"/>
      <c r="V142" s="83"/>
      <c r="W142" s="83"/>
      <c r="X142" s="83"/>
      <c r="Y142" s="83"/>
      <c r="Z142" s="83"/>
      <c r="AA142" s="83"/>
    </row>
    <row r="143" ht="55.5" customHeight="1">
      <c r="A143" s="79" t="s">
        <v>220</v>
      </c>
      <c r="B143" s="84"/>
      <c r="C143" s="86" t="s">
        <v>296</v>
      </c>
      <c r="D143" s="12"/>
      <c r="E143" s="79" t="s">
        <v>297</v>
      </c>
      <c r="F143" s="79" t="s">
        <v>226</v>
      </c>
      <c r="G143" s="79" t="s">
        <v>298</v>
      </c>
      <c r="H143" s="81" t="s">
        <v>10</v>
      </c>
      <c r="I143" s="82"/>
      <c r="J143" s="82"/>
      <c r="K143" s="83"/>
      <c r="L143" s="83"/>
      <c r="M143" s="83"/>
      <c r="N143" s="83"/>
      <c r="O143" s="83"/>
      <c r="P143" s="83"/>
      <c r="Q143" s="83"/>
      <c r="R143" s="83"/>
      <c r="S143" s="83"/>
      <c r="T143" s="83"/>
      <c r="U143" s="83"/>
      <c r="V143" s="83"/>
      <c r="W143" s="83"/>
      <c r="X143" s="83"/>
      <c r="Y143" s="83"/>
      <c r="Z143" s="83"/>
      <c r="AA143" s="83"/>
    </row>
    <row r="144" ht="55.5" customHeight="1">
      <c r="A144" s="79" t="s">
        <v>220</v>
      </c>
      <c r="B144" s="84"/>
      <c r="C144" s="86" t="s">
        <v>299</v>
      </c>
      <c r="D144" s="80" t="s">
        <v>300</v>
      </c>
      <c r="E144" s="79" t="s">
        <v>301</v>
      </c>
      <c r="F144" s="79" t="s">
        <v>302</v>
      </c>
      <c r="G144" s="79" t="s">
        <v>303</v>
      </c>
      <c r="H144" s="81" t="s">
        <v>10</v>
      </c>
      <c r="I144" s="82"/>
      <c r="J144" s="82"/>
      <c r="K144" s="83"/>
      <c r="L144" s="83"/>
      <c r="M144" s="83"/>
      <c r="N144" s="83"/>
      <c r="O144" s="83"/>
      <c r="P144" s="83"/>
      <c r="Q144" s="83"/>
      <c r="R144" s="83"/>
      <c r="S144" s="83"/>
      <c r="T144" s="83"/>
      <c r="U144" s="83"/>
      <c r="V144" s="83"/>
      <c r="W144" s="83"/>
      <c r="X144" s="83"/>
      <c r="Y144" s="83"/>
      <c r="Z144" s="83"/>
      <c r="AA144" s="83"/>
    </row>
    <row r="145" ht="55.5" customHeight="1">
      <c r="A145" s="79" t="s">
        <v>220</v>
      </c>
      <c r="B145" s="84"/>
      <c r="C145" s="86" t="s">
        <v>304</v>
      </c>
      <c r="D145" s="84"/>
      <c r="E145" s="79" t="s">
        <v>305</v>
      </c>
      <c r="F145" s="79" t="s">
        <v>67</v>
      </c>
      <c r="G145" s="79" t="s">
        <v>306</v>
      </c>
      <c r="H145" s="81" t="s">
        <v>10</v>
      </c>
      <c r="I145" s="82"/>
      <c r="J145" s="82"/>
      <c r="K145" s="83"/>
      <c r="L145" s="83"/>
      <c r="M145" s="83"/>
      <c r="N145" s="83"/>
      <c r="O145" s="83"/>
      <c r="P145" s="83"/>
      <c r="Q145" s="83"/>
      <c r="R145" s="83"/>
      <c r="S145" s="83"/>
      <c r="T145" s="83"/>
      <c r="U145" s="83"/>
      <c r="V145" s="83"/>
      <c r="W145" s="83"/>
      <c r="X145" s="83"/>
      <c r="Y145" s="83"/>
      <c r="Z145" s="83"/>
      <c r="AA145" s="83"/>
    </row>
    <row r="146" ht="55.5" customHeight="1">
      <c r="A146" s="79" t="s">
        <v>220</v>
      </c>
      <c r="B146" s="84"/>
      <c r="C146" s="86" t="s">
        <v>307</v>
      </c>
      <c r="D146" s="84"/>
      <c r="E146" s="79" t="s">
        <v>308</v>
      </c>
      <c r="F146" s="79" t="s">
        <v>67</v>
      </c>
      <c r="G146" s="79" t="s">
        <v>309</v>
      </c>
      <c r="H146" s="81" t="s">
        <v>10</v>
      </c>
      <c r="I146" s="82"/>
      <c r="J146" s="82"/>
      <c r="K146" s="83"/>
      <c r="L146" s="83"/>
      <c r="M146" s="83"/>
      <c r="N146" s="83"/>
      <c r="O146" s="83"/>
      <c r="P146" s="83"/>
      <c r="Q146" s="83"/>
      <c r="R146" s="83"/>
      <c r="S146" s="83"/>
      <c r="T146" s="83"/>
      <c r="U146" s="83"/>
      <c r="V146" s="83"/>
      <c r="W146" s="83"/>
      <c r="X146" s="83"/>
      <c r="Y146" s="83"/>
      <c r="Z146" s="83"/>
      <c r="AA146" s="83"/>
    </row>
    <row r="147" ht="55.5" customHeight="1">
      <c r="A147" s="79" t="s">
        <v>220</v>
      </c>
      <c r="B147" s="84"/>
      <c r="C147" s="86" t="s">
        <v>310</v>
      </c>
      <c r="D147" s="84"/>
      <c r="E147" s="79" t="s">
        <v>311</v>
      </c>
      <c r="F147" s="79" t="s">
        <v>67</v>
      </c>
      <c r="G147" s="79" t="s">
        <v>312</v>
      </c>
      <c r="H147" s="81" t="s">
        <v>10</v>
      </c>
      <c r="I147" s="82"/>
      <c r="J147" s="82"/>
      <c r="K147" s="83"/>
      <c r="L147" s="83"/>
      <c r="M147" s="83"/>
      <c r="N147" s="83"/>
      <c r="O147" s="83"/>
      <c r="P147" s="83"/>
      <c r="Q147" s="83"/>
      <c r="R147" s="83"/>
      <c r="S147" s="83"/>
      <c r="T147" s="83"/>
      <c r="U147" s="83"/>
      <c r="V147" s="83"/>
      <c r="W147" s="83"/>
      <c r="X147" s="83"/>
      <c r="Y147" s="83"/>
      <c r="Z147" s="83"/>
      <c r="AA147" s="83"/>
    </row>
    <row r="148" ht="55.5" customHeight="1">
      <c r="A148" s="79" t="s">
        <v>220</v>
      </c>
      <c r="B148" s="12"/>
      <c r="C148" s="86" t="s">
        <v>313</v>
      </c>
      <c r="D148" s="12"/>
      <c r="E148" s="79" t="s">
        <v>314</v>
      </c>
      <c r="F148" s="79" t="s">
        <v>67</v>
      </c>
      <c r="G148" s="79" t="s">
        <v>315</v>
      </c>
      <c r="H148" s="81" t="s">
        <v>10</v>
      </c>
      <c r="I148" s="82"/>
      <c r="J148" s="82"/>
      <c r="K148" s="83"/>
      <c r="L148" s="83"/>
      <c r="M148" s="83"/>
      <c r="N148" s="83"/>
      <c r="O148" s="83"/>
      <c r="P148" s="83"/>
      <c r="Q148" s="83"/>
      <c r="R148" s="83"/>
      <c r="S148" s="83"/>
      <c r="T148" s="83"/>
      <c r="U148" s="83"/>
      <c r="V148" s="83"/>
      <c r="W148" s="83"/>
      <c r="X148" s="83"/>
      <c r="Y148" s="83"/>
      <c r="Z148" s="83"/>
      <c r="AA148" s="83"/>
    </row>
    <row r="149" ht="55.5" customHeight="1">
      <c r="A149" s="79" t="s">
        <v>316</v>
      </c>
      <c r="B149" s="80" t="s">
        <v>317</v>
      </c>
      <c r="C149" s="78"/>
      <c r="D149" s="79" t="s">
        <v>318</v>
      </c>
      <c r="E149" s="79" t="s">
        <v>319</v>
      </c>
      <c r="F149" s="79" t="s">
        <v>320</v>
      </c>
      <c r="G149" s="78"/>
      <c r="H149" s="79" t="s">
        <v>10</v>
      </c>
      <c r="I149" s="82"/>
      <c r="J149" s="82"/>
      <c r="K149" s="83"/>
      <c r="L149" s="83"/>
      <c r="M149" s="83"/>
      <c r="N149" s="83"/>
      <c r="O149" s="83"/>
      <c r="P149" s="83"/>
      <c r="Q149" s="83"/>
      <c r="R149" s="83"/>
      <c r="S149" s="83"/>
      <c r="T149" s="83"/>
      <c r="U149" s="83"/>
      <c r="V149" s="83"/>
      <c r="W149" s="83"/>
      <c r="X149" s="83"/>
      <c r="Y149" s="83"/>
      <c r="Z149" s="83"/>
      <c r="AA149" s="83"/>
    </row>
    <row r="150" ht="55.5" customHeight="1">
      <c r="A150" s="79" t="s">
        <v>316</v>
      </c>
      <c r="B150" s="84"/>
      <c r="C150" s="79" t="s">
        <v>47</v>
      </c>
      <c r="D150" s="80" t="s">
        <v>65</v>
      </c>
      <c r="E150" s="79" t="s">
        <v>66</v>
      </c>
      <c r="F150" s="79" t="s">
        <v>67</v>
      </c>
      <c r="G150" s="79" t="s">
        <v>68</v>
      </c>
      <c r="H150" s="81" t="s">
        <v>10</v>
      </c>
      <c r="I150" s="82"/>
      <c r="J150" s="82"/>
      <c r="K150" s="83"/>
      <c r="L150" s="83"/>
      <c r="M150" s="83"/>
      <c r="N150" s="83"/>
      <c r="O150" s="83"/>
      <c r="P150" s="83"/>
      <c r="Q150" s="83"/>
      <c r="R150" s="83"/>
      <c r="S150" s="83"/>
      <c r="T150" s="83"/>
      <c r="U150" s="83"/>
      <c r="V150" s="83"/>
      <c r="W150" s="83"/>
      <c r="X150" s="83"/>
      <c r="Y150" s="83"/>
      <c r="Z150" s="83"/>
      <c r="AA150" s="83"/>
    </row>
    <row r="151" ht="55.5" customHeight="1">
      <c r="A151" s="79" t="s">
        <v>316</v>
      </c>
      <c r="B151" s="84"/>
      <c r="C151" s="79" t="s">
        <v>52</v>
      </c>
      <c r="D151" s="84"/>
      <c r="E151" s="79" t="s">
        <v>70</v>
      </c>
      <c r="F151" s="79" t="s">
        <v>67</v>
      </c>
      <c r="G151" s="79" t="s">
        <v>71</v>
      </c>
      <c r="H151" s="81" t="s">
        <v>10</v>
      </c>
      <c r="I151" s="82"/>
      <c r="J151" s="82"/>
      <c r="K151" s="83"/>
      <c r="L151" s="83"/>
      <c r="M151" s="83"/>
      <c r="N151" s="83"/>
      <c r="O151" s="83"/>
      <c r="P151" s="83"/>
      <c r="Q151" s="83"/>
      <c r="R151" s="83"/>
      <c r="S151" s="83"/>
      <c r="T151" s="83"/>
      <c r="U151" s="83"/>
      <c r="V151" s="83"/>
      <c r="W151" s="83"/>
      <c r="X151" s="83"/>
      <c r="Y151" s="83"/>
      <c r="Z151" s="83"/>
      <c r="AA151" s="83"/>
    </row>
    <row r="152" ht="55.5" customHeight="1">
      <c r="A152" s="79" t="s">
        <v>316</v>
      </c>
      <c r="B152" s="84"/>
      <c r="C152" s="79" t="s">
        <v>55</v>
      </c>
      <c r="D152" s="84"/>
      <c r="E152" s="79" t="s">
        <v>73</v>
      </c>
      <c r="F152" s="79" t="s">
        <v>67</v>
      </c>
      <c r="G152" s="79" t="s">
        <v>74</v>
      </c>
      <c r="H152" s="81" t="s">
        <v>10</v>
      </c>
      <c r="I152" s="82"/>
      <c r="J152" s="82"/>
      <c r="K152" s="83"/>
      <c r="L152" s="83"/>
      <c r="M152" s="83"/>
      <c r="N152" s="83"/>
      <c r="O152" s="83"/>
      <c r="P152" s="83"/>
      <c r="Q152" s="83"/>
      <c r="R152" s="83"/>
      <c r="S152" s="83"/>
      <c r="T152" s="83"/>
      <c r="U152" s="83"/>
      <c r="V152" s="83"/>
      <c r="W152" s="83"/>
      <c r="X152" s="83"/>
      <c r="Y152" s="83"/>
      <c r="Z152" s="83"/>
      <c r="AA152" s="83"/>
    </row>
    <row r="153" ht="55.5" customHeight="1">
      <c r="A153" s="79" t="s">
        <v>316</v>
      </c>
      <c r="B153" s="84"/>
      <c r="C153" s="79" t="s">
        <v>58</v>
      </c>
      <c r="D153" s="12"/>
      <c r="E153" s="79" t="s">
        <v>76</v>
      </c>
      <c r="F153" s="79" t="s">
        <v>77</v>
      </c>
      <c r="G153" s="79" t="s">
        <v>239</v>
      </c>
      <c r="H153" s="81" t="s">
        <v>10</v>
      </c>
      <c r="I153" s="82"/>
      <c r="J153" s="82"/>
      <c r="K153" s="83"/>
      <c r="L153" s="83"/>
      <c r="M153" s="83"/>
      <c r="N153" s="83"/>
      <c r="O153" s="83"/>
      <c r="P153" s="83"/>
      <c r="Q153" s="83"/>
      <c r="R153" s="83"/>
      <c r="S153" s="83"/>
      <c r="T153" s="83"/>
      <c r="U153" s="83"/>
      <c r="V153" s="83"/>
      <c r="W153" s="83"/>
      <c r="X153" s="83"/>
      <c r="Y153" s="83"/>
      <c r="Z153" s="83"/>
      <c r="AA153" s="83"/>
    </row>
    <row r="154" ht="55.5" customHeight="1">
      <c r="A154" s="79" t="s">
        <v>316</v>
      </c>
      <c r="B154" s="84"/>
      <c r="C154" s="79" t="s">
        <v>62</v>
      </c>
      <c r="D154" s="80" t="s">
        <v>80</v>
      </c>
      <c r="E154" s="79" t="s">
        <v>81</v>
      </c>
      <c r="F154" s="79" t="s">
        <v>67</v>
      </c>
      <c r="G154" s="79" t="s">
        <v>82</v>
      </c>
      <c r="H154" s="81" t="s">
        <v>10</v>
      </c>
      <c r="I154" s="82"/>
      <c r="J154" s="82"/>
      <c r="K154" s="83"/>
      <c r="L154" s="83"/>
      <c r="M154" s="83"/>
      <c r="N154" s="83"/>
      <c r="O154" s="83"/>
      <c r="P154" s="83"/>
      <c r="Q154" s="83"/>
      <c r="R154" s="83"/>
      <c r="S154" s="83"/>
      <c r="T154" s="83"/>
      <c r="U154" s="83"/>
      <c r="V154" s="83"/>
      <c r="W154" s="83"/>
      <c r="X154" s="83"/>
      <c r="Y154" s="83"/>
      <c r="Z154" s="83"/>
      <c r="AA154" s="83"/>
    </row>
    <row r="155" ht="55.5" customHeight="1">
      <c r="A155" s="79" t="s">
        <v>316</v>
      </c>
      <c r="B155" s="84"/>
      <c r="C155" s="79" t="s">
        <v>64</v>
      </c>
      <c r="D155" s="84"/>
      <c r="E155" s="79" t="s">
        <v>84</v>
      </c>
      <c r="F155" s="79" t="s">
        <v>67</v>
      </c>
      <c r="G155" s="79" t="s">
        <v>240</v>
      </c>
      <c r="H155" s="81" t="s">
        <v>10</v>
      </c>
      <c r="I155" s="82"/>
      <c r="J155" s="82"/>
      <c r="K155" s="83"/>
      <c r="L155" s="83"/>
      <c r="M155" s="83"/>
      <c r="N155" s="83"/>
      <c r="O155" s="83"/>
      <c r="P155" s="83"/>
      <c r="Q155" s="83"/>
      <c r="R155" s="83"/>
      <c r="S155" s="83"/>
      <c r="T155" s="83"/>
      <c r="U155" s="83"/>
      <c r="V155" s="83"/>
      <c r="W155" s="83"/>
      <c r="X155" s="83"/>
      <c r="Y155" s="83"/>
      <c r="Z155" s="83"/>
      <c r="AA155" s="83"/>
    </row>
    <row r="156" ht="55.5" customHeight="1">
      <c r="A156" s="79" t="s">
        <v>316</v>
      </c>
      <c r="B156" s="84"/>
      <c r="C156" s="79" t="s">
        <v>69</v>
      </c>
      <c r="D156" s="84"/>
      <c r="E156" s="79" t="s">
        <v>70</v>
      </c>
      <c r="F156" s="79" t="s">
        <v>67</v>
      </c>
      <c r="G156" s="79" t="s">
        <v>87</v>
      </c>
      <c r="H156" s="81" t="s">
        <v>10</v>
      </c>
      <c r="I156" s="82"/>
      <c r="J156" s="82"/>
      <c r="K156" s="83"/>
      <c r="L156" s="83"/>
      <c r="M156" s="83"/>
      <c r="N156" s="83"/>
      <c r="O156" s="83"/>
      <c r="P156" s="83"/>
      <c r="Q156" s="83"/>
      <c r="R156" s="83"/>
      <c r="S156" s="83"/>
      <c r="T156" s="83"/>
      <c r="U156" s="83"/>
      <c r="V156" s="83"/>
      <c r="W156" s="83"/>
      <c r="X156" s="83"/>
      <c r="Y156" s="83"/>
      <c r="Z156" s="83"/>
      <c r="AA156" s="83"/>
    </row>
    <row r="157" ht="55.5" customHeight="1">
      <c r="A157" s="79" t="s">
        <v>316</v>
      </c>
      <c r="B157" s="84"/>
      <c r="C157" s="79" t="s">
        <v>72</v>
      </c>
      <c r="D157" s="84"/>
      <c r="E157" s="79" t="s">
        <v>89</v>
      </c>
      <c r="F157" s="79" t="s">
        <v>67</v>
      </c>
      <c r="G157" s="79" t="s">
        <v>90</v>
      </c>
      <c r="H157" s="81" t="s">
        <v>10</v>
      </c>
      <c r="I157" s="82"/>
      <c r="J157" s="82"/>
      <c r="K157" s="83"/>
      <c r="L157" s="83"/>
      <c r="M157" s="83"/>
      <c r="N157" s="83"/>
      <c r="O157" s="83"/>
      <c r="P157" s="83"/>
      <c r="Q157" s="83"/>
      <c r="R157" s="83"/>
      <c r="S157" s="83"/>
      <c r="T157" s="83"/>
      <c r="U157" s="83"/>
      <c r="V157" s="83"/>
      <c r="W157" s="83"/>
      <c r="X157" s="83"/>
      <c r="Y157" s="83"/>
      <c r="Z157" s="83"/>
      <c r="AA157" s="83"/>
    </row>
    <row r="158" ht="55.5" customHeight="1">
      <c r="A158" s="79" t="s">
        <v>316</v>
      </c>
      <c r="B158" s="84"/>
      <c r="C158" s="79" t="s">
        <v>75</v>
      </c>
      <c r="D158" s="84"/>
      <c r="E158" s="79" t="s">
        <v>92</v>
      </c>
      <c r="F158" s="79" t="s">
        <v>67</v>
      </c>
      <c r="G158" s="79" t="s">
        <v>93</v>
      </c>
      <c r="H158" s="81" t="s">
        <v>10</v>
      </c>
      <c r="I158" s="82"/>
      <c r="J158" s="82"/>
      <c r="K158" s="83"/>
      <c r="L158" s="83"/>
      <c r="M158" s="83"/>
      <c r="N158" s="83"/>
      <c r="O158" s="83"/>
      <c r="P158" s="83"/>
      <c r="Q158" s="83"/>
      <c r="R158" s="83"/>
      <c r="S158" s="83"/>
      <c r="T158" s="83"/>
      <c r="U158" s="83"/>
      <c r="V158" s="83"/>
      <c r="W158" s="83"/>
      <c r="X158" s="83"/>
      <c r="Y158" s="83"/>
      <c r="Z158" s="83"/>
      <c r="AA158" s="83"/>
    </row>
    <row r="159" ht="55.5" customHeight="1">
      <c r="A159" s="79" t="s">
        <v>316</v>
      </c>
      <c r="B159" s="84"/>
      <c r="C159" s="79" t="s">
        <v>79</v>
      </c>
      <c r="D159" s="84"/>
      <c r="E159" s="79" t="s">
        <v>95</v>
      </c>
      <c r="F159" s="79" t="s">
        <v>67</v>
      </c>
      <c r="G159" s="79" t="s">
        <v>93</v>
      </c>
      <c r="H159" s="81" t="s">
        <v>10</v>
      </c>
      <c r="I159" s="82"/>
      <c r="J159" s="82"/>
      <c r="K159" s="83"/>
      <c r="L159" s="83"/>
      <c r="M159" s="83"/>
      <c r="N159" s="83"/>
      <c r="O159" s="83"/>
      <c r="P159" s="83"/>
      <c r="Q159" s="83"/>
      <c r="R159" s="83"/>
      <c r="S159" s="83"/>
      <c r="T159" s="83"/>
      <c r="U159" s="83"/>
      <c r="V159" s="83"/>
      <c r="W159" s="83"/>
      <c r="X159" s="83"/>
      <c r="Y159" s="83"/>
      <c r="Z159" s="83"/>
      <c r="AA159" s="83"/>
    </row>
    <row r="160" ht="55.5" customHeight="1">
      <c r="A160" s="79" t="s">
        <v>316</v>
      </c>
      <c r="B160" s="84"/>
      <c r="C160" s="79" t="s">
        <v>83</v>
      </c>
      <c r="D160" s="12"/>
      <c r="E160" s="79" t="s">
        <v>97</v>
      </c>
      <c r="F160" s="79" t="s">
        <v>67</v>
      </c>
      <c r="G160" s="79" t="s">
        <v>93</v>
      </c>
      <c r="H160" s="81" t="s">
        <v>10</v>
      </c>
      <c r="I160" s="82"/>
      <c r="J160" s="82"/>
      <c r="K160" s="83"/>
      <c r="L160" s="83"/>
      <c r="M160" s="83"/>
      <c r="N160" s="83"/>
      <c r="O160" s="83"/>
      <c r="P160" s="83"/>
      <c r="Q160" s="83"/>
      <c r="R160" s="83"/>
      <c r="S160" s="83"/>
      <c r="T160" s="83"/>
      <c r="U160" s="83"/>
      <c r="V160" s="83"/>
      <c r="W160" s="83"/>
      <c r="X160" s="83"/>
      <c r="Y160" s="83"/>
      <c r="Z160" s="83"/>
      <c r="AA160" s="83"/>
    </row>
    <row r="161" ht="55.5" customHeight="1">
      <c r="A161" s="79" t="s">
        <v>316</v>
      </c>
      <c r="B161" s="84"/>
      <c r="C161" s="79" t="s">
        <v>86</v>
      </c>
      <c r="D161" s="80" t="s">
        <v>99</v>
      </c>
      <c r="E161" s="79" t="s">
        <v>100</v>
      </c>
      <c r="F161" s="79" t="s">
        <v>67</v>
      </c>
      <c r="G161" s="79" t="s">
        <v>101</v>
      </c>
      <c r="H161" s="81" t="s">
        <v>10</v>
      </c>
      <c r="I161" s="82"/>
      <c r="J161" s="82"/>
      <c r="K161" s="83"/>
      <c r="L161" s="83"/>
      <c r="M161" s="83"/>
      <c r="N161" s="83"/>
      <c r="O161" s="83"/>
      <c r="P161" s="83"/>
      <c r="Q161" s="83"/>
      <c r="R161" s="83"/>
      <c r="S161" s="83"/>
      <c r="T161" s="83"/>
      <c r="U161" s="83"/>
      <c r="V161" s="83"/>
      <c r="W161" s="83"/>
      <c r="X161" s="83"/>
      <c r="Y161" s="83"/>
      <c r="Z161" s="83"/>
      <c r="AA161" s="83"/>
    </row>
    <row r="162" ht="55.5" customHeight="1">
      <c r="A162" s="79" t="s">
        <v>316</v>
      </c>
      <c r="B162" s="84"/>
      <c r="C162" s="79" t="s">
        <v>88</v>
      </c>
      <c r="D162" s="84"/>
      <c r="E162" s="79" t="s">
        <v>103</v>
      </c>
      <c r="F162" s="79" t="s">
        <v>67</v>
      </c>
      <c r="G162" s="79" t="s">
        <v>104</v>
      </c>
      <c r="H162" s="81" t="s">
        <v>10</v>
      </c>
      <c r="I162" s="82"/>
      <c r="J162" s="82"/>
      <c r="K162" s="83"/>
      <c r="L162" s="83"/>
      <c r="M162" s="83"/>
      <c r="N162" s="83"/>
      <c r="O162" s="83"/>
      <c r="P162" s="83"/>
      <c r="Q162" s="83"/>
      <c r="R162" s="83"/>
      <c r="S162" s="83"/>
      <c r="T162" s="83"/>
      <c r="U162" s="83"/>
      <c r="V162" s="83"/>
      <c r="W162" s="83"/>
      <c r="X162" s="83"/>
      <c r="Y162" s="83"/>
      <c r="Z162" s="83"/>
      <c r="AA162" s="83"/>
    </row>
    <row r="163" ht="55.5" customHeight="1">
      <c r="A163" s="79" t="s">
        <v>316</v>
      </c>
      <c r="B163" s="84"/>
      <c r="C163" s="79" t="s">
        <v>91</v>
      </c>
      <c r="D163" s="84"/>
      <c r="E163" s="79" t="s">
        <v>106</v>
      </c>
      <c r="F163" s="79" t="s">
        <v>67</v>
      </c>
      <c r="G163" s="79" t="s">
        <v>104</v>
      </c>
      <c r="H163" s="81" t="s">
        <v>10</v>
      </c>
      <c r="I163" s="82"/>
      <c r="J163" s="82"/>
      <c r="K163" s="83"/>
      <c r="L163" s="83"/>
      <c r="M163" s="83"/>
      <c r="N163" s="83"/>
      <c r="O163" s="83"/>
      <c r="P163" s="83"/>
      <c r="Q163" s="83"/>
      <c r="R163" s="83"/>
      <c r="S163" s="83"/>
      <c r="T163" s="83"/>
      <c r="U163" s="83"/>
      <c r="V163" s="83"/>
      <c r="W163" s="83"/>
      <c r="X163" s="83"/>
      <c r="Y163" s="83"/>
      <c r="Z163" s="83"/>
      <c r="AA163" s="83"/>
    </row>
    <row r="164" ht="55.5" customHeight="1">
      <c r="A164" s="79" t="s">
        <v>316</v>
      </c>
      <c r="B164" s="84"/>
      <c r="C164" s="79" t="s">
        <v>94</v>
      </c>
      <c r="D164" s="84"/>
      <c r="E164" s="79" t="s">
        <v>108</v>
      </c>
      <c r="F164" s="79" t="s">
        <v>67</v>
      </c>
      <c r="G164" s="79" t="s">
        <v>104</v>
      </c>
      <c r="H164" s="81" t="s">
        <v>10</v>
      </c>
      <c r="I164" s="82"/>
      <c r="J164" s="82"/>
      <c r="K164" s="83"/>
      <c r="L164" s="83"/>
      <c r="M164" s="83"/>
      <c r="N164" s="83"/>
      <c r="O164" s="83"/>
      <c r="P164" s="83"/>
      <c r="Q164" s="83"/>
      <c r="R164" s="83"/>
      <c r="S164" s="83"/>
      <c r="T164" s="83"/>
      <c r="U164" s="83"/>
      <c r="V164" s="83"/>
      <c r="W164" s="83"/>
      <c r="X164" s="83"/>
      <c r="Y164" s="83"/>
      <c r="Z164" s="83"/>
      <c r="AA164" s="83"/>
    </row>
    <row r="165" ht="55.5" customHeight="1">
      <c r="A165" s="79" t="s">
        <v>316</v>
      </c>
      <c r="B165" s="84"/>
      <c r="C165" s="79" t="s">
        <v>96</v>
      </c>
      <c r="D165" s="84"/>
      <c r="E165" s="79" t="s">
        <v>110</v>
      </c>
      <c r="F165" s="79" t="s">
        <v>67</v>
      </c>
      <c r="G165" s="79" t="s">
        <v>104</v>
      </c>
      <c r="H165" s="81" t="s">
        <v>10</v>
      </c>
      <c r="I165" s="82"/>
      <c r="J165" s="82"/>
      <c r="K165" s="83"/>
      <c r="L165" s="83"/>
      <c r="M165" s="83"/>
      <c r="N165" s="83"/>
      <c r="O165" s="83"/>
      <c r="P165" s="83"/>
      <c r="Q165" s="83"/>
      <c r="R165" s="83"/>
      <c r="S165" s="83"/>
      <c r="T165" s="83"/>
      <c r="U165" s="83"/>
      <c r="V165" s="83"/>
      <c r="W165" s="83"/>
      <c r="X165" s="83"/>
      <c r="Y165" s="83"/>
      <c r="Z165" s="83"/>
      <c r="AA165" s="83"/>
    </row>
    <row r="166" ht="55.5" customHeight="1">
      <c r="A166" s="79" t="s">
        <v>316</v>
      </c>
      <c r="B166" s="84"/>
      <c r="C166" s="79" t="s">
        <v>98</v>
      </c>
      <c r="D166" s="84"/>
      <c r="E166" s="79" t="s">
        <v>112</v>
      </c>
      <c r="F166" s="79" t="s">
        <v>67</v>
      </c>
      <c r="G166" s="79" t="s">
        <v>104</v>
      </c>
      <c r="H166" s="81" t="s">
        <v>10</v>
      </c>
      <c r="I166" s="82"/>
      <c r="J166" s="82"/>
      <c r="K166" s="83"/>
      <c r="L166" s="83"/>
      <c r="M166" s="83"/>
      <c r="N166" s="83"/>
      <c r="O166" s="83"/>
      <c r="P166" s="83"/>
      <c r="Q166" s="83"/>
      <c r="R166" s="83"/>
      <c r="S166" s="83"/>
      <c r="T166" s="83"/>
      <c r="U166" s="83"/>
      <c r="V166" s="83"/>
      <c r="W166" s="83"/>
      <c r="X166" s="83"/>
      <c r="Y166" s="83"/>
      <c r="Z166" s="83"/>
      <c r="AA166" s="83"/>
    </row>
    <row r="167" ht="55.5" customHeight="1">
      <c r="A167" s="79" t="s">
        <v>316</v>
      </c>
      <c r="B167" s="84"/>
      <c r="C167" s="79" t="s">
        <v>102</v>
      </c>
      <c r="D167" s="84"/>
      <c r="E167" s="79" t="s">
        <v>114</v>
      </c>
      <c r="F167" s="79" t="s">
        <v>67</v>
      </c>
      <c r="G167" s="79" t="s">
        <v>101</v>
      </c>
      <c r="H167" s="81" t="s">
        <v>10</v>
      </c>
      <c r="I167" s="82"/>
      <c r="J167" s="82"/>
      <c r="K167" s="83"/>
      <c r="L167" s="83"/>
      <c r="M167" s="83"/>
      <c r="N167" s="83"/>
      <c r="O167" s="83"/>
      <c r="P167" s="83"/>
      <c r="Q167" s="83"/>
      <c r="R167" s="83"/>
      <c r="S167" s="83"/>
      <c r="T167" s="83"/>
      <c r="U167" s="83"/>
      <c r="V167" s="83"/>
      <c r="W167" s="83"/>
      <c r="X167" s="83"/>
      <c r="Y167" s="83"/>
      <c r="Z167" s="83"/>
      <c r="AA167" s="83"/>
    </row>
    <row r="168" ht="55.5" customHeight="1">
      <c r="A168" s="79" t="s">
        <v>316</v>
      </c>
      <c r="B168" s="84"/>
      <c r="C168" s="79" t="s">
        <v>105</v>
      </c>
      <c r="D168" s="84"/>
      <c r="E168" s="79" t="s">
        <v>116</v>
      </c>
      <c r="F168" s="79" t="s">
        <v>67</v>
      </c>
      <c r="G168" s="79" t="s">
        <v>101</v>
      </c>
      <c r="H168" s="81" t="s">
        <v>10</v>
      </c>
      <c r="I168" s="82"/>
      <c r="J168" s="82"/>
      <c r="K168" s="83"/>
      <c r="L168" s="83"/>
      <c r="M168" s="83"/>
      <c r="N168" s="83"/>
      <c r="O168" s="83"/>
      <c r="P168" s="83"/>
      <c r="Q168" s="83"/>
      <c r="R168" s="83"/>
      <c r="S168" s="83"/>
      <c r="T168" s="83"/>
      <c r="U168" s="83"/>
      <c r="V168" s="83"/>
      <c r="W168" s="83"/>
      <c r="X168" s="83"/>
      <c r="Y168" s="83"/>
      <c r="Z168" s="83"/>
      <c r="AA168" s="83"/>
    </row>
    <row r="169" ht="55.5" customHeight="1">
      <c r="A169" s="79" t="s">
        <v>316</v>
      </c>
      <c r="B169" s="84"/>
      <c r="C169" s="79" t="s">
        <v>107</v>
      </c>
      <c r="D169" s="84"/>
      <c r="E169" s="79" t="s">
        <v>118</v>
      </c>
      <c r="F169" s="79" t="s">
        <v>67</v>
      </c>
      <c r="G169" s="79" t="s">
        <v>101</v>
      </c>
      <c r="H169" s="81" t="s">
        <v>10</v>
      </c>
      <c r="I169" s="82"/>
      <c r="J169" s="82"/>
      <c r="K169" s="83"/>
      <c r="L169" s="83"/>
      <c r="M169" s="83"/>
      <c r="N169" s="83"/>
      <c r="O169" s="83"/>
      <c r="P169" s="83"/>
      <c r="Q169" s="83"/>
      <c r="R169" s="83"/>
      <c r="S169" s="83"/>
      <c r="T169" s="83"/>
      <c r="U169" s="83"/>
      <c r="V169" s="83"/>
      <c r="W169" s="83"/>
      <c r="X169" s="83"/>
      <c r="Y169" s="83"/>
      <c r="Z169" s="83"/>
      <c r="AA169" s="83"/>
    </row>
    <row r="170" ht="55.5" customHeight="1">
      <c r="A170" s="79" t="s">
        <v>316</v>
      </c>
      <c r="B170" s="84"/>
      <c r="C170" s="79" t="s">
        <v>109</v>
      </c>
      <c r="D170" s="84"/>
      <c r="E170" s="79" t="s">
        <v>120</v>
      </c>
      <c r="F170" s="79" t="s">
        <v>67</v>
      </c>
      <c r="G170" s="79" t="s">
        <v>104</v>
      </c>
      <c r="H170" s="81" t="s">
        <v>10</v>
      </c>
      <c r="I170" s="82"/>
      <c r="J170" s="82"/>
      <c r="K170" s="83"/>
      <c r="L170" s="83"/>
      <c r="M170" s="83"/>
      <c r="N170" s="83"/>
      <c r="O170" s="83"/>
      <c r="P170" s="83"/>
      <c r="Q170" s="83"/>
      <c r="R170" s="83"/>
      <c r="S170" s="83"/>
      <c r="T170" s="83"/>
      <c r="U170" s="83"/>
      <c r="V170" s="83"/>
      <c r="W170" s="83"/>
      <c r="X170" s="83"/>
      <c r="Y170" s="83"/>
      <c r="Z170" s="83"/>
      <c r="AA170" s="83"/>
    </row>
    <row r="171" ht="55.5" customHeight="1">
      <c r="A171" s="79" t="s">
        <v>316</v>
      </c>
      <c r="B171" s="84"/>
      <c r="C171" s="79" t="s">
        <v>111</v>
      </c>
      <c r="D171" s="12"/>
      <c r="E171" s="79" t="s">
        <v>122</v>
      </c>
      <c r="F171" s="79" t="s">
        <v>67</v>
      </c>
      <c r="G171" s="79" t="s">
        <v>104</v>
      </c>
      <c r="H171" s="81" t="s">
        <v>10</v>
      </c>
      <c r="I171" s="82"/>
      <c r="J171" s="82"/>
      <c r="K171" s="83"/>
      <c r="L171" s="83"/>
      <c r="M171" s="83"/>
      <c r="N171" s="83"/>
      <c r="O171" s="83"/>
      <c r="P171" s="83"/>
      <c r="Q171" s="83"/>
      <c r="R171" s="83"/>
      <c r="S171" s="83"/>
      <c r="T171" s="83"/>
      <c r="U171" s="83"/>
      <c r="V171" s="83"/>
      <c r="W171" s="83"/>
      <c r="X171" s="83"/>
      <c r="Y171" s="83"/>
      <c r="Z171" s="83"/>
      <c r="AA171" s="83"/>
    </row>
    <row r="172" ht="55.5" customHeight="1">
      <c r="A172" s="79" t="s">
        <v>316</v>
      </c>
      <c r="B172" s="84"/>
      <c r="C172" s="79" t="s">
        <v>113</v>
      </c>
      <c r="D172" s="80" t="s">
        <v>124</v>
      </c>
      <c r="E172" s="79" t="s">
        <v>125</v>
      </c>
      <c r="F172" s="79" t="s">
        <v>67</v>
      </c>
      <c r="G172" s="79" t="s">
        <v>241</v>
      </c>
      <c r="H172" s="81" t="s">
        <v>10</v>
      </c>
      <c r="I172" s="82"/>
      <c r="J172" s="82"/>
      <c r="K172" s="83"/>
      <c r="L172" s="83"/>
      <c r="M172" s="83"/>
      <c r="N172" s="83"/>
      <c r="O172" s="83"/>
      <c r="P172" s="83"/>
      <c r="Q172" s="83"/>
      <c r="R172" s="83"/>
      <c r="S172" s="83"/>
      <c r="T172" s="83"/>
      <c r="U172" s="83"/>
      <c r="V172" s="83"/>
      <c r="W172" s="83"/>
      <c r="X172" s="83"/>
      <c r="Y172" s="83"/>
      <c r="Z172" s="83"/>
      <c r="AA172" s="83"/>
    </row>
    <row r="173" ht="55.5" customHeight="1">
      <c r="A173" s="79" t="s">
        <v>316</v>
      </c>
      <c r="B173" s="84"/>
      <c r="C173" s="79" t="s">
        <v>115</v>
      </c>
      <c r="D173" s="12"/>
      <c r="E173" s="79" t="s">
        <v>127</v>
      </c>
      <c r="F173" s="79" t="s">
        <v>67</v>
      </c>
      <c r="G173" s="79" t="s">
        <v>242</v>
      </c>
      <c r="H173" s="81" t="s">
        <v>10</v>
      </c>
      <c r="I173" s="82"/>
      <c r="J173" s="82"/>
      <c r="K173" s="83"/>
      <c r="L173" s="83"/>
      <c r="M173" s="83"/>
      <c r="N173" s="83"/>
      <c r="O173" s="83"/>
      <c r="P173" s="83"/>
      <c r="Q173" s="83"/>
      <c r="R173" s="83"/>
      <c r="S173" s="83"/>
      <c r="T173" s="83"/>
      <c r="U173" s="83"/>
      <c r="V173" s="83"/>
      <c r="W173" s="83"/>
      <c r="X173" s="83"/>
      <c r="Y173" s="83"/>
      <c r="Z173" s="83"/>
      <c r="AA173" s="83"/>
    </row>
    <row r="174" ht="55.5" customHeight="1">
      <c r="A174" s="79" t="s">
        <v>316</v>
      </c>
      <c r="B174" s="84"/>
      <c r="C174" s="79" t="s">
        <v>117</v>
      </c>
      <c r="D174" s="80" t="s">
        <v>130</v>
      </c>
      <c r="E174" s="79" t="s">
        <v>131</v>
      </c>
      <c r="F174" s="79" t="s">
        <v>67</v>
      </c>
      <c r="G174" s="79" t="s">
        <v>132</v>
      </c>
      <c r="H174" s="81" t="s">
        <v>10</v>
      </c>
      <c r="I174" s="82"/>
      <c r="J174" s="82"/>
      <c r="K174" s="83"/>
      <c r="L174" s="83"/>
      <c r="M174" s="83"/>
      <c r="N174" s="83"/>
      <c r="O174" s="83"/>
      <c r="P174" s="83"/>
      <c r="Q174" s="83"/>
      <c r="R174" s="83"/>
      <c r="S174" s="83"/>
      <c r="T174" s="83"/>
      <c r="U174" s="83"/>
      <c r="V174" s="83"/>
      <c r="W174" s="83"/>
      <c r="X174" s="83"/>
      <c r="Y174" s="83"/>
      <c r="Z174" s="83"/>
      <c r="AA174" s="83"/>
    </row>
    <row r="175" ht="55.5" customHeight="1">
      <c r="A175" s="79" t="s">
        <v>316</v>
      </c>
      <c r="B175" s="84"/>
      <c r="C175" s="79" t="s">
        <v>119</v>
      </c>
      <c r="D175" s="84"/>
      <c r="E175" s="79" t="s">
        <v>134</v>
      </c>
      <c r="F175" s="79" t="s">
        <v>67</v>
      </c>
      <c r="G175" s="79" t="s">
        <v>135</v>
      </c>
      <c r="H175" s="81" t="s">
        <v>10</v>
      </c>
      <c r="I175" s="82"/>
      <c r="J175" s="82"/>
      <c r="K175" s="83"/>
      <c r="L175" s="83"/>
      <c r="M175" s="83"/>
      <c r="N175" s="83"/>
      <c r="O175" s="83"/>
      <c r="P175" s="83"/>
      <c r="Q175" s="83"/>
      <c r="R175" s="83"/>
      <c r="S175" s="83"/>
      <c r="T175" s="83"/>
      <c r="U175" s="83"/>
      <c r="V175" s="83"/>
      <c r="W175" s="83"/>
      <c r="X175" s="83"/>
      <c r="Y175" s="83"/>
      <c r="Z175" s="83"/>
      <c r="AA175" s="83"/>
    </row>
    <row r="176" ht="55.5" customHeight="1">
      <c r="A176" s="79" t="s">
        <v>316</v>
      </c>
      <c r="B176" s="84"/>
      <c r="C176" s="86" t="s">
        <v>121</v>
      </c>
      <c r="D176" s="12"/>
      <c r="E176" s="86" t="s">
        <v>243</v>
      </c>
      <c r="F176" s="86" t="s">
        <v>67</v>
      </c>
      <c r="G176" s="86" t="s">
        <v>138</v>
      </c>
      <c r="H176" s="81" t="s">
        <v>10</v>
      </c>
      <c r="I176" s="88"/>
      <c r="J176" s="88"/>
      <c r="K176" s="89"/>
      <c r="L176" s="89"/>
      <c r="M176" s="89"/>
      <c r="N176" s="89"/>
      <c r="O176" s="89"/>
      <c r="P176" s="89"/>
      <c r="Q176" s="89"/>
      <c r="R176" s="89"/>
      <c r="S176" s="89"/>
      <c r="T176" s="89"/>
      <c r="U176" s="89"/>
      <c r="V176" s="89"/>
      <c r="W176" s="89"/>
      <c r="X176" s="89"/>
      <c r="Y176" s="89"/>
      <c r="Z176" s="89"/>
      <c r="AA176" s="89"/>
    </row>
    <row r="177" ht="55.5" customHeight="1">
      <c r="A177" s="79" t="s">
        <v>316</v>
      </c>
      <c r="B177" s="84"/>
      <c r="C177" s="79" t="s">
        <v>123</v>
      </c>
      <c r="D177" s="80" t="s">
        <v>140</v>
      </c>
      <c r="E177" s="79" t="s">
        <v>141</v>
      </c>
      <c r="F177" s="79" t="s">
        <v>142</v>
      </c>
      <c r="G177" s="79" t="s">
        <v>143</v>
      </c>
      <c r="H177" s="81" t="s">
        <v>10</v>
      </c>
      <c r="I177" s="82"/>
      <c r="J177" s="82"/>
      <c r="K177" s="83"/>
      <c r="L177" s="83"/>
      <c r="M177" s="83"/>
      <c r="N177" s="83"/>
      <c r="O177" s="83"/>
      <c r="P177" s="83"/>
      <c r="Q177" s="83"/>
      <c r="R177" s="83"/>
      <c r="S177" s="83"/>
      <c r="T177" s="83"/>
      <c r="U177" s="83"/>
      <c r="V177" s="83"/>
      <c r="W177" s="83"/>
      <c r="X177" s="83"/>
      <c r="Y177" s="83"/>
      <c r="Z177" s="83"/>
      <c r="AA177" s="83"/>
    </row>
    <row r="178" ht="55.5" customHeight="1">
      <c r="A178" s="79" t="s">
        <v>316</v>
      </c>
      <c r="B178" s="84"/>
      <c r="C178" s="79" t="s">
        <v>126</v>
      </c>
      <c r="D178" s="84"/>
      <c r="E178" s="86" t="s">
        <v>145</v>
      </c>
      <c r="F178" s="86" t="s">
        <v>146</v>
      </c>
      <c r="G178" s="86" t="s">
        <v>147</v>
      </c>
      <c r="H178" s="81" t="s">
        <v>10</v>
      </c>
      <c r="I178" s="82"/>
      <c r="J178" s="82"/>
      <c r="K178" s="83"/>
      <c r="L178" s="83"/>
      <c r="M178" s="83"/>
      <c r="N178" s="83"/>
      <c r="O178" s="83"/>
      <c r="P178" s="83"/>
      <c r="Q178" s="83"/>
      <c r="R178" s="83"/>
      <c r="S178" s="83"/>
      <c r="T178" s="83"/>
      <c r="U178" s="83"/>
      <c r="V178" s="83"/>
      <c r="W178" s="83"/>
      <c r="X178" s="83"/>
      <c r="Y178" s="83"/>
      <c r="Z178" s="83"/>
      <c r="AA178" s="83"/>
    </row>
    <row r="179" ht="55.5" customHeight="1">
      <c r="A179" s="79" t="s">
        <v>316</v>
      </c>
      <c r="B179" s="84"/>
      <c r="C179" s="79" t="s">
        <v>129</v>
      </c>
      <c r="D179" s="84"/>
      <c r="E179" s="79" t="s">
        <v>149</v>
      </c>
      <c r="F179" s="79" t="s">
        <v>150</v>
      </c>
      <c r="G179" s="79" t="s">
        <v>135</v>
      </c>
      <c r="H179" s="81" t="s">
        <v>10</v>
      </c>
      <c r="I179" s="82"/>
      <c r="J179" s="82"/>
      <c r="K179" s="83"/>
      <c r="L179" s="83"/>
      <c r="M179" s="83"/>
      <c r="N179" s="83"/>
      <c r="O179" s="83"/>
      <c r="P179" s="83"/>
      <c r="Q179" s="83"/>
      <c r="R179" s="83"/>
      <c r="S179" s="83"/>
      <c r="T179" s="83"/>
      <c r="U179" s="83"/>
      <c r="V179" s="83"/>
      <c r="W179" s="83"/>
      <c r="X179" s="83"/>
      <c r="Y179" s="83"/>
      <c r="Z179" s="83"/>
      <c r="AA179" s="83"/>
    </row>
    <row r="180" ht="55.5" customHeight="1">
      <c r="A180" s="79" t="s">
        <v>316</v>
      </c>
      <c r="B180" s="84"/>
      <c r="C180" s="79" t="s">
        <v>133</v>
      </c>
      <c r="D180" s="84"/>
      <c r="E180" s="79" t="s">
        <v>152</v>
      </c>
      <c r="F180" s="79" t="s">
        <v>153</v>
      </c>
      <c r="G180" s="79" t="s">
        <v>135</v>
      </c>
      <c r="H180" s="81" t="s">
        <v>10</v>
      </c>
      <c r="I180" s="82"/>
      <c r="J180" s="82"/>
      <c r="K180" s="83"/>
      <c r="L180" s="83"/>
      <c r="M180" s="83"/>
      <c r="N180" s="83"/>
      <c r="O180" s="83"/>
      <c r="P180" s="83"/>
      <c r="Q180" s="83"/>
      <c r="R180" s="83"/>
      <c r="S180" s="83"/>
      <c r="T180" s="83"/>
      <c r="U180" s="83"/>
      <c r="V180" s="83"/>
      <c r="W180" s="83"/>
      <c r="X180" s="83"/>
      <c r="Y180" s="83"/>
      <c r="Z180" s="83"/>
      <c r="AA180" s="83"/>
    </row>
    <row r="181" ht="55.5" customHeight="1">
      <c r="A181" s="79" t="s">
        <v>316</v>
      </c>
      <c r="B181" s="84"/>
      <c r="C181" s="79" t="s">
        <v>136</v>
      </c>
      <c r="D181" s="84"/>
      <c r="E181" s="79" t="s">
        <v>155</v>
      </c>
      <c r="F181" s="79" t="s">
        <v>156</v>
      </c>
      <c r="G181" s="79" t="s">
        <v>157</v>
      </c>
      <c r="H181" s="81" t="s">
        <v>10</v>
      </c>
      <c r="I181" s="82"/>
      <c r="J181" s="82"/>
      <c r="K181" s="83"/>
      <c r="L181" s="83"/>
      <c r="M181" s="83"/>
      <c r="N181" s="83"/>
      <c r="O181" s="83"/>
      <c r="P181" s="83"/>
      <c r="Q181" s="83"/>
      <c r="R181" s="83"/>
      <c r="S181" s="83"/>
      <c r="T181" s="83"/>
      <c r="U181" s="83"/>
      <c r="V181" s="83"/>
      <c r="W181" s="83"/>
      <c r="X181" s="83"/>
      <c r="Y181" s="83"/>
      <c r="Z181" s="83"/>
      <c r="AA181" s="83"/>
    </row>
    <row r="182" ht="55.5" customHeight="1">
      <c r="A182" s="79" t="s">
        <v>316</v>
      </c>
      <c r="B182" s="84"/>
      <c r="C182" s="79" t="s">
        <v>139</v>
      </c>
      <c r="D182" s="12"/>
      <c r="E182" s="79" t="s">
        <v>159</v>
      </c>
      <c r="F182" s="79" t="s">
        <v>160</v>
      </c>
      <c r="G182" s="79" t="s">
        <v>161</v>
      </c>
      <c r="H182" s="81" t="s">
        <v>10</v>
      </c>
      <c r="I182" s="82"/>
      <c r="J182" s="82"/>
      <c r="K182" s="83"/>
      <c r="L182" s="83"/>
      <c r="M182" s="83"/>
      <c r="N182" s="83"/>
      <c r="O182" s="83"/>
      <c r="P182" s="83"/>
      <c r="Q182" s="83"/>
      <c r="R182" s="83"/>
      <c r="S182" s="83"/>
      <c r="T182" s="83"/>
      <c r="U182" s="83"/>
      <c r="V182" s="83"/>
      <c r="W182" s="83"/>
      <c r="X182" s="83"/>
      <c r="Y182" s="83"/>
      <c r="Z182" s="83"/>
      <c r="AA182" s="83"/>
    </row>
    <row r="183" ht="55.5" customHeight="1">
      <c r="A183" s="79" t="s">
        <v>316</v>
      </c>
      <c r="B183" s="84"/>
      <c r="C183" s="79" t="s">
        <v>144</v>
      </c>
      <c r="D183" s="78"/>
      <c r="E183" s="79" t="s">
        <v>159</v>
      </c>
      <c r="F183" s="79" t="s">
        <v>160</v>
      </c>
      <c r="G183" s="79" t="s">
        <v>161</v>
      </c>
      <c r="H183" s="81" t="s">
        <v>10</v>
      </c>
      <c r="I183" s="82"/>
      <c r="J183" s="82"/>
      <c r="K183" s="83"/>
      <c r="L183" s="83"/>
      <c r="M183" s="83"/>
      <c r="N183" s="83"/>
      <c r="O183" s="83"/>
      <c r="P183" s="83"/>
      <c r="Q183" s="83"/>
      <c r="R183" s="83"/>
      <c r="S183" s="83"/>
      <c r="T183" s="83"/>
      <c r="U183" s="83"/>
      <c r="V183" s="83"/>
      <c r="W183" s="83"/>
      <c r="X183" s="83"/>
      <c r="Y183" s="83"/>
      <c r="Z183" s="83"/>
      <c r="AA183" s="83"/>
    </row>
    <row r="184" ht="55.5" customHeight="1">
      <c r="A184" s="79" t="s">
        <v>316</v>
      </c>
      <c r="B184" s="84"/>
      <c r="C184" s="79" t="s">
        <v>148</v>
      </c>
      <c r="D184" s="80" t="s">
        <v>163</v>
      </c>
      <c r="E184" s="79" t="s">
        <v>164</v>
      </c>
      <c r="F184" s="79" t="s">
        <v>67</v>
      </c>
      <c r="G184" s="79" t="s">
        <v>132</v>
      </c>
      <c r="H184" s="81" t="s">
        <v>10</v>
      </c>
      <c r="I184" s="82"/>
      <c r="J184" s="82"/>
      <c r="K184" s="83"/>
      <c r="L184" s="83"/>
      <c r="M184" s="83"/>
      <c r="N184" s="83"/>
      <c r="O184" s="83"/>
      <c r="P184" s="83"/>
      <c r="Q184" s="83"/>
      <c r="R184" s="83"/>
      <c r="S184" s="83"/>
      <c r="T184" s="83"/>
      <c r="U184" s="83"/>
      <c r="V184" s="83"/>
      <c r="W184" s="83"/>
      <c r="X184" s="83"/>
      <c r="Y184" s="83"/>
      <c r="Z184" s="83"/>
      <c r="AA184" s="83"/>
    </row>
    <row r="185" ht="55.5" customHeight="1">
      <c r="A185" s="79" t="s">
        <v>316</v>
      </c>
      <c r="B185" s="84"/>
      <c r="C185" s="79" t="s">
        <v>151</v>
      </c>
      <c r="D185" s="84"/>
      <c r="E185" s="79" t="s">
        <v>166</v>
      </c>
      <c r="F185" s="79" t="s">
        <v>67</v>
      </c>
      <c r="G185" s="79" t="s">
        <v>132</v>
      </c>
      <c r="H185" s="81" t="s">
        <v>10</v>
      </c>
      <c r="I185" s="82"/>
      <c r="J185" s="82"/>
      <c r="K185" s="83"/>
      <c r="L185" s="83"/>
      <c r="M185" s="83"/>
      <c r="N185" s="83"/>
      <c r="O185" s="83"/>
      <c r="P185" s="83"/>
      <c r="Q185" s="83"/>
      <c r="R185" s="83"/>
      <c r="S185" s="83"/>
      <c r="T185" s="83"/>
      <c r="U185" s="83"/>
      <c r="V185" s="83"/>
      <c r="W185" s="83"/>
      <c r="X185" s="83"/>
      <c r="Y185" s="83"/>
      <c r="Z185" s="83"/>
      <c r="AA185" s="83"/>
    </row>
    <row r="186" ht="55.5" customHeight="1">
      <c r="A186" s="79" t="s">
        <v>316</v>
      </c>
      <c r="B186" s="84"/>
      <c r="C186" s="79" t="s">
        <v>154</v>
      </c>
      <c r="D186" s="84"/>
      <c r="E186" s="79" t="s">
        <v>168</v>
      </c>
      <c r="F186" s="79" t="s">
        <v>67</v>
      </c>
      <c r="G186" s="79" t="s">
        <v>132</v>
      </c>
      <c r="H186" s="81" t="s">
        <v>10</v>
      </c>
      <c r="I186" s="82"/>
      <c r="J186" s="82"/>
      <c r="K186" s="83"/>
      <c r="L186" s="83"/>
      <c r="M186" s="83"/>
      <c r="N186" s="83"/>
      <c r="O186" s="83"/>
      <c r="P186" s="83"/>
      <c r="Q186" s="83"/>
      <c r="R186" s="83"/>
      <c r="S186" s="83"/>
      <c r="T186" s="83"/>
      <c r="U186" s="83"/>
      <c r="V186" s="83"/>
      <c r="W186" s="83"/>
      <c r="X186" s="83"/>
      <c r="Y186" s="83"/>
      <c r="Z186" s="83"/>
      <c r="AA186" s="83"/>
    </row>
    <row r="187" ht="55.5" customHeight="1">
      <c r="A187" s="79" t="s">
        <v>316</v>
      </c>
      <c r="B187" s="84"/>
      <c r="C187" s="79" t="s">
        <v>158</v>
      </c>
      <c r="D187" s="84"/>
      <c r="E187" s="79" t="s">
        <v>170</v>
      </c>
      <c r="F187" s="79" t="s">
        <v>67</v>
      </c>
      <c r="G187" s="79" t="s">
        <v>132</v>
      </c>
      <c r="H187" s="81" t="s">
        <v>10</v>
      </c>
      <c r="I187" s="82"/>
      <c r="J187" s="82"/>
      <c r="K187" s="83"/>
      <c r="L187" s="83"/>
      <c r="M187" s="83"/>
      <c r="N187" s="83"/>
      <c r="O187" s="83"/>
      <c r="P187" s="83"/>
      <c r="Q187" s="83"/>
      <c r="R187" s="83"/>
      <c r="S187" s="83"/>
      <c r="T187" s="83"/>
      <c r="U187" s="83"/>
      <c r="V187" s="83"/>
      <c r="W187" s="83"/>
      <c r="X187" s="83"/>
      <c r="Y187" s="83"/>
      <c r="Z187" s="83"/>
      <c r="AA187" s="83"/>
    </row>
    <row r="188" ht="55.5" customHeight="1">
      <c r="A188" s="79" t="s">
        <v>316</v>
      </c>
      <c r="B188" s="84"/>
      <c r="C188" s="79" t="s">
        <v>162</v>
      </c>
      <c r="D188" s="12"/>
      <c r="E188" s="79" t="s">
        <v>172</v>
      </c>
      <c r="F188" s="79" t="s">
        <v>67</v>
      </c>
      <c r="G188" s="79" t="s">
        <v>132</v>
      </c>
      <c r="H188" s="81" t="s">
        <v>10</v>
      </c>
      <c r="I188" s="82"/>
      <c r="J188" s="82"/>
      <c r="K188" s="83"/>
      <c r="L188" s="83"/>
      <c r="M188" s="83"/>
      <c r="N188" s="83"/>
      <c r="O188" s="83"/>
      <c r="P188" s="83"/>
      <c r="Q188" s="83"/>
      <c r="R188" s="83"/>
      <c r="S188" s="83"/>
      <c r="T188" s="83"/>
      <c r="U188" s="83"/>
      <c r="V188" s="83"/>
      <c r="W188" s="83"/>
      <c r="X188" s="83"/>
      <c r="Y188" s="83"/>
      <c r="Z188" s="83"/>
      <c r="AA188" s="83"/>
    </row>
    <row r="189" ht="55.5" customHeight="1">
      <c r="A189" s="79" t="s">
        <v>316</v>
      </c>
      <c r="B189" s="84"/>
      <c r="C189" s="79" t="s">
        <v>165</v>
      </c>
      <c r="D189" s="79" t="s">
        <v>163</v>
      </c>
      <c r="E189" s="79" t="s">
        <v>245</v>
      </c>
      <c r="F189" s="79" t="s">
        <v>67</v>
      </c>
      <c r="G189" s="79" t="s">
        <v>132</v>
      </c>
      <c r="H189" s="81" t="s">
        <v>10</v>
      </c>
      <c r="I189" s="82"/>
      <c r="J189" s="82"/>
      <c r="K189" s="83"/>
      <c r="L189" s="83"/>
      <c r="M189" s="83"/>
      <c r="N189" s="83"/>
      <c r="O189" s="83"/>
      <c r="P189" s="83"/>
      <c r="Q189" s="83"/>
      <c r="R189" s="83"/>
      <c r="S189" s="83"/>
      <c r="T189" s="83"/>
      <c r="U189" s="83"/>
      <c r="V189" s="83"/>
      <c r="W189" s="83"/>
      <c r="X189" s="83"/>
      <c r="Y189" s="83"/>
      <c r="Z189" s="83"/>
      <c r="AA189" s="83"/>
    </row>
    <row r="190" ht="55.5" customHeight="1">
      <c r="A190" s="79" t="s">
        <v>316</v>
      </c>
      <c r="B190" s="84"/>
      <c r="C190" s="79" t="s">
        <v>167</v>
      </c>
      <c r="D190" s="80" t="s">
        <v>246</v>
      </c>
      <c r="E190" s="79" t="s">
        <v>176</v>
      </c>
      <c r="F190" s="79" t="s">
        <v>67</v>
      </c>
      <c r="G190" s="79" t="s">
        <v>132</v>
      </c>
      <c r="H190" s="81" t="s">
        <v>10</v>
      </c>
      <c r="I190" s="82"/>
      <c r="J190" s="82"/>
      <c r="K190" s="83"/>
      <c r="L190" s="83"/>
      <c r="M190" s="83"/>
      <c r="N190" s="83"/>
      <c r="O190" s="83"/>
      <c r="P190" s="83"/>
      <c r="Q190" s="83"/>
      <c r="R190" s="83"/>
      <c r="S190" s="83"/>
      <c r="T190" s="83"/>
      <c r="U190" s="83"/>
      <c r="V190" s="83"/>
      <c r="W190" s="83"/>
      <c r="X190" s="83"/>
      <c r="Y190" s="83"/>
      <c r="Z190" s="83"/>
      <c r="AA190" s="83"/>
    </row>
    <row r="191" ht="55.5" customHeight="1">
      <c r="A191" s="79" t="s">
        <v>316</v>
      </c>
      <c r="B191" s="84"/>
      <c r="C191" s="79" t="s">
        <v>169</v>
      </c>
      <c r="D191" s="84"/>
      <c r="E191" s="79" t="s">
        <v>178</v>
      </c>
      <c r="F191" s="79" t="s">
        <v>67</v>
      </c>
      <c r="G191" s="79" t="s">
        <v>132</v>
      </c>
      <c r="H191" s="81" t="s">
        <v>10</v>
      </c>
      <c r="I191" s="82"/>
      <c r="J191" s="82"/>
      <c r="K191" s="83"/>
      <c r="L191" s="83"/>
      <c r="M191" s="83"/>
      <c r="N191" s="83"/>
      <c r="O191" s="83"/>
      <c r="P191" s="83"/>
      <c r="Q191" s="83"/>
      <c r="R191" s="83"/>
      <c r="S191" s="83"/>
      <c r="T191" s="83"/>
      <c r="U191" s="83"/>
      <c r="V191" s="83"/>
      <c r="W191" s="83"/>
      <c r="X191" s="83"/>
      <c r="Y191" s="83"/>
      <c r="Z191" s="83"/>
      <c r="AA191" s="83"/>
    </row>
    <row r="192" ht="55.5" customHeight="1">
      <c r="A192" s="79" t="s">
        <v>316</v>
      </c>
      <c r="B192" s="84"/>
      <c r="C192" s="79" t="s">
        <v>171</v>
      </c>
      <c r="D192" s="84"/>
      <c r="E192" s="79" t="s">
        <v>180</v>
      </c>
      <c r="F192" s="79" t="s">
        <v>67</v>
      </c>
      <c r="G192" s="79" t="s">
        <v>132</v>
      </c>
      <c r="H192" s="81" t="s">
        <v>10</v>
      </c>
      <c r="I192" s="82"/>
      <c r="J192" s="82"/>
      <c r="K192" s="83"/>
      <c r="L192" s="83"/>
      <c r="M192" s="83"/>
      <c r="N192" s="83"/>
      <c r="O192" s="83"/>
      <c r="P192" s="83"/>
      <c r="Q192" s="83"/>
      <c r="R192" s="83"/>
      <c r="S192" s="83"/>
      <c r="T192" s="83"/>
      <c r="U192" s="83"/>
      <c r="V192" s="83"/>
      <c r="W192" s="83"/>
      <c r="X192" s="83"/>
      <c r="Y192" s="83"/>
      <c r="Z192" s="83"/>
      <c r="AA192" s="83"/>
    </row>
    <row r="193" ht="55.5" customHeight="1">
      <c r="A193" s="79" t="s">
        <v>316</v>
      </c>
      <c r="B193" s="84"/>
      <c r="C193" s="79" t="s">
        <v>173</v>
      </c>
      <c r="D193" s="84"/>
      <c r="E193" s="79" t="s">
        <v>247</v>
      </c>
      <c r="F193" s="79" t="s">
        <v>67</v>
      </c>
      <c r="G193" s="79" t="s">
        <v>132</v>
      </c>
      <c r="H193" s="81" t="s">
        <v>10</v>
      </c>
      <c r="I193" s="82"/>
      <c r="J193" s="82"/>
      <c r="K193" s="83"/>
      <c r="L193" s="83"/>
      <c r="M193" s="83"/>
      <c r="N193" s="83"/>
      <c r="O193" s="83"/>
      <c r="P193" s="83"/>
      <c r="Q193" s="83"/>
      <c r="R193" s="83"/>
      <c r="S193" s="83"/>
      <c r="T193" s="83"/>
      <c r="U193" s="83"/>
      <c r="V193" s="83"/>
      <c r="W193" s="83"/>
      <c r="X193" s="83"/>
      <c r="Y193" s="83"/>
      <c r="Z193" s="83"/>
      <c r="AA193" s="83"/>
    </row>
    <row r="194" ht="55.5" customHeight="1">
      <c r="A194" s="79" t="s">
        <v>316</v>
      </c>
      <c r="B194" s="84"/>
      <c r="C194" s="79" t="s">
        <v>244</v>
      </c>
      <c r="D194" s="84"/>
      <c r="E194" s="79" t="s">
        <v>248</v>
      </c>
      <c r="F194" s="79" t="s">
        <v>67</v>
      </c>
      <c r="G194" s="79" t="s">
        <v>132</v>
      </c>
      <c r="H194" s="81" t="s">
        <v>10</v>
      </c>
      <c r="I194" s="82"/>
      <c r="J194" s="82"/>
      <c r="K194" s="83"/>
      <c r="L194" s="83"/>
      <c r="M194" s="83"/>
      <c r="N194" s="83"/>
      <c r="O194" s="83"/>
      <c r="P194" s="83"/>
      <c r="Q194" s="83"/>
      <c r="R194" s="83"/>
      <c r="S194" s="83"/>
      <c r="T194" s="83"/>
      <c r="U194" s="83"/>
      <c r="V194" s="83"/>
      <c r="W194" s="83"/>
      <c r="X194" s="83"/>
      <c r="Y194" s="83"/>
      <c r="Z194" s="83"/>
      <c r="AA194" s="83"/>
    </row>
    <row r="195" ht="55.5" customHeight="1">
      <c r="A195" s="79" t="s">
        <v>316</v>
      </c>
      <c r="B195" s="84"/>
      <c r="C195" s="79" t="s">
        <v>177</v>
      </c>
      <c r="D195" s="84"/>
      <c r="E195" s="79" t="s">
        <v>186</v>
      </c>
      <c r="F195" s="79" t="s">
        <v>67</v>
      </c>
      <c r="G195" s="79" t="s">
        <v>132</v>
      </c>
      <c r="H195" s="81" t="s">
        <v>10</v>
      </c>
      <c r="I195" s="82"/>
      <c r="J195" s="82"/>
      <c r="K195" s="83"/>
      <c r="L195" s="83"/>
      <c r="M195" s="83"/>
      <c r="N195" s="83"/>
      <c r="O195" s="83"/>
      <c r="P195" s="83"/>
      <c r="Q195" s="83"/>
      <c r="R195" s="83"/>
      <c r="S195" s="83"/>
      <c r="T195" s="83"/>
      <c r="U195" s="83"/>
      <c r="V195" s="83"/>
      <c r="W195" s="83"/>
      <c r="X195" s="83"/>
      <c r="Y195" s="83"/>
      <c r="Z195" s="83"/>
      <c r="AA195" s="83"/>
    </row>
    <row r="196" ht="55.5" customHeight="1">
      <c r="A196" s="79" t="s">
        <v>316</v>
      </c>
      <c r="B196" s="84"/>
      <c r="C196" s="79" t="s">
        <v>179</v>
      </c>
      <c r="D196" s="12"/>
      <c r="E196" s="79" t="s">
        <v>188</v>
      </c>
      <c r="F196" s="79" t="s">
        <v>67</v>
      </c>
      <c r="G196" s="79" t="s">
        <v>161</v>
      </c>
      <c r="H196" s="81" t="s">
        <v>10</v>
      </c>
      <c r="I196" s="82"/>
      <c r="J196" s="82"/>
      <c r="K196" s="83"/>
      <c r="L196" s="83"/>
      <c r="M196" s="83"/>
      <c r="N196" s="83"/>
      <c r="O196" s="83"/>
      <c r="P196" s="83"/>
      <c r="Q196" s="83"/>
      <c r="R196" s="83"/>
      <c r="S196" s="83"/>
      <c r="T196" s="83"/>
      <c r="U196" s="83"/>
      <c r="V196" s="83"/>
      <c r="W196" s="83"/>
      <c r="X196" s="83"/>
      <c r="Y196" s="83"/>
      <c r="Z196" s="83"/>
      <c r="AA196" s="83"/>
    </row>
    <row r="197" ht="55.5" customHeight="1">
      <c r="A197" s="79" t="s">
        <v>316</v>
      </c>
      <c r="B197" s="84"/>
      <c r="C197" s="79" t="s">
        <v>181</v>
      </c>
      <c r="D197" s="79" t="s">
        <v>190</v>
      </c>
      <c r="E197" s="79" t="s">
        <v>191</v>
      </c>
      <c r="F197" s="79" t="s">
        <v>67</v>
      </c>
      <c r="G197" s="79" t="s">
        <v>132</v>
      </c>
      <c r="H197" s="81" t="s">
        <v>10</v>
      </c>
      <c r="I197" s="82"/>
      <c r="J197" s="82"/>
      <c r="K197" s="83"/>
      <c r="L197" s="83"/>
      <c r="M197" s="83"/>
      <c r="N197" s="83"/>
      <c r="O197" s="83"/>
      <c r="P197" s="83"/>
      <c r="Q197" s="83"/>
      <c r="R197" s="83"/>
      <c r="S197" s="83"/>
      <c r="T197" s="83"/>
      <c r="U197" s="83"/>
      <c r="V197" s="83"/>
      <c r="W197" s="83"/>
      <c r="X197" s="83"/>
      <c r="Y197" s="83"/>
      <c r="Z197" s="83"/>
      <c r="AA197" s="83"/>
    </row>
    <row r="198" ht="55.5" customHeight="1">
      <c r="A198" s="79" t="s">
        <v>316</v>
      </c>
      <c r="B198" s="84"/>
      <c r="C198" s="79" t="s">
        <v>183</v>
      </c>
      <c r="D198" s="80" t="s">
        <v>193</v>
      </c>
      <c r="E198" s="79" t="s">
        <v>194</v>
      </c>
      <c r="F198" s="79" t="s">
        <v>67</v>
      </c>
      <c r="G198" s="79" t="s">
        <v>195</v>
      </c>
      <c r="H198" s="81" t="s">
        <v>10</v>
      </c>
      <c r="I198" s="82"/>
      <c r="J198" s="82"/>
      <c r="K198" s="83"/>
      <c r="L198" s="83"/>
      <c r="M198" s="83"/>
      <c r="N198" s="83"/>
      <c r="O198" s="83"/>
      <c r="P198" s="83"/>
      <c r="Q198" s="83"/>
      <c r="R198" s="83"/>
      <c r="S198" s="83"/>
      <c r="T198" s="83"/>
      <c r="U198" s="83"/>
      <c r="V198" s="83"/>
      <c r="W198" s="83"/>
      <c r="X198" s="83"/>
      <c r="Y198" s="83"/>
      <c r="Z198" s="83"/>
      <c r="AA198" s="83"/>
    </row>
    <row r="199" ht="55.5" customHeight="1">
      <c r="A199" s="79" t="s">
        <v>316</v>
      </c>
      <c r="B199" s="84"/>
      <c r="C199" s="79" t="s">
        <v>185</v>
      </c>
      <c r="D199" s="84"/>
      <c r="E199" s="79" t="s">
        <v>197</v>
      </c>
      <c r="F199" s="79" t="s">
        <v>67</v>
      </c>
      <c r="G199" s="79" t="s">
        <v>195</v>
      </c>
      <c r="H199" s="81" t="s">
        <v>10</v>
      </c>
      <c r="I199" s="82"/>
      <c r="J199" s="82"/>
      <c r="K199" s="83"/>
      <c r="L199" s="83"/>
      <c r="M199" s="83"/>
      <c r="N199" s="83"/>
      <c r="O199" s="83"/>
      <c r="P199" s="83"/>
      <c r="Q199" s="83"/>
      <c r="R199" s="83"/>
      <c r="S199" s="83"/>
      <c r="T199" s="83"/>
      <c r="U199" s="83"/>
      <c r="V199" s="83"/>
      <c r="W199" s="83"/>
      <c r="X199" s="83"/>
      <c r="Y199" s="83"/>
      <c r="Z199" s="83"/>
      <c r="AA199" s="83"/>
    </row>
    <row r="200" ht="55.5" customHeight="1">
      <c r="A200" s="79" t="s">
        <v>316</v>
      </c>
      <c r="B200" s="84"/>
      <c r="C200" s="79" t="s">
        <v>187</v>
      </c>
      <c r="D200" s="12"/>
      <c r="E200" s="79" t="s">
        <v>199</v>
      </c>
      <c r="F200" s="79" t="s">
        <v>67</v>
      </c>
      <c r="G200" s="79" t="s">
        <v>200</v>
      </c>
      <c r="H200" s="81" t="s">
        <v>10</v>
      </c>
      <c r="I200" s="82"/>
      <c r="J200" s="82"/>
      <c r="K200" s="83"/>
      <c r="L200" s="83"/>
      <c r="M200" s="83"/>
      <c r="N200" s="83"/>
      <c r="O200" s="83"/>
      <c r="P200" s="83"/>
      <c r="Q200" s="83"/>
      <c r="R200" s="83"/>
      <c r="S200" s="83"/>
      <c r="T200" s="83"/>
      <c r="U200" s="83"/>
      <c r="V200" s="83"/>
      <c r="W200" s="83"/>
      <c r="X200" s="83"/>
      <c r="Y200" s="83"/>
      <c r="Z200" s="83"/>
      <c r="AA200" s="83"/>
    </row>
    <row r="201" ht="55.5" customHeight="1">
      <c r="A201" s="79" t="s">
        <v>316</v>
      </c>
      <c r="B201" s="84"/>
      <c r="C201" s="79" t="s">
        <v>189</v>
      </c>
      <c r="D201" s="79" t="s">
        <v>202</v>
      </c>
      <c r="E201" s="79" t="s">
        <v>203</v>
      </c>
      <c r="F201" s="79" t="s">
        <v>67</v>
      </c>
      <c r="G201" s="79" t="s">
        <v>204</v>
      </c>
      <c r="H201" s="81" t="s">
        <v>10</v>
      </c>
      <c r="I201" s="82"/>
      <c r="J201" s="82"/>
      <c r="K201" s="83"/>
      <c r="L201" s="83"/>
      <c r="M201" s="83"/>
      <c r="N201" s="83"/>
      <c r="O201" s="83"/>
      <c r="P201" s="83"/>
      <c r="Q201" s="83"/>
      <c r="R201" s="83"/>
      <c r="S201" s="83"/>
      <c r="T201" s="83"/>
      <c r="U201" s="83"/>
      <c r="V201" s="83"/>
      <c r="W201" s="83"/>
      <c r="X201" s="83"/>
      <c r="Y201" s="83"/>
      <c r="Z201" s="83"/>
      <c r="AA201" s="83"/>
    </row>
    <row r="202" ht="55.5" customHeight="1">
      <c r="A202" s="79" t="s">
        <v>316</v>
      </c>
      <c r="B202" s="84"/>
      <c r="C202" s="79" t="s">
        <v>192</v>
      </c>
      <c r="D202" s="80" t="s">
        <v>206</v>
      </c>
      <c r="E202" s="79" t="s">
        <v>207</v>
      </c>
      <c r="F202" s="79" t="s">
        <v>67</v>
      </c>
      <c r="G202" s="79" t="s">
        <v>147</v>
      </c>
      <c r="H202" s="81" t="s">
        <v>10</v>
      </c>
      <c r="I202" s="82"/>
      <c r="J202" s="82"/>
      <c r="K202" s="83"/>
      <c r="L202" s="83"/>
      <c r="M202" s="83"/>
      <c r="N202" s="83"/>
      <c r="O202" s="83"/>
      <c r="P202" s="83"/>
      <c r="Q202" s="83"/>
      <c r="R202" s="83"/>
      <c r="S202" s="83"/>
      <c r="T202" s="83"/>
      <c r="U202" s="83"/>
      <c r="V202" s="83"/>
      <c r="W202" s="83"/>
      <c r="X202" s="83"/>
      <c r="Y202" s="83"/>
      <c r="Z202" s="83"/>
      <c r="AA202" s="83"/>
    </row>
    <row r="203" ht="55.5" customHeight="1">
      <c r="A203" s="79" t="s">
        <v>316</v>
      </c>
      <c r="B203" s="84"/>
      <c r="C203" s="79" t="s">
        <v>196</v>
      </c>
      <c r="D203" s="84"/>
      <c r="E203" s="79" t="s">
        <v>209</v>
      </c>
      <c r="F203" s="79" t="s">
        <v>67</v>
      </c>
      <c r="G203" s="79" t="s">
        <v>251</v>
      </c>
      <c r="H203" s="81" t="s">
        <v>10</v>
      </c>
      <c r="I203" s="82"/>
      <c r="J203" s="82"/>
      <c r="K203" s="83"/>
      <c r="L203" s="83"/>
      <c r="M203" s="83"/>
      <c r="N203" s="83"/>
      <c r="O203" s="83"/>
      <c r="P203" s="83"/>
      <c r="Q203" s="83"/>
      <c r="R203" s="83"/>
      <c r="S203" s="83"/>
      <c r="T203" s="83"/>
      <c r="U203" s="83"/>
      <c r="V203" s="83"/>
      <c r="W203" s="83"/>
      <c r="X203" s="83"/>
      <c r="Y203" s="83"/>
      <c r="Z203" s="83"/>
      <c r="AA203" s="83"/>
    </row>
    <row r="204" ht="55.5" customHeight="1">
      <c r="A204" s="79" t="s">
        <v>316</v>
      </c>
      <c r="B204" s="84"/>
      <c r="C204" s="79" t="s">
        <v>198</v>
      </c>
      <c r="D204" s="84"/>
      <c r="E204" s="79" t="s">
        <v>212</v>
      </c>
      <c r="F204" s="79" t="s">
        <v>67</v>
      </c>
      <c r="G204" s="79" t="s">
        <v>251</v>
      </c>
      <c r="H204" s="81" t="s">
        <v>10</v>
      </c>
      <c r="I204" s="82"/>
      <c r="J204" s="82"/>
      <c r="K204" s="83"/>
      <c r="L204" s="83"/>
      <c r="M204" s="83"/>
      <c r="N204" s="83"/>
      <c r="O204" s="83"/>
      <c r="P204" s="83"/>
      <c r="Q204" s="83"/>
      <c r="R204" s="83"/>
      <c r="S204" s="83"/>
      <c r="T204" s="83"/>
      <c r="U204" s="83"/>
      <c r="V204" s="83"/>
      <c r="W204" s="83"/>
      <c r="X204" s="83"/>
      <c r="Y204" s="83"/>
      <c r="Z204" s="83"/>
      <c r="AA204" s="83"/>
    </row>
    <row r="205" ht="55.5" customHeight="1">
      <c r="A205" s="79" t="s">
        <v>316</v>
      </c>
      <c r="B205" s="84"/>
      <c r="C205" s="79" t="s">
        <v>201</v>
      </c>
      <c r="D205" s="84"/>
      <c r="E205" s="86" t="s">
        <v>214</v>
      </c>
      <c r="F205" s="86" t="s">
        <v>67</v>
      </c>
      <c r="G205" s="79" t="s">
        <v>251</v>
      </c>
      <c r="H205" s="81" t="s">
        <v>10</v>
      </c>
      <c r="I205" s="82"/>
      <c r="J205" s="82"/>
      <c r="K205" s="83"/>
      <c r="L205" s="83"/>
      <c r="M205" s="83"/>
      <c r="N205" s="83"/>
      <c r="O205" s="83"/>
      <c r="P205" s="83"/>
      <c r="Q205" s="83"/>
      <c r="R205" s="83"/>
      <c r="S205" s="83"/>
      <c r="T205" s="83"/>
      <c r="U205" s="83"/>
      <c r="V205" s="83"/>
      <c r="W205" s="83"/>
      <c r="X205" s="83"/>
      <c r="Y205" s="83"/>
      <c r="Z205" s="83"/>
      <c r="AA205" s="83"/>
    </row>
    <row r="206" ht="55.5" customHeight="1">
      <c r="A206" s="79" t="s">
        <v>316</v>
      </c>
      <c r="B206" s="84"/>
      <c r="C206" s="79" t="s">
        <v>205</v>
      </c>
      <c r="D206" s="84"/>
      <c r="E206" s="79" t="s">
        <v>216</v>
      </c>
      <c r="F206" s="79" t="s">
        <v>67</v>
      </c>
      <c r="G206" s="79" t="s">
        <v>251</v>
      </c>
      <c r="H206" s="81" t="s">
        <v>10</v>
      </c>
      <c r="I206" s="82"/>
      <c r="J206" s="82"/>
      <c r="K206" s="83"/>
      <c r="L206" s="83"/>
      <c r="M206" s="83"/>
      <c r="N206" s="83"/>
      <c r="O206" s="83"/>
      <c r="P206" s="83"/>
      <c r="Q206" s="83"/>
      <c r="R206" s="83"/>
      <c r="S206" s="83"/>
      <c r="T206" s="83"/>
      <c r="U206" s="83"/>
      <c r="V206" s="83"/>
      <c r="W206" s="83"/>
      <c r="X206" s="83"/>
      <c r="Y206" s="83"/>
      <c r="Z206" s="83"/>
      <c r="AA206" s="83"/>
    </row>
    <row r="207" ht="55.5" customHeight="1">
      <c r="A207" s="79" t="s">
        <v>316</v>
      </c>
      <c r="B207" s="84"/>
      <c r="C207" s="79" t="s">
        <v>208</v>
      </c>
      <c r="D207" s="84"/>
      <c r="E207" s="79" t="s">
        <v>218</v>
      </c>
      <c r="F207" s="79" t="s">
        <v>67</v>
      </c>
      <c r="G207" s="79" t="s">
        <v>256</v>
      </c>
      <c r="H207" s="81" t="s">
        <v>10</v>
      </c>
      <c r="I207" s="82"/>
      <c r="J207" s="82"/>
      <c r="K207" s="83"/>
      <c r="L207" s="83"/>
      <c r="M207" s="83"/>
      <c r="N207" s="83"/>
      <c r="O207" s="83"/>
      <c r="P207" s="83"/>
      <c r="Q207" s="83"/>
      <c r="R207" s="83"/>
      <c r="S207" s="83"/>
      <c r="T207" s="83"/>
      <c r="U207" s="83"/>
      <c r="V207" s="83"/>
      <c r="W207" s="83"/>
      <c r="X207" s="83"/>
      <c r="Y207" s="83"/>
      <c r="Z207" s="83"/>
      <c r="AA207" s="83"/>
    </row>
    <row r="208" ht="55.5" customHeight="1">
      <c r="A208" s="79" t="s">
        <v>316</v>
      </c>
      <c r="B208" s="84"/>
      <c r="C208" s="79" t="s">
        <v>211</v>
      </c>
      <c r="D208" s="84"/>
      <c r="E208" s="79" t="s">
        <v>258</v>
      </c>
      <c r="F208" s="79" t="s">
        <v>67</v>
      </c>
      <c r="G208" s="79" t="s">
        <v>259</v>
      </c>
      <c r="H208" s="81" t="s">
        <v>10</v>
      </c>
      <c r="I208" s="82"/>
      <c r="J208" s="82"/>
      <c r="K208" s="83"/>
      <c r="L208" s="83"/>
      <c r="M208" s="83"/>
      <c r="N208" s="83"/>
      <c r="O208" s="83"/>
      <c r="P208" s="83"/>
      <c r="Q208" s="83"/>
      <c r="R208" s="83"/>
      <c r="S208" s="83"/>
      <c r="T208" s="83"/>
      <c r="U208" s="83"/>
      <c r="V208" s="83"/>
      <c r="W208" s="83"/>
      <c r="X208" s="83"/>
      <c r="Y208" s="83"/>
      <c r="Z208" s="83"/>
      <c r="AA208" s="83"/>
    </row>
    <row r="209" ht="55.5" customHeight="1">
      <c r="A209" s="79" t="s">
        <v>316</v>
      </c>
      <c r="B209" s="84"/>
      <c r="C209" s="79" t="s">
        <v>213</v>
      </c>
      <c r="D209" s="12"/>
      <c r="E209" s="79" t="s">
        <v>261</v>
      </c>
      <c r="F209" s="79" t="s">
        <v>67</v>
      </c>
      <c r="G209" s="79" t="s">
        <v>262</v>
      </c>
      <c r="H209" s="81" t="s">
        <v>10</v>
      </c>
      <c r="I209" s="82"/>
      <c r="J209" s="82"/>
      <c r="K209" s="83"/>
      <c r="L209" s="83"/>
      <c r="M209" s="83"/>
      <c r="N209" s="83"/>
      <c r="O209" s="83"/>
      <c r="P209" s="83"/>
      <c r="Q209" s="83"/>
      <c r="R209" s="83"/>
      <c r="S209" s="83"/>
      <c r="T209" s="83"/>
      <c r="U209" s="83"/>
      <c r="V209" s="83"/>
      <c r="W209" s="83"/>
      <c r="X209" s="83"/>
      <c r="Y209" s="83"/>
      <c r="Z209" s="83"/>
      <c r="AA209" s="83"/>
    </row>
    <row r="210" ht="55.5" customHeight="1">
      <c r="A210" s="79" t="s">
        <v>316</v>
      </c>
      <c r="B210" s="84"/>
      <c r="C210" s="79" t="s">
        <v>215</v>
      </c>
      <c r="D210" s="79" t="s">
        <v>300</v>
      </c>
      <c r="E210" s="79" t="s">
        <v>301</v>
      </c>
      <c r="F210" s="79" t="s">
        <v>302</v>
      </c>
      <c r="G210" s="79" t="s">
        <v>303</v>
      </c>
      <c r="H210" s="81" t="s">
        <v>10</v>
      </c>
      <c r="I210" s="82"/>
      <c r="J210" s="82"/>
      <c r="K210" s="83"/>
      <c r="L210" s="83"/>
      <c r="M210" s="83"/>
      <c r="N210" s="83"/>
      <c r="O210" s="83"/>
      <c r="P210" s="83"/>
      <c r="Q210" s="83"/>
      <c r="R210" s="83"/>
      <c r="S210" s="83"/>
      <c r="T210" s="83"/>
      <c r="U210" s="83"/>
      <c r="V210" s="83"/>
      <c r="W210" s="83"/>
      <c r="X210" s="83"/>
      <c r="Y210" s="83"/>
      <c r="Z210" s="83"/>
      <c r="AA210" s="83"/>
    </row>
    <row r="211" ht="55.5" customHeight="1">
      <c r="A211" s="79" t="s">
        <v>316</v>
      </c>
      <c r="B211" s="84"/>
      <c r="C211" s="79" t="s">
        <v>217</v>
      </c>
      <c r="D211" s="78"/>
      <c r="E211" s="79" t="s">
        <v>305</v>
      </c>
      <c r="F211" s="79" t="s">
        <v>67</v>
      </c>
      <c r="G211" s="79" t="s">
        <v>306</v>
      </c>
      <c r="H211" s="81" t="s">
        <v>10</v>
      </c>
      <c r="I211" s="82"/>
      <c r="J211" s="82"/>
      <c r="K211" s="83"/>
      <c r="L211" s="83"/>
      <c r="M211" s="83"/>
      <c r="N211" s="83"/>
      <c r="O211" s="83"/>
      <c r="P211" s="83"/>
      <c r="Q211" s="83"/>
      <c r="R211" s="83"/>
      <c r="S211" s="83"/>
      <c r="T211" s="83"/>
      <c r="U211" s="83"/>
      <c r="V211" s="83"/>
      <c r="W211" s="83"/>
      <c r="X211" s="83"/>
      <c r="Y211" s="83"/>
      <c r="Z211" s="83"/>
      <c r="AA211" s="83"/>
    </row>
    <row r="212" ht="55.5" customHeight="1">
      <c r="A212" s="79" t="s">
        <v>316</v>
      </c>
      <c r="B212" s="84"/>
      <c r="C212" s="79" t="s">
        <v>249</v>
      </c>
      <c r="D212" s="78"/>
      <c r="E212" s="79" t="s">
        <v>308</v>
      </c>
      <c r="F212" s="79" t="s">
        <v>67</v>
      </c>
      <c r="G212" s="79" t="s">
        <v>309</v>
      </c>
      <c r="H212" s="81" t="s">
        <v>10</v>
      </c>
      <c r="I212" s="82"/>
      <c r="J212" s="82"/>
      <c r="K212" s="83"/>
      <c r="L212" s="83"/>
      <c r="M212" s="83"/>
      <c r="N212" s="83"/>
      <c r="O212" s="83"/>
      <c r="P212" s="83"/>
      <c r="Q212" s="83"/>
      <c r="R212" s="83"/>
      <c r="S212" s="83"/>
      <c r="T212" s="83"/>
      <c r="U212" s="83"/>
      <c r="V212" s="83"/>
      <c r="W212" s="83"/>
      <c r="X212" s="83"/>
      <c r="Y212" s="83"/>
      <c r="Z212" s="83"/>
      <c r="AA212" s="83"/>
    </row>
    <row r="213" ht="55.5" customHeight="1">
      <c r="A213" s="79" t="s">
        <v>316</v>
      </c>
      <c r="B213" s="84"/>
      <c r="C213" s="79" t="s">
        <v>250</v>
      </c>
      <c r="D213" s="78"/>
      <c r="E213" s="79" t="s">
        <v>311</v>
      </c>
      <c r="F213" s="79" t="s">
        <v>67</v>
      </c>
      <c r="G213" s="79" t="s">
        <v>312</v>
      </c>
      <c r="H213" s="81" t="s">
        <v>10</v>
      </c>
      <c r="I213" s="82"/>
      <c r="J213" s="82"/>
      <c r="K213" s="83"/>
      <c r="L213" s="83"/>
      <c r="M213" s="83"/>
      <c r="N213" s="83"/>
      <c r="O213" s="83"/>
      <c r="P213" s="83"/>
      <c r="Q213" s="83"/>
      <c r="R213" s="83"/>
      <c r="S213" s="83"/>
      <c r="T213" s="83"/>
      <c r="U213" s="83"/>
      <c r="V213" s="83"/>
      <c r="W213" s="83"/>
      <c r="X213" s="83"/>
      <c r="Y213" s="83"/>
      <c r="Z213" s="83"/>
      <c r="AA213" s="83"/>
    </row>
    <row r="214" ht="55.5" customHeight="1">
      <c r="A214" s="79" t="s">
        <v>316</v>
      </c>
      <c r="B214" s="84"/>
      <c r="C214" s="79" t="s">
        <v>252</v>
      </c>
      <c r="D214" s="78"/>
      <c r="E214" s="79" t="s">
        <v>314</v>
      </c>
      <c r="F214" s="79" t="s">
        <v>67</v>
      </c>
      <c r="G214" s="79" t="s">
        <v>315</v>
      </c>
      <c r="H214" s="81" t="s">
        <v>10</v>
      </c>
      <c r="I214" s="82"/>
      <c r="J214" s="82"/>
      <c r="K214" s="83"/>
      <c r="L214" s="83"/>
      <c r="M214" s="83"/>
      <c r="N214" s="83"/>
      <c r="O214" s="83"/>
      <c r="P214" s="83"/>
      <c r="Q214" s="83"/>
      <c r="R214" s="83"/>
      <c r="S214" s="83"/>
      <c r="T214" s="83"/>
      <c r="U214" s="83"/>
      <c r="V214" s="83"/>
      <c r="W214" s="83"/>
      <c r="X214" s="83"/>
      <c r="Y214" s="83"/>
      <c r="Z214" s="83"/>
      <c r="AA214" s="83"/>
    </row>
    <row r="215" ht="55.5" customHeight="1">
      <c r="A215" s="94"/>
      <c r="B215" s="84"/>
      <c r="C215" s="79" t="s">
        <v>253</v>
      </c>
      <c r="D215" s="80" t="s">
        <v>321</v>
      </c>
      <c r="E215" s="79" t="s">
        <v>322</v>
      </c>
      <c r="F215" s="79" t="s">
        <v>323</v>
      </c>
      <c r="G215" s="79" t="s">
        <v>324</v>
      </c>
      <c r="H215" s="81" t="s">
        <v>10</v>
      </c>
      <c r="I215" s="85"/>
      <c r="J215" s="82"/>
      <c r="K215" s="83"/>
      <c r="L215" s="83"/>
      <c r="M215" s="83"/>
      <c r="N215" s="83"/>
      <c r="O215" s="83"/>
      <c r="P215" s="83"/>
      <c r="Q215" s="83"/>
      <c r="R215" s="83"/>
      <c r="S215" s="83"/>
      <c r="T215" s="83"/>
      <c r="U215" s="83"/>
      <c r="V215" s="83"/>
      <c r="W215" s="83"/>
      <c r="X215" s="83"/>
      <c r="Y215" s="83"/>
      <c r="Z215" s="83"/>
      <c r="AA215" s="83"/>
    </row>
    <row r="216" ht="55.5" customHeight="1">
      <c r="A216" s="94"/>
      <c r="B216" s="84"/>
      <c r="C216" s="79" t="s">
        <v>254</v>
      </c>
      <c r="D216" s="84"/>
      <c r="E216" s="79" t="s">
        <v>325</v>
      </c>
      <c r="F216" s="79" t="s">
        <v>326</v>
      </c>
      <c r="G216" s="79" t="s">
        <v>327</v>
      </c>
      <c r="H216" s="81" t="s">
        <v>10</v>
      </c>
      <c r="I216" s="82"/>
      <c r="J216" s="82"/>
      <c r="K216" s="83"/>
      <c r="L216" s="83"/>
      <c r="M216" s="83"/>
      <c r="N216" s="83"/>
      <c r="O216" s="83"/>
      <c r="P216" s="83"/>
      <c r="Q216" s="83"/>
      <c r="R216" s="83"/>
      <c r="S216" s="83"/>
      <c r="T216" s="83"/>
      <c r="U216" s="83"/>
      <c r="V216" s="83"/>
      <c r="W216" s="83"/>
      <c r="X216" s="83"/>
      <c r="Y216" s="83"/>
      <c r="Z216" s="83"/>
      <c r="AA216" s="83"/>
    </row>
    <row r="217" ht="55.5" customHeight="1">
      <c r="A217" s="94"/>
      <c r="B217" s="84"/>
      <c r="C217" s="79" t="s">
        <v>255</v>
      </c>
      <c r="D217" s="84"/>
      <c r="E217" s="79" t="s">
        <v>328</v>
      </c>
      <c r="F217" s="79" t="s">
        <v>329</v>
      </c>
      <c r="G217" s="79" t="s">
        <v>330</v>
      </c>
      <c r="H217" s="81" t="s">
        <v>10</v>
      </c>
      <c r="I217" s="82"/>
      <c r="J217" s="82"/>
      <c r="K217" s="83"/>
      <c r="L217" s="83"/>
      <c r="M217" s="83"/>
      <c r="N217" s="83"/>
      <c r="O217" s="83"/>
      <c r="P217" s="83"/>
      <c r="Q217" s="83"/>
      <c r="R217" s="83"/>
      <c r="S217" s="83"/>
      <c r="T217" s="83"/>
      <c r="U217" s="83"/>
      <c r="V217" s="83"/>
      <c r="W217" s="83"/>
      <c r="X217" s="83"/>
      <c r="Y217" s="83"/>
      <c r="Z217" s="83"/>
      <c r="AA217" s="83"/>
    </row>
    <row r="218" ht="55.5" customHeight="1">
      <c r="A218" s="94"/>
      <c r="B218" s="84"/>
      <c r="C218" s="79" t="s">
        <v>257</v>
      </c>
      <c r="D218" s="84"/>
      <c r="E218" s="79" t="s">
        <v>331</v>
      </c>
      <c r="F218" s="79" t="s">
        <v>329</v>
      </c>
      <c r="G218" s="79" t="s">
        <v>332</v>
      </c>
      <c r="H218" s="81" t="s">
        <v>10</v>
      </c>
      <c r="I218" s="85"/>
      <c r="J218" s="95"/>
      <c r="K218" s="83"/>
      <c r="L218" s="83"/>
      <c r="M218" s="83"/>
      <c r="N218" s="83"/>
      <c r="O218" s="83"/>
      <c r="P218" s="83"/>
      <c r="Q218" s="83"/>
      <c r="R218" s="83"/>
      <c r="S218" s="83"/>
      <c r="T218" s="83"/>
      <c r="U218" s="83"/>
      <c r="V218" s="83"/>
      <c r="W218" s="83"/>
      <c r="X218" s="83"/>
      <c r="Y218" s="83"/>
      <c r="Z218" s="83"/>
      <c r="AA218" s="83"/>
    </row>
    <row r="219" ht="55.5" customHeight="1">
      <c r="A219" s="94"/>
      <c r="B219" s="84"/>
      <c r="C219" s="79" t="s">
        <v>260</v>
      </c>
      <c r="D219" s="84"/>
      <c r="E219" s="79" t="s">
        <v>333</v>
      </c>
      <c r="F219" s="79" t="s">
        <v>334</v>
      </c>
      <c r="G219" s="79" t="s">
        <v>324</v>
      </c>
      <c r="H219" s="81" t="s">
        <v>10</v>
      </c>
      <c r="I219" s="85"/>
      <c r="J219" s="82"/>
      <c r="K219" s="83"/>
      <c r="L219" s="83"/>
      <c r="M219" s="83"/>
      <c r="N219" s="83"/>
      <c r="O219" s="83"/>
      <c r="P219" s="83"/>
      <c r="Q219" s="83"/>
      <c r="R219" s="83"/>
      <c r="S219" s="83"/>
      <c r="T219" s="83"/>
      <c r="U219" s="83"/>
      <c r="V219" s="83"/>
      <c r="W219" s="83"/>
      <c r="X219" s="83"/>
      <c r="Y219" s="83"/>
      <c r="Z219" s="83"/>
      <c r="AA219" s="83"/>
    </row>
    <row r="220" ht="55.5" customHeight="1">
      <c r="A220" s="94"/>
      <c r="B220" s="84"/>
      <c r="C220" s="79" t="s">
        <v>263</v>
      </c>
      <c r="D220" s="84"/>
      <c r="E220" s="79" t="s">
        <v>335</v>
      </c>
      <c r="F220" s="79" t="s">
        <v>336</v>
      </c>
      <c r="G220" s="79" t="s">
        <v>327</v>
      </c>
      <c r="H220" s="81" t="s">
        <v>10</v>
      </c>
      <c r="I220" s="82"/>
      <c r="J220" s="82"/>
      <c r="K220" s="83"/>
      <c r="L220" s="83"/>
      <c r="M220" s="83"/>
      <c r="N220" s="83"/>
      <c r="O220" s="83"/>
      <c r="P220" s="83"/>
      <c r="Q220" s="83"/>
      <c r="R220" s="83"/>
      <c r="S220" s="83"/>
      <c r="T220" s="83"/>
      <c r="U220" s="83"/>
      <c r="V220" s="83"/>
      <c r="W220" s="83"/>
      <c r="X220" s="83"/>
      <c r="Y220" s="83"/>
      <c r="Z220" s="83"/>
      <c r="AA220" s="83"/>
    </row>
    <row r="221" ht="55.5" customHeight="1">
      <c r="A221" s="94"/>
      <c r="B221" s="12"/>
      <c r="C221" s="79" t="s">
        <v>268</v>
      </c>
      <c r="D221" s="12"/>
      <c r="E221" s="79" t="s">
        <v>337</v>
      </c>
      <c r="F221" s="79" t="s">
        <v>338</v>
      </c>
      <c r="G221" s="79" t="s">
        <v>330</v>
      </c>
      <c r="H221" s="81" t="s">
        <v>10</v>
      </c>
      <c r="I221" s="82"/>
      <c r="J221" s="82"/>
      <c r="K221" s="83"/>
      <c r="L221" s="83"/>
      <c r="M221" s="83"/>
      <c r="N221" s="83"/>
      <c r="O221" s="83"/>
      <c r="P221" s="83"/>
      <c r="Q221" s="83"/>
      <c r="R221" s="83"/>
      <c r="S221" s="83"/>
      <c r="T221" s="83"/>
      <c r="U221" s="83"/>
      <c r="V221" s="83"/>
      <c r="W221" s="83"/>
      <c r="X221" s="83"/>
      <c r="Y221" s="83"/>
      <c r="Z221" s="83"/>
      <c r="AA221" s="83"/>
    </row>
    <row r="222" ht="55.5" customHeight="1">
      <c r="A222" s="79" t="s">
        <v>339</v>
      </c>
      <c r="B222" s="80" t="s">
        <v>340</v>
      </c>
      <c r="C222" s="78"/>
      <c r="D222" s="78"/>
      <c r="E222" s="78"/>
      <c r="F222" s="96" t="s">
        <v>341</v>
      </c>
      <c r="G222" s="78"/>
      <c r="H222" s="79" t="s">
        <v>10</v>
      </c>
      <c r="I222" s="82"/>
      <c r="J222" s="82"/>
      <c r="K222" s="83"/>
      <c r="L222" s="83"/>
      <c r="M222" s="83"/>
      <c r="N222" s="83"/>
      <c r="O222" s="83"/>
      <c r="P222" s="83"/>
      <c r="Q222" s="83"/>
      <c r="R222" s="83"/>
      <c r="S222" s="83"/>
      <c r="T222" s="83"/>
      <c r="U222" s="83"/>
      <c r="V222" s="83"/>
      <c r="W222" s="83"/>
      <c r="X222" s="83"/>
      <c r="Y222" s="83"/>
      <c r="Z222" s="83"/>
      <c r="AA222" s="83"/>
    </row>
    <row r="223" ht="55.5" customHeight="1">
      <c r="A223" s="79" t="s">
        <v>339</v>
      </c>
      <c r="B223" s="84"/>
      <c r="C223" s="79" t="s">
        <v>47</v>
      </c>
      <c r="D223" s="80" t="s">
        <v>342</v>
      </c>
      <c r="E223" s="79" t="s">
        <v>343</v>
      </c>
      <c r="F223" s="79" t="s">
        <v>344</v>
      </c>
      <c r="G223" s="79" t="s">
        <v>68</v>
      </c>
      <c r="H223" s="81" t="s">
        <v>10</v>
      </c>
      <c r="I223" s="82"/>
      <c r="J223" s="82"/>
      <c r="K223" s="83"/>
      <c r="L223" s="83"/>
      <c r="M223" s="83"/>
      <c r="N223" s="83"/>
      <c r="O223" s="83"/>
      <c r="P223" s="83"/>
      <c r="Q223" s="83"/>
      <c r="R223" s="83"/>
      <c r="S223" s="83"/>
      <c r="T223" s="83"/>
      <c r="U223" s="83"/>
      <c r="V223" s="83"/>
      <c r="W223" s="83"/>
      <c r="X223" s="83"/>
      <c r="Y223" s="83"/>
      <c r="Z223" s="83"/>
      <c r="AA223" s="83"/>
    </row>
    <row r="224" ht="55.5" customHeight="1">
      <c r="A224" s="79" t="s">
        <v>339</v>
      </c>
      <c r="B224" s="84"/>
      <c r="C224" s="79" t="s">
        <v>52</v>
      </c>
      <c r="D224" s="84"/>
      <c r="E224" s="79" t="s">
        <v>70</v>
      </c>
      <c r="F224" s="79" t="s">
        <v>344</v>
      </c>
      <c r="G224" s="79" t="s">
        <v>345</v>
      </c>
      <c r="H224" s="81" t="s">
        <v>10</v>
      </c>
      <c r="I224" s="82"/>
      <c r="J224" s="82"/>
      <c r="K224" s="83"/>
      <c r="L224" s="83"/>
      <c r="M224" s="83"/>
      <c r="N224" s="83"/>
      <c r="O224" s="83"/>
      <c r="P224" s="83"/>
      <c r="Q224" s="83"/>
      <c r="R224" s="83"/>
      <c r="S224" s="83"/>
      <c r="T224" s="83"/>
      <c r="U224" s="83"/>
      <c r="V224" s="83"/>
      <c r="W224" s="83"/>
      <c r="X224" s="83"/>
      <c r="Y224" s="83"/>
      <c r="Z224" s="83"/>
      <c r="AA224" s="83"/>
    </row>
    <row r="225" ht="55.5" customHeight="1">
      <c r="A225" s="79" t="s">
        <v>339</v>
      </c>
      <c r="B225" s="84"/>
      <c r="C225" s="79" t="s">
        <v>55</v>
      </c>
      <c r="D225" s="12"/>
      <c r="E225" s="79" t="s">
        <v>76</v>
      </c>
      <c r="F225" s="79" t="s">
        <v>344</v>
      </c>
      <c r="G225" s="79" t="s">
        <v>346</v>
      </c>
      <c r="H225" s="81" t="s">
        <v>10</v>
      </c>
      <c r="I225" s="85" t="s">
        <v>347</v>
      </c>
      <c r="J225" s="82"/>
      <c r="K225" s="83"/>
      <c r="L225" s="83"/>
      <c r="M225" s="83"/>
      <c r="N225" s="83"/>
      <c r="O225" s="83"/>
      <c r="P225" s="83"/>
      <c r="Q225" s="83"/>
      <c r="R225" s="83"/>
      <c r="S225" s="83"/>
      <c r="T225" s="83"/>
      <c r="U225" s="83"/>
      <c r="V225" s="83"/>
      <c r="W225" s="83"/>
      <c r="X225" s="83"/>
      <c r="Y225" s="83"/>
      <c r="Z225" s="83"/>
      <c r="AA225" s="83"/>
    </row>
    <row r="226" ht="55.5" customHeight="1">
      <c r="A226" s="79" t="s">
        <v>339</v>
      </c>
      <c r="B226" s="84"/>
      <c r="C226" s="79" t="s">
        <v>58</v>
      </c>
      <c r="D226" s="80" t="s">
        <v>348</v>
      </c>
      <c r="E226" s="79" t="s">
        <v>73</v>
      </c>
      <c r="F226" s="79" t="s">
        <v>344</v>
      </c>
      <c r="G226" s="79" t="s">
        <v>74</v>
      </c>
      <c r="H226" s="81" t="s">
        <v>10</v>
      </c>
      <c r="I226" s="82"/>
      <c r="J226" s="82"/>
      <c r="K226" s="83"/>
      <c r="L226" s="83"/>
      <c r="M226" s="83"/>
      <c r="N226" s="83"/>
      <c r="O226" s="83"/>
      <c r="P226" s="83"/>
      <c r="Q226" s="83"/>
      <c r="R226" s="83"/>
      <c r="S226" s="83"/>
      <c r="T226" s="83"/>
      <c r="U226" s="83"/>
      <c r="V226" s="83"/>
      <c r="W226" s="83"/>
      <c r="X226" s="83"/>
      <c r="Y226" s="83"/>
      <c r="Z226" s="83"/>
      <c r="AA226" s="83"/>
    </row>
    <row r="227" ht="55.5" customHeight="1">
      <c r="A227" s="79" t="s">
        <v>339</v>
      </c>
      <c r="B227" s="84"/>
      <c r="C227" s="79" t="s">
        <v>62</v>
      </c>
      <c r="D227" s="84"/>
      <c r="E227" s="79" t="s">
        <v>349</v>
      </c>
      <c r="F227" s="79" t="s">
        <v>344</v>
      </c>
      <c r="G227" s="79" t="s">
        <v>74</v>
      </c>
      <c r="H227" s="81" t="s">
        <v>10</v>
      </c>
      <c r="I227" s="82"/>
      <c r="J227" s="82"/>
      <c r="K227" s="83"/>
      <c r="L227" s="83"/>
      <c r="M227" s="83"/>
      <c r="N227" s="83"/>
      <c r="O227" s="83"/>
      <c r="P227" s="83"/>
      <c r="Q227" s="83"/>
      <c r="R227" s="83"/>
      <c r="S227" s="83"/>
      <c r="T227" s="83"/>
      <c r="U227" s="83"/>
      <c r="V227" s="83"/>
      <c r="W227" s="83"/>
      <c r="X227" s="83"/>
      <c r="Y227" s="83"/>
      <c r="Z227" s="83"/>
      <c r="AA227" s="83"/>
    </row>
    <row r="228" ht="55.5" customHeight="1">
      <c r="A228" s="79" t="s">
        <v>339</v>
      </c>
      <c r="B228" s="84"/>
      <c r="C228" s="79" t="s">
        <v>64</v>
      </c>
      <c r="D228" s="84"/>
      <c r="E228" s="79" t="s">
        <v>350</v>
      </c>
      <c r="F228" s="79" t="s">
        <v>344</v>
      </c>
      <c r="G228" s="79" t="s">
        <v>74</v>
      </c>
      <c r="H228" s="81" t="s">
        <v>10</v>
      </c>
      <c r="I228" s="82"/>
      <c r="J228" s="82"/>
      <c r="K228" s="83"/>
      <c r="L228" s="83"/>
      <c r="M228" s="83"/>
      <c r="N228" s="83"/>
      <c r="O228" s="83"/>
      <c r="P228" s="83"/>
      <c r="Q228" s="83"/>
      <c r="R228" s="83"/>
      <c r="S228" s="83"/>
      <c r="T228" s="83"/>
      <c r="U228" s="83"/>
      <c r="V228" s="83"/>
      <c r="W228" s="83"/>
      <c r="X228" s="83"/>
      <c r="Y228" s="83"/>
      <c r="Z228" s="83"/>
      <c r="AA228" s="83"/>
    </row>
    <row r="229" ht="55.5" customHeight="1">
      <c r="A229" s="79" t="s">
        <v>339</v>
      </c>
      <c r="B229" s="84"/>
      <c r="C229" s="79" t="s">
        <v>69</v>
      </c>
      <c r="D229" s="84"/>
      <c r="E229" s="79" t="s">
        <v>84</v>
      </c>
      <c r="F229" s="79" t="s">
        <v>344</v>
      </c>
      <c r="G229" s="79" t="s">
        <v>351</v>
      </c>
      <c r="H229" s="81" t="s">
        <v>10</v>
      </c>
      <c r="I229" s="82"/>
      <c r="J229" s="82"/>
      <c r="K229" s="83"/>
      <c r="L229" s="83"/>
      <c r="M229" s="83"/>
      <c r="N229" s="83"/>
      <c r="O229" s="83"/>
      <c r="P229" s="83"/>
      <c r="Q229" s="83"/>
      <c r="R229" s="83"/>
      <c r="S229" s="83"/>
      <c r="T229" s="83"/>
      <c r="U229" s="83"/>
      <c r="V229" s="83"/>
      <c r="W229" s="83"/>
      <c r="X229" s="83"/>
      <c r="Y229" s="83"/>
      <c r="Z229" s="83"/>
      <c r="AA229" s="83"/>
    </row>
    <row r="230" ht="55.5" customHeight="1">
      <c r="A230" s="79" t="s">
        <v>339</v>
      </c>
      <c r="B230" s="84"/>
      <c r="C230" s="79" t="s">
        <v>72</v>
      </c>
      <c r="D230" s="84"/>
      <c r="E230" s="79" t="s">
        <v>352</v>
      </c>
      <c r="F230" s="79" t="s">
        <v>344</v>
      </c>
      <c r="G230" s="79" t="s">
        <v>351</v>
      </c>
      <c r="H230" s="81" t="s">
        <v>10</v>
      </c>
      <c r="I230" s="82"/>
      <c r="J230" s="82"/>
      <c r="K230" s="83"/>
      <c r="L230" s="83"/>
      <c r="M230" s="83"/>
      <c r="N230" s="83"/>
      <c r="O230" s="83"/>
      <c r="P230" s="83"/>
      <c r="Q230" s="83"/>
      <c r="R230" s="83"/>
      <c r="S230" s="83"/>
      <c r="T230" s="83"/>
      <c r="U230" s="83"/>
      <c r="V230" s="83"/>
      <c r="W230" s="83"/>
      <c r="X230" s="83"/>
      <c r="Y230" s="83"/>
      <c r="Z230" s="83"/>
      <c r="AA230" s="83"/>
    </row>
    <row r="231" ht="55.5" customHeight="1">
      <c r="A231" s="79" t="s">
        <v>339</v>
      </c>
      <c r="B231" s="84"/>
      <c r="C231" s="79" t="s">
        <v>75</v>
      </c>
      <c r="D231" s="12"/>
      <c r="E231" s="79" t="s">
        <v>89</v>
      </c>
      <c r="F231" s="79" t="s">
        <v>344</v>
      </c>
      <c r="G231" s="79" t="s">
        <v>87</v>
      </c>
      <c r="H231" s="81" t="s">
        <v>10</v>
      </c>
      <c r="I231" s="82"/>
      <c r="J231" s="82"/>
      <c r="K231" s="83"/>
      <c r="L231" s="83"/>
      <c r="M231" s="83"/>
      <c r="N231" s="83"/>
      <c r="O231" s="83"/>
      <c r="P231" s="83"/>
      <c r="Q231" s="83"/>
      <c r="R231" s="83"/>
      <c r="S231" s="83"/>
      <c r="T231" s="83"/>
      <c r="U231" s="83"/>
      <c r="V231" s="83"/>
      <c r="W231" s="83"/>
      <c r="X231" s="83"/>
      <c r="Y231" s="83"/>
      <c r="Z231" s="83"/>
      <c r="AA231" s="83"/>
    </row>
    <row r="232" ht="55.5" customHeight="1">
      <c r="A232" s="79" t="s">
        <v>339</v>
      </c>
      <c r="B232" s="84"/>
      <c r="C232" s="79" t="s">
        <v>79</v>
      </c>
      <c r="D232" s="80" t="s">
        <v>353</v>
      </c>
      <c r="E232" s="79" t="s">
        <v>354</v>
      </c>
      <c r="F232" s="79" t="s">
        <v>344</v>
      </c>
      <c r="G232" s="79" t="s">
        <v>355</v>
      </c>
      <c r="H232" s="81" t="s">
        <v>10</v>
      </c>
      <c r="I232" s="82"/>
      <c r="J232" s="82"/>
      <c r="K232" s="83"/>
      <c r="L232" s="83"/>
      <c r="M232" s="83"/>
      <c r="N232" s="83"/>
      <c r="O232" s="83"/>
      <c r="P232" s="83"/>
      <c r="Q232" s="83"/>
      <c r="R232" s="83"/>
      <c r="S232" s="83"/>
      <c r="T232" s="83"/>
      <c r="U232" s="83"/>
      <c r="V232" s="83"/>
      <c r="W232" s="83"/>
      <c r="X232" s="83"/>
      <c r="Y232" s="83"/>
      <c r="Z232" s="83"/>
      <c r="AA232" s="83"/>
    </row>
    <row r="233" ht="55.5" customHeight="1">
      <c r="A233" s="79" t="s">
        <v>339</v>
      </c>
      <c r="B233" s="84"/>
      <c r="C233" s="79" t="s">
        <v>83</v>
      </c>
      <c r="D233" s="84"/>
      <c r="E233" s="79" t="s">
        <v>92</v>
      </c>
      <c r="F233" s="79" t="s">
        <v>344</v>
      </c>
      <c r="G233" s="79" t="s">
        <v>356</v>
      </c>
      <c r="H233" s="81" t="s">
        <v>10</v>
      </c>
      <c r="I233" s="82"/>
      <c r="J233" s="82"/>
      <c r="K233" s="83"/>
      <c r="L233" s="83"/>
      <c r="M233" s="83"/>
      <c r="N233" s="83"/>
      <c r="O233" s="83"/>
      <c r="P233" s="83"/>
      <c r="Q233" s="83"/>
      <c r="R233" s="83"/>
      <c r="S233" s="83"/>
      <c r="T233" s="83"/>
      <c r="U233" s="83"/>
      <c r="V233" s="83"/>
      <c r="W233" s="83"/>
      <c r="X233" s="83"/>
      <c r="Y233" s="83"/>
      <c r="Z233" s="83"/>
      <c r="AA233" s="83"/>
    </row>
    <row r="234" ht="55.5" customHeight="1">
      <c r="A234" s="79" t="s">
        <v>339</v>
      </c>
      <c r="B234" s="84"/>
      <c r="C234" s="79" t="s">
        <v>86</v>
      </c>
      <c r="D234" s="84"/>
      <c r="E234" s="79" t="s">
        <v>357</v>
      </c>
      <c r="F234" s="79" t="s">
        <v>344</v>
      </c>
      <c r="G234" s="79" t="s">
        <v>356</v>
      </c>
      <c r="H234" s="81" t="s">
        <v>10</v>
      </c>
      <c r="I234" s="82"/>
      <c r="J234" s="82"/>
      <c r="K234" s="83"/>
      <c r="L234" s="83"/>
      <c r="M234" s="83"/>
      <c r="N234" s="83"/>
      <c r="O234" s="83"/>
      <c r="P234" s="83"/>
      <c r="Q234" s="83"/>
      <c r="R234" s="83"/>
      <c r="S234" s="83"/>
      <c r="T234" s="83"/>
      <c r="U234" s="83"/>
      <c r="V234" s="83"/>
      <c r="W234" s="83"/>
      <c r="X234" s="83"/>
      <c r="Y234" s="83"/>
      <c r="Z234" s="83"/>
      <c r="AA234" s="83"/>
    </row>
    <row r="235" ht="55.5" customHeight="1">
      <c r="A235" s="79" t="s">
        <v>339</v>
      </c>
      <c r="B235" s="84"/>
      <c r="C235" s="79" t="s">
        <v>88</v>
      </c>
      <c r="D235" s="12"/>
      <c r="E235" s="79" t="s">
        <v>97</v>
      </c>
      <c r="F235" s="79" t="s">
        <v>344</v>
      </c>
      <c r="G235" s="79" t="s">
        <v>356</v>
      </c>
      <c r="H235" s="81" t="s">
        <v>10</v>
      </c>
      <c r="I235" s="82"/>
      <c r="J235" s="82"/>
      <c r="K235" s="83"/>
      <c r="L235" s="83"/>
      <c r="M235" s="83"/>
      <c r="N235" s="83"/>
      <c r="O235" s="83"/>
      <c r="P235" s="83"/>
      <c r="Q235" s="83"/>
      <c r="R235" s="83"/>
      <c r="S235" s="83"/>
      <c r="T235" s="83"/>
      <c r="U235" s="83"/>
      <c r="V235" s="83"/>
      <c r="W235" s="83"/>
      <c r="X235" s="83"/>
      <c r="Y235" s="83"/>
      <c r="Z235" s="83"/>
      <c r="AA235" s="83"/>
    </row>
    <row r="236" ht="55.5" customHeight="1">
      <c r="A236" s="79" t="s">
        <v>339</v>
      </c>
      <c r="B236" s="84"/>
      <c r="C236" s="79" t="s">
        <v>91</v>
      </c>
      <c r="D236" s="80" t="s">
        <v>358</v>
      </c>
      <c r="E236" s="79" t="s">
        <v>100</v>
      </c>
      <c r="F236" s="79" t="s">
        <v>344</v>
      </c>
      <c r="G236" s="79" t="s">
        <v>359</v>
      </c>
      <c r="H236" s="81" t="s">
        <v>10</v>
      </c>
      <c r="I236" s="82"/>
      <c r="J236" s="82"/>
      <c r="K236" s="83"/>
      <c r="L236" s="83"/>
      <c r="M236" s="83"/>
      <c r="N236" s="83"/>
      <c r="O236" s="83"/>
      <c r="P236" s="83"/>
      <c r="Q236" s="83"/>
      <c r="R236" s="83"/>
      <c r="S236" s="83"/>
      <c r="T236" s="83"/>
      <c r="U236" s="83"/>
      <c r="V236" s="83"/>
      <c r="W236" s="83"/>
      <c r="X236" s="83"/>
      <c r="Y236" s="83"/>
      <c r="Z236" s="83"/>
      <c r="AA236" s="83"/>
    </row>
    <row r="237" ht="55.5" customHeight="1">
      <c r="A237" s="79" t="s">
        <v>339</v>
      </c>
      <c r="B237" s="84"/>
      <c r="C237" s="79" t="s">
        <v>94</v>
      </c>
      <c r="D237" s="84"/>
      <c r="E237" s="79" t="s">
        <v>360</v>
      </c>
      <c r="F237" s="79" t="s">
        <v>344</v>
      </c>
      <c r="G237" s="79" t="s">
        <v>361</v>
      </c>
      <c r="H237" s="81" t="s">
        <v>10</v>
      </c>
      <c r="I237" s="82"/>
      <c r="J237" s="82"/>
      <c r="K237" s="83"/>
      <c r="L237" s="83"/>
      <c r="M237" s="83"/>
      <c r="N237" s="83"/>
      <c r="O237" s="83"/>
      <c r="P237" s="83"/>
      <c r="Q237" s="83"/>
      <c r="R237" s="83"/>
      <c r="S237" s="83"/>
      <c r="T237" s="83"/>
      <c r="U237" s="83"/>
      <c r="V237" s="83"/>
      <c r="W237" s="83"/>
      <c r="X237" s="83"/>
      <c r="Y237" s="83"/>
      <c r="Z237" s="83"/>
      <c r="AA237" s="83"/>
    </row>
    <row r="238" ht="55.5" customHeight="1">
      <c r="A238" s="79" t="s">
        <v>339</v>
      </c>
      <c r="B238" s="84"/>
      <c r="C238" s="79" t="s">
        <v>96</v>
      </c>
      <c r="D238" s="84"/>
      <c r="E238" s="79" t="s">
        <v>362</v>
      </c>
      <c r="F238" s="79" t="s">
        <v>344</v>
      </c>
      <c r="G238" s="79" t="s">
        <v>359</v>
      </c>
      <c r="H238" s="81" t="s">
        <v>10</v>
      </c>
      <c r="I238" s="82"/>
      <c r="J238" s="82"/>
      <c r="K238" s="83"/>
      <c r="L238" s="83"/>
      <c r="M238" s="83"/>
      <c r="N238" s="83"/>
      <c r="O238" s="83"/>
      <c r="P238" s="83"/>
      <c r="Q238" s="83"/>
      <c r="R238" s="83"/>
      <c r="S238" s="83"/>
      <c r="T238" s="83"/>
      <c r="U238" s="83"/>
      <c r="V238" s="83"/>
      <c r="W238" s="83"/>
      <c r="X238" s="83"/>
      <c r="Y238" s="83"/>
      <c r="Z238" s="83"/>
      <c r="AA238" s="83"/>
    </row>
    <row r="239" ht="55.5" customHeight="1">
      <c r="A239" s="79" t="s">
        <v>339</v>
      </c>
      <c r="B239" s="84"/>
      <c r="C239" s="79" t="s">
        <v>98</v>
      </c>
      <c r="D239" s="84"/>
      <c r="E239" s="79" t="s">
        <v>363</v>
      </c>
      <c r="F239" s="79" t="s">
        <v>344</v>
      </c>
      <c r="G239" s="79" t="s">
        <v>361</v>
      </c>
      <c r="H239" s="81" t="s">
        <v>10</v>
      </c>
      <c r="I239" s="82"/>
      <c r="J239" s="82"/>
      <c r="K239" s="83"/>
      <c r="L239" s="83"/>
      <c r="M239" s="83"/>
      <c r="N239" s="83"/>
      <c r="O239" s="83"/>
      <c r="P239" s="83"/>
      <c r="Q239" s="83"/>
      <c r="R239" s="83"/>
      <c r="S239" s="83"/>
      <c r="T239" s="83"/>
      <c r="U239" s="83"/>
      <c r="V239" s="83"/>
      <c r="W239" s="83"/>
      <c r="X239" s="83"/>
      <c r="Y239" s="83"/>
      <c r="Z239" s="83"/>
      <c r="AA239" s="83"/>
    </row>
    <row r="240" ht="55.5" customHeight="1">
      <c r="A240" s="79" t="s">
        <v>339</v>
      </c>
      <c r="B240" s="84"/>
      <c r="C240" s="79" t="s">
        <v>102</v>
      </c>
      <c r="D240" s="84"/>
      <c r="E240" s="79" t="s">
        <v>364</v>
      </c>
      <c r="F240" s="79" t="s">
        <v>344</v>
      </c>
      <c r="G240" s="79" t="s">
        <v>361</v>
      </c>
      <c r="H240" s="81" t="s">
        <v>10</v>
      </c>
      <c r="I240" s="82"/>
      <c r="J240" s="82"/>
      <c r="K240" s="83"/>
      <c r="L240" s="83"/>
      <c r="M240" s="83"/>
      <c r="N240" s="83"/>
      <c r="O240" s="83"/>
      <c r="P240" s="83"/>
      <c r="Q240" s="83"/>
      <c r="R240" s="83"/>
      <c r="S240" s="83"/>
      <c r="T240" s="83"/>
      <c r="U240" s="83"/>
      <c r="V240" s="83"/>
      <c r="W240" s="83"/>
      <c r="X240" s="83"/>
      <c r="Y240" s="83"/>
      <c r="Z240" s="83"/>
      <c r="AA240" s="83"/>
    </row>
    <row r="241" ht="55.5" customHeight="1">
      <c r="A241" s="79" t="s">
        <v>339</v>
      </c>
      <c r="B241" s="84"/>
      <c r="C241" s="79" t="s">
        <v>105</v>
      </c>
      <c r="D241" s="84"/>
      <c r="E241" s="79" t="s">
        <v>365</v>
      </c>
      <c r="F241" s="79" t="s">
        <v>344</v>
      </c>
      <c r="G241" s="79" t="s">
        <v>361</v>
      </c>
      <c r="H241" s="81" t="s">
        <v>10</v>
      </c>
      <c r="I241" s="82"/>
      <c r="J241" s="82"/>
      <c r="K241" s="83"/>
      <c r="L241" s="83"/>
      <c r="M241" s="83"/>
      <c r="N241" s="83"/>
      <c r="O241" s="83"/>
      <c r="P241" s="83"/>
      <c r="Q241" s="83"/>
      <c r="R241" s="83"/>
      <c r="S241" s="83"/>
      <c r="T241" s="83"/>
      <c r="U241" s="83"/>
      <c r="V241" s="83"/>
      <c r="W241" s="83"/>
      <c r="X241" s="83"/>
      <c r="Y241" s="83"/>
      <c r="Z241" s="83"/>
      <c r="AA241" s="83"/>
    </row>
    <row r="242" ht="55.5" customHeight="1">
      <c r="A242" s="79" t="s">
        <v>339</v>
      </c>
      <c r="B242" s="84"/>
      <c r="C242" s="79" t="s">
        <v>107</v>
      </c>
      <c r="D242" s="84"/>
      <c r="E242" s="79" t="s">
        <v>366</v>
      </c>
      <c r="F242" s="79" t="s">
        <v>344</v>
      </c>
      <c r="G242" s="79" t="s">
        <v>359</v>
      </c>
      <c r="H242" s="81" t="s">
        <v>10</v>
      </c>
      <c r="I242" s="82"/>
      <c r="J242" s="82"/>
      <c r="K242" s="83"/>
      <c r="L242" s="83"/>
      <c r="M242" s="83"/>
      <c r="N242" s="83"/>
      <c r="O242" s="83"/>
      <c r="P242" s="83"/>
      <c r="Q242" s="83"/>
      <c r="R242" s="83"/>
      <c r="S242" s="83"/>
      <c r="T242" s="83"/>
      <c r="U242" s="83"/>
      <c r="V242" s="83"/>
      <c r="W242" s="83"/>
      <c r="X242" s="83"/>
      <c r="Y242" s="83"/>
      <c r="Z242" s="83"/>
      <c r="AA242" s="83"/>
    </row>
    <row r="243" ht="55.5" customHeight="1">
      <c r="A243" s="79" t="s">
        <v>339</v>
      </c>
      <c r="B243" s="84"/>
      <c r="C243" s="79" t="s">
        <v>109</v>
      </c>
      <c r="D243" s="84"/>
      <c r="E243" s="79" t="s">
        <v>367</v>
      </c>
      <c r="F243" s="79" t="s">
        <v>344</v>
      </c>
      <c r="G243" s="79" t="s">
        <v>359</v>
      </c>
      <c r="H243" s="81" t="s">
        <v>10</v>
      </c>
      <c r="I243" s="82"/>
      <c r="J243" s="82"/>
      <c r="K243" s="83"/>
      <c r="L243" s="83"/>
      <c r="M243" s="83"/>
      <c r="N243" s="83"/>
      <c r="O243" s="83"/>
      <c r="P243" s="83"/>
      <c r="Q243" s="83"/>
      <c r="R243" s="83"/>
      <c r="S243" s="83"/>
      <c r="T243" s="83"/>
      <c r="U243" s="83"/>
      <c r="V243" s="83"/>
      <c r="W243" s="83"/>
      <c r="X243" s="83"/>
      <c r="Y243" s="83"/>
      <c r="Z243" s="83"/>
      <c r="AA243" s="83"/>
    </row>
    <row r="244" ht="55.5" customHeight="1">
      <c r="A244" s="79" t="s">
        <v>339</v>
      </c>
      <c r="B244" s="84"/>
      <c r="C244" s="79" t="s">
        <v>111</v>
      </c>
      <c r="D244" s="84"/>
      <c r="E244" s="79" t="s">
        <v>368</v>
      </c>
      <c r="F244" s="79" t="s">
        <v>344</v>
      </c>
      <c r="G244" s="79" t="s">
        <v>359</v>
      </c>
      <c r="H244" s="81" t="s">
        <v>10</v>
      </c>
      <c r="I244" s="82"/>
      <c r="J244" s="82"/>
      <c r="K244" s="83"/>
      <c r="L244" s="83"/>
      <c r="M244" s="83"/>
      <c r="N244" s="83"/>
      <c r="O244" s="83"/>
      <c r="P244" s="83"/>
      <c r="Q244" s="83"/>
      <c r="R244" s="83"/>
      <c r="S244" s="83"/>
      <c r="T244" s="83"/>
      <c r="U244" s="83"/>
      <c r="V244" s="83"/>
      <c r="W244" s="83"/>
      <c r="X244" s="83"/>
      <c r="Y244" s="83"/>
      <c r="Z244" s="83"/>
      <c r="AA244" s="83"/>
    </row>
    <row r="245" ht="55.5" customHeight="1">
      <c r="A245" s="79" t="s">
        <v>339</v>
      </c>
      <c r="B245" s="84"/>
      <c r="C245" s="79" t="s">
        <v>113</v>
      </c>
      <c r="D245" s="84"/>
      <c r="E245" s="79" t="s">
        <v>369</v>
      </c>
      <c r="F245" s="79" t="s">
        <v>344</v>
      </c>
      <c r="G245" s="79" t="s">
        <v>361</v>
      </c>
      <c r="H245" s="81" t="s">
        <v>10</v>
      </c>
      <c r="I245" s="82"/>
      <c r="J245" s="82"/>
      <c r="K245" s="83"/>
      <c r="L245" s="83"/>
      <c r="M245" s="83"/>
      <c r="N245" s="83"/>
      <c r="O245" s="83"/>
      <c r="P245" s="83"/>
      <c r="Q245" s="83"/>
      <c r="R245" s="83"/>
      <c r="S245" s="83"/>
      <c r="T245" s="83"/>
      <c r="U245" s="83"/>
      <c r="V245" s="83"/>
      <c r="W245" s="83"/>
      <c r="X245" s="83"/>
      <c r="Y245" s="83"/>
      <c r="Z245" s="83"/>
      <c r="AA245" s="83"/>
    </row>
    <row r="246" ht="55.5" customHeight="1">
      <c r="A246" s="79" t="s">
        <v>339</v>
      </c>
      <c r="B246" s="84"/>
      <c r="C246" s="79" t="s">
        <v>115</v>
      </c>
      <c r="D246" s="12"/>
      <c r="E246" s="79" t="s">
        <v>370</v>
      </c>
      <c r="F246" s="79" t="s">
        <v>344</v>
      </c>
      <c r="G246" s="79" t="s">
        <v>361</v>
      </c>
      <c r="H246" s="81" t="s">
        <v>10</v>
      </c>
      <c r="I246" s="82"/>
      <c r="J246" s="82"/>
      <c r="K246" s="83"/>
      <c r="L246" s="83"/>
      <c r="M246" s="83"/>
      <c r="N246" s="83"/>
      <c r="O246" s="83"/>
      <c r="P246" s="83"/>
      <c r="Q246" s="83"/>
      <c r="R246" s="83"/>
      <c r="S246" s="83"/>
      <c r="T246" s="83"/>
      <c r="U246" s="83"/>
      <c r="V246" s="83"/>
      <c r="W246" s="83"/>
      <c r="X246" s="83"/>
      <c r="Y246" s="83"/>
      <c r="Z246" s="83"/>
      <c r="AA246" s="83"/>
    </row>
    <row r="247" ht="55.5" customHeight="1">
      <c r="A247" s="79" t="s">
        <v>339</v>
      </c>
      <c r="B247" s="84"/>
      <c r="C247" s="79" t="s">
        <v>117</v>
      </c>
      <c r="D247" s="80" t="s">
        <v>371</v>
      </c>
      <c r="E247" s="79" t="s">
        <v>125</v>
      </c>
      <c r="F247" s="79" t="s">
        <v>344</v>
      </c>
      <c r="G247" s="79" t="s">
        <v>68</v>
      </c>
      <c r="H247" s="81" t="s">
        <v>10</v>
      </c>
      <c r="I247" s="82"/>
      <c r="J247" s="82"/>
      <c r="K247" s="83"/>
      <c r="L247" s="83"/>
      <c r="M247" s="83"/>
      <c r="N247" s="83"/>
      <c r="O247" s="83"/>
      <c r="P247" s="83"/>
      <c r="Q247" s="83"/>
      <c r="R247" s="83"/>
      <c r="S247" s="83"/>
      <c r="T247" s="83"/>
      <c r="U247" s="83"/>
      <c r="V247" s="83"/>
      <c r="W247" s="83"/>
      <c r="X247" s="83"/>
      <c r="Y247" s="83"/>
      <c r="Z247" s="83"/>
      <c r="AA247" s="83"/>
    </row>
    <row r="248" ht="55.5" customHeight="1">
      <c r="A248" s="79" t="s">
        <v>339</v>
      </c>
      <c r="B248" s="84"/>
      <c r="C248" s="79" t="s">
        <v>119</v>
      </c>
      <c r="D248" s="12"/>
      <c r="E248" s="79" t="s">
        <v>127</v>
      </c>
      <c r="F248" s="79" t="s">
        <v>344</v>
      </c>
      <c r="G248" s="79" t="s">
        <v>372</v>
      </c>
      <c r="H248" s="81" t="s">
        <v>10</v>
      </c>
      <c r="I248" s="85" t="s">
        <v>347</v>
      </c>
      <c r="J248" s="95"/>
      <c r="K248" s="83"/>
      <c r="L248" s="83"/>
      <c r="M248" s="83"/>
      <c r="N248" s="83"/>
      <c r="O248" s="83"/>
      <c r="P248" s="83"/>
      <c r="Q248" s="83"/>
      <c r="R248" s="83"/>
      <c r="S248" s="83"/>
      <c r="T248" s="83"/>
      <c r="U248" s="83"/>
      <c r="V248" s="83"/>
      <c r="W248" s="83"/>
      <c r="X248" s="83"/>
      <c r="Y248" s="83"/>
      <c r="Z248" s="83"/>
      <c r="AA248" s="83"/>
    </row>
    <row r="249" ht="55.5" customHeight="1">
      <c r="A249" s="79" t="s">
        <v>339</v>
      </c>
      <c r="B249" s="84"/>
      <c r="C249" s="79" t="s">
        <v>121</v>
      </c>
      <c r="D249" s="80" t="s">
        <v>373</v>
      </c>
      <c r="E249" s="79" t="s">
        <v>374</v>
      </c>
      <c r="F249" s="79" t="s">
        <v>344</v>
      </c>
      <c r="G249" s="79" t="s">
        <v>132</v>
      </c>
      <c r="H249" s="81" t="s">
        <v>10</v>
      </c>
      <c r="I249" s="82"/>
      <c r="J249" s="82"/>
      <c r="K249" s="83"/>
      <c r="L249" s="83"/>
      <c r="M249" s="83"/>
      <c r="N249" s="83"/>
      <c r="O249" s="83"/>
      <c r="P249" s="83"/>
      <c r="Q249" s="83"/>
      <c r="R249" s="83"/>
      <c r="S249" s="83"/>
      <c r="T249" s="83"/>
      <c r="U249" s="83"/>
      <c r="V249" s="83"/>
      <c r="W249" s="83"/>
      <c r="X249" s="83"/>
      <c r="Y249" s="83"/>
      <c r="Z249" s="83"/>
      <c r="AA249" s="83"/>
    </row>
    <row r="250" ht="55.5" customHeight="1">
      <c r="A250" s="79" t="s">
        <v>339</v>
      </c>
      <c r="B250" s="84"/>
      <c r="C250" s="79" t="s">
        <v>123</v>
      </c>
      <c r="D250" s="12"/>
      <c r="E250" s="86" t="s">
        <v>134</v>
      </c>
      <c r="F250" s="79" t="s">
        <v>344</v>
      </c>
      <c r="G250" s="79" t="s">
        <v>135</v>
      </c>
      <c r="H250" s="81" t="s">
        <v>10</v>
      </c>
      <c r="I250" s="82"/>
      <c r="J250" s="82"/>
      <c r="K250" s="83"/>
      <c r="L250" s="83"/>
      <c r="M250" s="83"/>
      <c r="N250" s="83"/>
      <c r="O250" s="83"/>
      <c r="P250" s="83"/>
      <c r="Q250" s="83"/>
      <c r="R250" s="83"/>
      <c r="S250" s="83"/>
      <c r="T250" s="83"/>
      <c r="U250" s="83"/>
      <c r="V250" s="83"/>
      <c r="W250" s="83"/>
      <c r="X250" s="83"/>
      <c r="Y250" s="83"/>
      <c r="Z250" s="83"/>
      <c r="AA250" s="83"/>
    </row>
    <row r="251" ht="55.5" customHeight="1">
      <c r="A251" s="79" t="s">
        <v>339</v>
      </c>
      <c r="B251" s="84"/>
      <c r="C251" s="79" t="s">
        <v>126</v>
      </c>
      <c r="D251" s="80" t="s">
        <v>375</v>
      </c>
      <c r="E251" s="86" t="s">
        <v>134</v>
      </c>
      <c r="F251" s="79" t="s">
        <v>344</v>
      </c>
      <c r="G251" s="79" t="s">
        <v>143</v>
      </c>
      <c r="H251" s="81" t="s">
        <v>10</v>
      </c>
      <c r="I251" s="82"/>
      <c r="J251" s="82"/>
      <c r="K251" s="83"/>
      <c r="L251" s="83"/>
      <c r="M251" s="83"/>
      <c r="N251" s="83"/>
      <c r="O251" s="83"/>
      <c r="P251" s="83"/>
      <c r="Q251" s="83"/>
      <c r="R251" s="83"/>
      <c r="S251" s="83"/>
      <c r="T251" s="83"/>
      <c r="U251" s="83"/>
      <c r="V251" s="83"/>
      <c r="W251" s="83"/>
      <c r="X251" s="83"/>
      <c r="Y251" s="83"/>
      <c r="Z251" s="83"/>
      <c r="AA251" s="83"/>
    </row>
    <row r="252" ht="55.5" customHeight="1">
      <c r="A252" s="79" t="s">
        <v>339</v>
      </c>
      <c r="B252" s="84"/>
      <c r="C252" s="79" t="s">
        <v>129</v>
      </c>
      <c r="D252" s="84"/>
      <c r="E252" s="79" t="s">
        <v>145</v>
      </c>
      <c r="F252" s="79" t="s">
        <v>376</v>
      </c>
      <c r="G252" s="79" t="s">
        <v>377</v>
      </c>
      <c r="H252" s="81" t="s">
        <v>10</v>
      </c>
      <c r="I252" s="82"/>
      <c r="J252" s="82"/>
      <c r="K252" s="83"/>
      <c r="L252" s="83"/>
      <c r="M252" s="83"/>
      <c r="N252" s="83"/>
      <c r="O252" s="83"/>
      <c r="P252" s="83"/>
      <c r="Q252" s="83"/>
      <c r="R252" s="83"/>
      <c r="S252" s="83"/>
      <c r="T252" s="83"/>
      <c r="U252" s="83"/>
      <c r="V252" s="83"/>
      <c r="W252" s="83"/>
      <c r="X252" s="83"/>
      <c r="Y252" s="83"/>
      <c r="Z252" s="83"/>
      <c r="AA252" s="83"/>
    </row>
    <row r="253" ht="55.5" customHeight="1">
      <c r="A253" s="79" t="s">
        <v>339</v>
      </c>
      <c r="B253" s="84"/>
      <c r="C253" s="79" t="s">
        <v>133</v>
      </c>
      <c r="D253" s="84"/>
      <c r="E253" s="79" t="s">
        <v>378</v>
      </c>
      <c r="F253" s="79" t="s">
        <v>379</v>
      </c>
      <c r="G253" s="79" t="s">
        <v>135</v>
      </c>
      <c r="H253" s="81" t="s">
        <v>10</v>
      </c>
      <c r="I253" s="82"/>
      <c r="J253" s="82"/>
      <c r="K253" s="83"/>
      <c r="L253" s="83"/>
      <c r="M253" s="83"/>
      <c r="N253" s="83"/>
      <c r="O253" s="83"/>
      <c r="P253" s="83"/>
      <c r="Q253" s="83"/>
      <c r="R253" s="83"/>
      <c r="S253" s="83"/>
      <c r="T253" s="83"/>
      <c r="U253" s="83"/>
      <c r="V253" s="83"/>
      <c r="W253" s="83"/>
      <c r="X253" s="83"/>
      <c r="Y253" s="83"/>
      <c r="Z253" s="83"/>
      <c r="AA253" s="83"/>
    </row>
    <row r="254" ht="55.5" customHeight="1">
      <c r="A254" s="79" t="s">
        <v>339</v>
      </c>
      <c r="B254" s="84"/>
      <c r="C254" s="79" t="s">
        <v>136</v>
      </c>
      <c r="D254" s="84"/>
      <c r="E254" s="79" t="s">
        <v>380</v>
      </c>
      <c r="F254" s="79" t="s">
        <v>381</v>
      </c>
      <c r="G254" s="79" t="s">
        <v>135</v>
      </c>
      <c r="H254" s="81" t="s">
        <v>10</v>
      </c>
      <c r="I254" s="82"/>
      <c r="J254" s="82"/>
      <c r="K254" s="83"/>
      <c r="L254" s="83"/>
      <c r="M254" s="83"/>
      <c r="N254" s="83"/>
      <c r="O254" s="83"/>
      <c r="P254" s="83"/>
      <c r="Q254" s="83"/>
      <c r="R254" s="83"/>
      <c r="S254" s="83"/>
      <c r="T254" s="83"/>
      <c r="U254" s="83"/>
      <c r="V254" s="83"/>
      <c r="W254" s="83"/>
      <c r="X254" s="83"/>
      <c r="Y254" s="83"/>
      <c r="Z254" s="83"/>
      <c r="AA254" s="83"/>
    </row>
    <row r="255" ht="55.5" customHeight="1">
      <c r="A255" s="79" t="s">
        <v>339</v>
      </c>
      <c r="B255" s="84"/>
      <c r="C255" s="79" t="s">
        <v>139</v>
      </c>
      <c r="D255" s="84"/>
      <c r="E255" s="79" t="s">
        <v>382</v>
      </c>
      <c r="F255" s="79" t="s">
        <v>383</v>
      </c>
      <c r="G255" s="79" t="s">
        <v>384</v>
      </c>
      <c r="H255" s="81" t="s">
        <v>10</v>
      </c>
      <c r="I255" s="82"/>
      <c r="J255" s="82"/>
      <c r="K255" s="83"/>
      <c r="L255" s="83"/>
      <c r="M255" s="83"/>
      <c r="N255" s="83"/>
      <c r="O255" s="83"/>
      <c r="P255" s="83"/>
      <c r="Q255" s="83"/>
      <c r="R255" s="83"/>
      <c r="S255" s="83"/>
      <c r="T255" s="83"/>
      <c r="U255" s="83"/>
      <c r="V255" s="83"/>
      <c r="W255" s="83"/>
      <c r="X255" s="83"/>
      <c r="Y255" s="83"/>
      <c r="Z255" s="83"/>
      <c r="AA255" s="83"/>
    </row>
    <row r="256" ht="55.5" customHeight="1">
      <c r="A256" s="79" t="s">
        <v>339</v>
      </c>
      <c r="B256" s="84"/>
      <c r="C256" s="79" t="s">
        <v>144</v>
      </c>
      <c r="D256" s="12"/>
      <c r="E256" s="86" t="s">
        <v>385</v>
      </c>
      <c r="F256" s="79" t="s">
        <v>386</v>
      </c>
      <c r="G256" s="79" t="s">
        <v>161</v>
      </c>
      <c r="H256" s="81" t="s">
        <v>10</v>
      </c>
      <c r="I256" s="82"/>
      <c r="J256" s="82"/>
      <c r="K256" s="83"/>
      <c r="L256" s="83"/>
      <c r="M256" s="83"/>
      <c r="N256" s="83"/>
      <c r="O256" s="83"/>
      <c r="P256" s="83"/>
      <c r="Q256" s="83"/>
      <c r="R256" s="83"/>
      <c r="S256" s="83"/>
      <c r="T256" s="83"/>
      <c r="U256" s="83"/>
      <c r="V256" s="83"/>
      <c r="W256" s="83"/>
      <c r="X256" s="83"/>
      <c r="Y256" s="83"/>
      <c r="Z256" s="83"/>
      <c r="AA256" s="83"/>
    </row>
    <row r="257" ht="55.5" customHeight="1">
      <c r="A257" s="79" t="s">
        <v>339</v>
      </c>
      <c r="B257" s="84"/>
      <c r="C257" s="79" t="s">
        <v>148</v>
      </c>
      <c r="D257" s="80" t="s">
        <v>387</v>
      </c>
      <c r="E257" s="79" t="s">
        <v>388</v>
      </c>
      <c r="F257" s="79" t="s">
        <v>344</v>
      </c>
      <c r="G257" s="79" t="s">
        <v>132</v>
      </c>
      <c r="H257" s="81" t="s">
        <v>10</v>
      </c>
      <c r="I257" s="85"/>
      <c r="J257" s="82"/>
      <c r="K257" s="83"/>
      <c r="L257" s="83"/>
      <c r="M257" s="83"/>
      <c r="N257" s="83"/>
      <c r="O257" s="83"/>
      <c r="P257" s="83"/>
      <c r="Q257" s="83"/>
      <c r="R257" s="83"/>
      <c r="S257" s="83"/>
      <c r="T257" s="83"/>
      <c r="U257" s="83"/>
      <c r="V257" s="83"/>
      <c r="W257" s="83"/>
      <c r="X257" s="83"/>
      <c r="Y257" s="83"/>
      <c r="Z257" s="83"/>
      <c r="AA257" s="83"/>
    </row>
    <row r="258" ht="55.5" customHeight="1">
      <c r="A258" s="79" t="s">
        <v>339</v>
      </c>
      <c r="B258" s="84"/>
      <c r="C258" s="79" t="s">
        <v>151</v>
      </c>
      <c r="D258" s="84"/>
      <c r="E258" s="79" t="s">
        <v>389</v>
      </c>
      <c r="F258" s="79" t="s">
        <v>344</v>
      </c>
      <c r="G258" s="79" t="s">
        <v>132</v>
      </c>
      <c r="H258" s="81" t="s">
        <v>10</v>
      </c>
      <c r="I258" s="85"/>
      <c r="J258" s="82"/>
      <c r="K258" s="83"/>
      <c r="L258" s="83"/>
      <c r="M258" s="83"/>
      <c r="N258" s="83"/>
      <c r="O258" s="83"/>
      <c r="P258" s="83"/>
      <c r="Q258" s="83"/>
      <c r="R258" s="83"/>
      <c r="S258" s="83"/>
      <c r="T258" s="83"/>
      <c r="U258" s="83"/>
      <c r="V258" s="83"/>
      <c r="W258" s="83"/>
      <c r="X258" s="83"/>
      <c r="Y258" s="83"/>
      <c r="Z258" s="83"/>
      <c r="AA258" s="83"/>
    </row>
    <row r="259" ht="55.5" customHeight="1">
      <c r="A259" s="79" t="s">
        <v>339</v>
      </c>
      <c r="B259" s="84"/>
      <c r="C259" s="79" t="s">
        <v>154</v>
      </c>
      <c r="D259" s="84"/>
      <c r="E259" s="79" t="s">
        <v>390</v>
      </c>
      <c r="F259" s="79" t="s">
        <v>344</v>
      </c>
      <c r="G259" s="79" t="s">
        <v>132</v>
      </c>
      <c r="H259" s="81" t="s">
        <v>10</v>
      </c>
      <c r="I259" s="85"/>
      <c r="J259" s="82"/>
      <c r="K259" s="83"/>
      <c r="L259" s="83"/>
      <c r="M259" s="83"/>
      <c r="N259" s="83"/>
      <c r="O259" s="83"/>
      <c r="P259" s="83"/>
      <c r="Q259" s="83"/>
      <c r="R259" s="83"/>
      <c r="S259" s="83"/>
      <c r="T259" s="83"/>
      <c r="U259" s="83"/>
      <c r="V259" s="83"/>
      <c r="W259" s="83"/>
      <c r="X259" s="83"/>
      <c r="Y259" s="83"/>
      <c r="Z259" s="83"/>
      <c r="AA259" s="83"/>
    </row>
    <row r="260" ht="55.5" customHeight="1">
      <c r="A260" s="79" t="s">
        <v>339</v>
      </c>
      <c r="B260" s="84"/>
      <c r="C260" s="79" t="s">
        <v>158</v>
      </c>
      <c r="D260" s="12"/>
      <c r="E260" s="79" t="s">
        <v>391</v>
      </c>
      <c r="F260" s="79" t="s">
        <v>344</v>
      </c>
      <c r="G260" s="79" t="s">
        <v>132</v>
      </c>
      <c r="H260" s="81" t="s">
        <v>10</v>
      </c>
      <c r="I260" s="85"/>
      <c r="J260" s="82"/>
      <c r="K260" s="83"/>
      <c r="L260" s="83"/>
      <c r="M260" s="83"/>
      <c r="N260" s="83"/>
      <c r="O260" s="83"/>
      <c r="P260" s="83"/>
      <c r="Q260" s="83"/>
      <c r="R260" s="83"/>
      <c r="S260" s="83"/>
      <c r="T260" s="83"/>
      <c r="U260" s="83"/>
      <c r="V260" s="83"/>
      <c r="W260" s="83"/>
      <c r="X260" s="83"/>
      <c r="Y260" s="83"/>
      <c r="Z260" s="83"/>
      <c r="AA260" s="83"/>
    </row>
    <row r="261" ht="55.5" customHeight="1">
      <c r="A261" s="79" t="s">
        <v>339</v>
      </c>
      <c r="B261" s="84"/>
      <c r="C261" s="79" t="s">
        <v>162</v>
      </c>
      <c r="D261" s="80" t="s">
        <v>392</v>
      </c>
      <c r="E261" s="79" t="s">
        <v>393</v>
      </c>
      <c r="F261" s="79" t="s">
        <v>344</v>
      </c>
      <c r="G261" s="79" t="s">
        <v>132</v>
      </c>
      <c r="H261" s="81" t="s">
        <v>10</v>
      </c>
      <c r="I261" s="85"/>
      <c r="J261" s="82"/>
      <c r="K261" s="83"/>
      <c r="L261" s="83"/>
      <c r="M261" s="83"/>
      <c r="N261" s="83"/>
      <c r="O261" s="83"/>
      <c r="P261" s="83"/>
      <c r="Q261" s="83"/>
      <c r="R261" s="83"/>
      <c r="S261" s="83"/>
      <c r="T261" s="83"/>
      <c r="U261" s="83"/>
      <c r="V261" s="83"/>
      <c r="W261" s="83"/>
      <c r="X261" s="83"/>
      <c r="Y261" s="83"/>
      <c r="Z261" s="83"/>
      <c r="AA261" s="83"/>
    </row>
    <row r="262" ht="55.5" customHeight="1">
      <c r="A262" s="79" t="s">
        <v>339</v>
      </c>
      <c r="B262" s="84"/>
      <c r="C262" s="79" t="s">
        <v>165</v>
      </c>
      <c r="D262" s="84"/>
      <c r="E262" s="79" t="s">
        <v>178</v>
      </c>
      <c r="F262" s="79" t="s">
        <v>344</v>
      </c>
      <c r="G262" s="79" t="s">
        <v>132</v>
      </c>
      <c r="H262" s="81" t="s">
        <v>10</v>
      </c>
      <c r="I262" s="85"/>
      <c r="J262" s="82"/>
      <c r="K262" s="83"/>
      <c r="L262" s="83"/>
      <c r="M262" s="83"/>
      <c r="N262" s="83"/>
      <c r="O262" s="83"/>
      <c r="P262" s="83"/>
      <c r="Q262" s="83"/>
      <c r="R262" s="83"/>
      <c r="S262" s="83"/>
      <c r="T262" s="83"/>
      <c r="U262" s="83"/>
      <c r="V262" s="83"/>
      <c r="W262" s="83"/>
      <c r="X262" s="83"/>
      <c r="Y262" s="83"/>
      <c r="Z262" s="83"/>
      <c r="AA262" s="83"/>
    </row>
    <row r="263" ht="55.5" customHeight="1">
      <c r="A263" s="79" t="s">
        <v>339</v>
      </c>
      <c r="B263" s="84"/>
      <c r="C263" s="79" t="s">
        <v>167</v>
      </c>
      <c r="D263" s="84"/>
      <c r="E263" s="79" t="s">
        <v>180</v>
      </c>
      <c r="F263" s="79" t="s">
        <v>344</v>
      </c>
      <c r="G263" s="79" t="s">
        <v>132</v>
      </c>
      <c r="H263" s="81" t="s">
        <v>10</v>
      </c>
      <c r="I263" s="85"/>
      <c r="J263" s="82"/>
      <c r="K263" s="83"/>
      <c r="L263" s="83"/>
      <c r="M263" s="83"/>
      <c r="N263" s="83"/>
      <c r="O263" s="83"/>
      <c r="P263" s="83"/>
      <c r="Q263" s="83"/>
      <c r="R263" s="83"/>
      <c r="S263" s="83"/>
      <c r="T263" s="83"/>
      <c r="U263" s="83"/>
      <c r="V263" s="83"/>
      <c r="W263" s="83"/>
      <c r="X263" s="83"/>
      <c r="Y263" s="83"/>
      <c r="Z263" s="83"/>
      <c r="AA263" s="83"/>
    </row>
    <row r="264" ht="55.5" customHeight="1">
      <c r="A264" s="79" t="s">
        <v>339</v>
      </c>
      <c r="B264" s="84"/>
      <c r="C264" s="79" t="s">
        <v>169</v>
      </c>
      <c r="D264" s="84"/>
      <c r="E264" s="79" t="s">
        <v>247</v>
      </c>
      <c r="F264" s="79" t="s">
        <v>344</v>
      </c>
      <c r="G264" s="79" t="s">
        <v>132</v>
      </c>
      <c r="H264" s="81" t="s">
        <v>10</v>
      </c>
      <c r="I264" s="85"/>
      <c r="J264" s="82"/>
      <c r="K264" s="83"/>
      <c r="L264" s="83"/>
      <c r="M264" s="83"/>
      <c r="N264" s="83"/>
      <c r="O264" s="83"/>
      <c r="P264" s="83"/>
      <c r="Q264" s="83"/>
      <c r="R264" s="83"/>
      <c r="S264" s="83"/>
      <c r="T264" s="83"/>
      <c r="U264" s="83"/>
      <c r="V264" s="83"/>
      <c r="W264" s="83"/>
      <c r="X264" s="83"/>
      <c r="Y264" s="83"/>
      <c r="Z264" s="83"/>
      <c r="AA264" s="83"/>
    </row>
    <row r="265" ht="55.5" customHeight="1">
      <c r="A265" s="79" t="s">
        <v>339</v>
      </c>
      <c r="B265" s="84"/>
      <c r="C265" s="79" t="s">
        <v>171</v>
      </c>
      <c r="D265" s="84"/>
      <c r="E265" s="79" t="s">
        <v>248</v>
      </c>
      <c r="F265" s="79" t="s">
        <v>344</v>
      </c>
      <c r="G265" s="79" t="s">
        <v>132</v>
      </c>
      <c r="H265" s="81" t="s">
        <v>10</v>
      </c>
      <c r="I265" s="85"/>
      <c r="J265" s="82"/>
      <c r="K265" s="83"/>
      <c r="L265" s="83"/>
      <c r="M265" s="83"/>
      <c r="N265" s="83"/>
      <c r="O265" s="83"/>
      <c r="P265" s="83"/>
      <c r="Q265" s="83"/>
      <c r="R265" s="83"/>
      <c r="S265" s="83"/>
      <c r="T265" s="83"/>
      <c r="U265" s="83"/>
      <c r="V265" s="83"/>
      <c r="W265" s="83"/>
      <c r="X265" s="83"/>
      <c r="Y265" s="83"/>
      <c r="Z265" s="83"/>
      <c r="AA265" s="83"/>
    </row>
    <row r="266" ht="55.5" customHeight="1">
      <c r="A266" s="79" t="s">
        <v>339</v>
      </c>
      <c r="B266" s="84"/>
      <c r="C266" s="79" t="s">
        <v>173</v>
      </c>
      <c r="D266" s="84"/>
      <c r="E266" s="79" t="s">
        <v>186</v>
      </c>
      <c r="F266" s="79" t="s">
        <v>344</v>
      </c>
      <c r="G266" s="79" t="s">
        <v>132</v>
      </c>
      <c r="H266" s="81" t="s">
        <v>10</v>
      </c>
      <c r="I266" s="85"/>
      <c r="J266" s="82"/>
      <c r="K266" s="83"/>
      <c r="L266" s="83"/>
      <c r="M266" s="83"/>
      <c r="N266" s="83"/>
      <c r="O266" s="83"/>
      <c r="P266" s="83"/>
      <c r="Q266" s="83"/>
      <c r="R266" s="83"/>
      <c r="S266" s="83"/>
      <c r="T266" s="83"/>
      <c r="U266" s="83"/>
      <c r="V266" s="83"/>
      <c r="W266" s="83"/>
      <c r="X266" s="83"/>
      <c r="Y266" s="83"/>
      <c r="Z266" s="83"/>
      <c r="AA266" s="83"/>
    </row>
    <row r="267" ht="55.5" customHeight="1">
      <c r="A267" s="79" t="s">
        <v>339</v>
      </c>
      <c r="B267" s="84"/>
      <c r="C267" s="79" t="s">
        <v>244</v>
      </c>
      <c r="D267" s="12"/>
      <c r="E267" s="79" t="s">
        <v>188</v>
      </c>
      <c r="F267" s="79" t="s">
        <v>344</v>
      </c>
      <c r="G267" s="79" t="s">
        <v>132</v>
      </c>
      <c r="H267" s="81" t="s">
        <v>10</v>
      </c>
      <c r="I267" s="85"/>
      <c r="J267" s="82"/>
      <c r="K267" s="83"/>
      <c r="L267" s="83"/>
      <c r="M267" s="83"/>
      <c r="N267" s="83"/>
      <c r="O267" s="83"/>
      <c r="P267" s="83"/>
      <c r="Q267" s="83"/>
      <c r="R267" s="83"/>
      <c r="S267" s="83"/>
      <c r="T267" s="83"/>
      <c r="U267" s="83"/>
      <c r="V267" s="83"/>
      <c r="W267" s="83"/>
      <c r="X267" s="83"/>
      <c r="Y267" s="83"/>
      <c r="Z267" s="83"/>
      <c r="AA267" s="83"/>
    </row>
    <row r="268" ht="55.5" customHeight="1">
      <c r="A268" s="79" t="s">
        <v>339</v>
      </c>
      <c r="B268" s="84"/>
      <c r="C268" s="79" t="s">
        <v>177</v>
      </c>
      <c r="D268" s="79" t="s">
        <v>394</v>
      </c>
      <c r="E268" s="79" t="s">
        <v>191</v>
      </c>
      <c r="F268" s="79" t="s">
        <v>344</v>
      </c>
      <c r="G268" s="79" t="s">
        <v>132</v>
      </c>
      <c r="H268" s="81" t="s">
        <v>10</v>
      </c>
      <c r="I268" s="85"/>
      <c r="J268" s="82"/>
      <c r="K268" s="83"/>
      <c r="L268" s="83"/>
      <c r="M268" s="83"/>
      <c r="N268" s="83"/>
      <c r="O268" s="83"/>
      <c r="P268" s="83"/>
      <c r="Q268" s="83"/>
      <c r="R268" s="83"/>
      <c r="S268" s="83"/>
      <c r="T268" s="83"/>
      <c r="U268" s="83"/>
      <c r="V268" s="83"/>
      <c r="W268" s="83"/>
      <c r="X268" s="83"/>
      <c r="Y268" s="83"/>
      <c r="Z268" s="83"/>
      <c r="AA268" s="83"/>
    </row>
    <row r="269" ht="55.5" customHeight="1">
      <c r="A269" s="79" t="s">
        <v>339</v>
      </c>
      <c r="B269" s="84"/>
      <c r="C269" s="79" t="s">
        <v>179</v>
      </c>
      <c r="D269" s="86" t="s">
        <v>395</v>
      </c>
      <c r="E269" s="79" t="s">
        <v>194</v>
      </c>
      <c r="F269" s="79" t="s">
        <v>344</v>
      </c>
      <c r="G269" s="79" t="s">
        <v>195</v>
      </c>
      <c r="H269" s="81" t="s">
        <v>10</v>
      </c>
      <c r="I269" s="85"/>
      <c r="J269" s="82"/>
      <c r="K269" s="83"/>
      <c r="L269" s="83"/>
      <c r="M269" s="83"/>
      <c r="N269" s="83"/>
      <c r="O269" s="83"/>
      <c r="P269" s="83"/>
      <c r="Q269" s="83"/>
      <c r="R269" s="83"/>
      <c r="S269" s="83"/>
      <c r="T269" s="83"/>
      <c r="U269" s="83"/>
      <c r="V269" s="83"/>
      <c r="W269" s="83"/>
      <c r="X269" s="83"/>
      <c r="Y269" s="83"/>
      <c r="Z269" s="83"/>
      <c r="AA269" s="83"/>
    </row>
    <row r="270" ht="55.5" customHeight="1">
      <c r="A270" s="79" t="s">
        <v>339</v>
      </c>
      <c r="B270" s="84"/>
      <c r="C270" s="79" t="s">
        <v>181</v>
      </c>
      <c r="D270" s="86" t="s">
        <v>396</v>
      </c>
      <c r="E270" s="79" t="s">
        <v>203</v>
      </c>
      <c r="F270" s="79" t="s">
        <v>344</v>
      </c>
      <c r="G270" s="79" t="s">
        <v>397</v>
      </c>
      <c r="H270" s="81" t="s">
        <v>10</v>
      </c>
      <c r="I270" s="85"/>
      <c r="J270" s="82"/>
      <c r="K270" s="83"/>
      <c r="L270" s="83"/>
      <c r="M270" s="83"/>
      <c r="N270" s="83"/>
      <c r="O270" s="83"/>
      <c r="P270" s="83"/>
      <c r="Q270" s="83"/>
      <c r="R270" s="83"/>
      <c r="S270" s="83"/>
      <c r="T270" s="83"/>
      <c r="U270" s="83"/>
      <c r="V270" s="83"/>
      <c r="W270" s="83"/>
      <c r="X270" s="83"/>
      <c r="Y270" s="83"/>
      <c r="Z270" s="83"/>
      <c r="AA270" s="83"/>
    </row>
    <row r="271" ht="55.5" customHeight="1">
      <c r="A271" s="79" t="s">
        <v>339</v>
      </c>
      <c r="B271" s="84"/>
      <c r="C271" s="79" t="s">
        <v>183</v>
      </c>
      <c r="D271" s="80" t="s">
        <v>398</v>
      </c>
      <c r="E271" s="79" t="s">
        <v>207</v>
      </c>
      <c r="F271" s="79" t="s">
        <v>344</v>
      </c>
      <c r="G271" s="79" t="s">
        <v>399</v>
      </c>
      <c r="H271" s="81" t="s">
        <v>10</v>
      </c>
      <c r="I271" s="85"/>
      <c r="J271" s="82"/>
      <c r="K271" s="83"/>
      <c r="L271" s="83"/>
      <c r="M271" s="83"/>
      <c r="N271" s="83"/>
      <c r="O271" s="83"/>
      <c r="P271" s="83"/>
      <c r="Q271" s="83"/>
      <c r="R271" s="83"/>
      <c r="S271" s="83"/>
      <c r="T271" s="83"/>
      <c r="U271" s="83"/>
      <c r="V271" s="83"/>
      <c r="W271" s="83"/>
      <c r="X271" s="83"/>
      <c r="Y271" s="83"/>
      <c r="Z271" s="83"/>
      <c r="AA271" s="83"/>
    </row>
    <row r="272" ht="55.5" customHeight="1">
      <c r="A272" s="79" t="s">
        <v>339</v>
      </c>
      <c r="B272" s="84"/>
      <c r="C272" s="79" t="s">
        <v>185</v>
      </c>
      <c r="D272" s="84"/>
      <c r="E272" s="79" t="s">
        <v>209</v>
      </c>
      <c r="F272" s="79" t="s">
        <v>344</v>
      </c>
      <c r="G272" s="79" t="s">
        <v>400</v>
      </c>
      <c r="H272" s="81" t="s">
        <v>10</v>
      </c>
      <c r="I272" s="85"/>
      <c r="J272" s="82"/>
      <c r="K272" s="83"/>
      <c r="L272" s="83"/>
      <c r="M272" s="83"/>
      <c r="N272" s="83"/>
      <c r="O272" s="83"/>
      <c r="P272" s="83"/>
      <c r="Q272" s="83"/>
      <c r="R272" s="83"/>
      <c r="S272" s="83"/>
      <c r="T272" s="83"/>
      <c r="U272" s="83"/>
      <c r="V272" s="83"/>
      <c r="W272" s="83"/>
      <c r="X272" s="83"/>
      <c r="Y272" s="83"/>
      <c r="Z272" s="83"/>
      <c r="AA272" s="83"/>
    </row>
    <row r="273" ht="55.5" customHeight="1">
      <c r="A273" s="79" t="s">
        <v>339</v>
      </c>
      <c r="B273" s="84"/>
      <c r="C273" s="79" t="s">
        <v>187</v>
      </c>
      <c r="D273" s="84"/>
      <c r="E273" s="79" t="s">
        <v>401</v>
      </c>
      <c r="F273" s="79" t="s">
        <v>344</v>
      </c>
      <c r="G273" s="79" t="s">
        <v>400</v>
      </c>
      <c r="H273" s="81" t="s">
        <v>10</v>
      </c>
      <c r="I273" s="85"/>
      <c r="J273" s="82"/>
      <c r="K273" s="83"/>
      <c r="L273" s="83"/>
      <c r="M273" s="83"/>
      <c r="N273" s="83"/>
      <c r="O273" s="83"/>
      <c r="P273" s="83"/>
      <c r="Q273" s="83"/>
      <c r="R273" s="83"/>
      <c r="S273" s="83"/>
      <c r="T273" s="83"/>
      <c r="U273" s="83"/>
      <c r="V273" s="83"/>
      <c r="W273" s="83"/>
      <c r="X273" s="83"/>
      <c r="Y273" s="83"/>
      <c r="Z273" s="83"/>
      <c r="AA273" s="83"/>
    </row>
    <row r="274" ht="55.5" customHeight="1">
      <c r="A274" s="79" t="s">
        <v>339</v>
      </c>
      <c r="B274" s="84"/>
      <c r="C274" s="79" t="s">
        <v>189</v>
      </c>
      <c r="D274" s="12"/>
      <c r="E274" s="79" t="s">
        <v>214</v>
      </c>
      <c r="F274" s="79" t="s">
        <v>344</v>
      </c>
      <c r="G274" s="79" t="s">
        <v>400</v>
      </c>
      <c r="H274" s="81" t="s">
        <v>10</v>
      </c>
      <c r="I274" s="85"/>
      <c r="J274" s="82"/>
      <c r="K274" s="83"/>
      <c r="L274" s="83"/>
      <c r="M274" s="83"/>
      <c r="N274" s="83"/>
      <c r="O274" s="83"/>
      <c r="P274" s="83"/>
      <c r="Q274" s="83"/>
      <c r="R274" s="83"/>
      <c r="S274" s="83"/>
      <c r="T274" s="83"/>
      <c r="U274" s="83"/>
      <c r="V274" s="83"/>
      <c r="W274" s="83"/>
      <c r="X274" s="83"/>
      <c r="Y274" s="83"/>
      <c r="Z274" s="83"/>
      <c r="AA274" s="83"/>
    </row>
    <row r="275" ht="55.5" customHeight="1">
      <c r="A275" s="79" t="s">
        <v>339</v>
      </c>
      <c r="B275" s="84"/>
      <c r="C275" s="79" t="s">
        <v>192</v>
      </c>
      <c r="D275" s="87" t="s">
        <v>402</v>
      </c>
      <c r="E275" s="79" t="s">
        <v>403</v>
      </c>
      <c r="F275" s="79" t="s">
        <v>344</v>
      </c>
      <c r="G275" s="79" t="s">
        <v>404</v>
      </c>
      <c r="H275" s="81" t="s">
        <v>10</v>
      </c>
      <c r="I275" s="85"/>
      <c r="J275" s="82"/>
      <c r="K275" s="83"/>
      <c r="L275" s="83"/>
      <c r="M275" s="83"/>
      <c r="N275" s="83"/>
      <c r="O275" s="83"/>
      <c r="P275" s="83"/>
      <c r="Q275" s="83"/>
      <c r="R275" s="83"/>
      <c r="S275" s="83"/>
      <c r="T275" s="83"/>
      <c r="U275" s="83"/>
      <c r="V275" s="83"/>
      <c r="W275" s="83"/>
      <c r="X275" s="83"/>
      <c r="Y275" s="83"/>
      <c r="Z275" s="83"/>
      <c r="AA275" s="83"/>
    </row>
    <row r="276" ht="55.5" customHeight="1">
      <c r="A276" s="79" t="s">
        <v>339</v>
      </c>
      <c r="B276" s="84"/>
      <c r="C276" s="79" t="s">
        <v>196</v>
      </c>
      <c r="D276" s="84"/>
      <c r="E276" s="79" t="s">
        <v>405</v>
      </c>
      <c r="F276" s="79" t="s">
        <v>344</v>
      </c>
      <c r="G276" s="79" t="s">
        <v>406</v>
      </c>
      <c r="H276" s="81" t="s">
        <v>10</v>
      </c>
      <c r="I276" s="85"/>
      <c r="J276" s="82"/>
      <c r="K276" s="83"/>
      <c r="L276" s="83"/>
      <c r="M276" s="83"/>
      <c r="N276" s="83"/>
      <c r="O276" s="83"/>
      <c r="P276" s="83"/>
      <c r="Q276" s="83"/>
      <c r="R276" s="83"/>
      <c r="S276" s="83"/>
      <c r="T276" s="83"/>
      <c r="U276" s="83"/>
      <c r="V276" s="83"/>
      <c r="W276" s="83"/>
      <c r="X276" s="83"/>
      <c r="Y276" s="83"/>
      <c r="Z276" s="83"/>
      <c r="AA276" s="83"/>
    </row>
    <row r="277" ht="55.5" customHeight="1">
      <c r="A277" s="79" t="s">
        <v>339</v>
      </c>
      <c r="B277" s="84"/>
      <c r="C277" s="79" t="s">
        <v>198</v>
      </c>
      <c r="D277" s="84"/>
      <c r="E277" s="79" t="s">
        <v>407</v>
      </c>
      <c r="F277" s="79" t="s">
        <v>344</v>
      </c>
      <c r="G277" s="79" t="s">
        <v>408</v>
      </c>
      <c r="H277" s="81" t="s">
        <v>10</v>
      </c>
      <c r="I277" s="85"/>
      <c r="J277" s="82"/>
      <c r="K277" s="83"/>
      <c r="L277" s="83"/>
      <c r="M277" s="83"/>
      <c r="N277" s="83"/>
      <c r="O277" s="83"/>
      <c r="P277" s="83"/>
      <c r="Q277" s="83"/>
      <c r="R277" s="83"/>
      <c r="S277" s="83"/>
      <c r="T277" s="83"/>
      <c r="U277" s="83"/>
      <c r="V277" s="83"/>
      <c r="W277" s="83"/>
      <c r="X277" s="83"/>
      <c r="Y277" s="83"/>
      <c r="Z277" s="83"/>
      <c r="AA277" s="83"/>
    </row>
    <row r="278" ht="55.5" customHeight="1">
      <c r="A278" s="79" t="s">
        <v>339</v>
      </c>
      <c r="B278" s="84"/>
      <c r="C278" s="79" t="s">
        <v>201</v>
      </c>
      <c r="D278" s="84"/>
      <c r="E278" s="79" t="s">
        <v>409</v>
      </c>
      <c r="F278" s="79" t="s">
        <v>344</v>
      </c>
      <c r="G278" s="79" t="s">
        <v>410</v>
      </c>
      <c r="H278" s="81" t="s">
        <v>10</v>
      </c>
      <c r="I278" s="85"/>
      <c r="J278" s="82"/>
      <c r="K278" s="83"/>
      <c r="L278" s="83"/>
      <c r="M278" s="83"/>
      <c r="N278" s="83"/>
      <c r="O278" s="83"/>
      <c r="P278" s="83"/>
      <c r="Q278" s="83"/>
      <c r="R278" s="83"/>
      <c r="S278" s="83"/>
      <c r="T278" s="83"/>
      <c r="U278" s="83"/>
      <c r="V278" s="83"/>
      <c r="W278" s="83"/>
      <c r="X278" s="83"/>
      <c r="Y278" s="83"/>
      <c r="Z278" s="83"/>
      <c r="AA278" s="83"/>
    </row>
    <row r="279" ht="55.5" customHeight="1">
      <c r="A279" s="79" t="s">
        <v>339</v>
      </c>
      <c r="B279" s="84"/>
      <c r="C279" s="79" t="s">
        <v>205</v>
      </c>
      <c r="D279" s="84"/>
      <c r="E279" s="86" t="s">
        <v>411</v>
      </c>
      <c r="F279" s="79" t="s">
        <v>344</v>
      </c>
      <c r="G279" s="79" t="s">
        <v>412</v>
      </c>
      <c r="H279" s="81" t="s">
        <v>10</v>
      </c>
      <c r="I279" s="85"/>
      <c r="J279" s="82"/>
      <c r="K279" s="83"/>
      <c r="L279" s="83"/>
      <c r="M279" s="83"/>
      <c r="N279" s="83"/>
      <c r="O279" s="83"/>
      <c r="P279" s="83"/>
      <c r="Q279" s="83"/>
      <c r="R279" s="83"/>
      <c r="S279" s="83"/>
      <c r="T279" s="83"/>
      <c r="U279" s="83"/>
      <c r="V279" s="83"/>
      <c r="W279" s="83"/>
      <c r="X279" s="83"/>
      <c r="Y279" s="83"/>
      <c r="Z279" s="83"/>
      <c r="AA279" s="83"/>
    </row>
    <row r="280" ht="55.5" customHeight="1">
      <c r="A280" s="79" t="s">
        <v>339</v>
      </c>
      <c r="B280" s="84"/>
      <c r="C280" s="79" t="s">
        <v>208</v>
      </c>
      <c r="D280" s="12"/>
      <c r="E280" s="79" t="s">
        <v>413</v>
      </c>
      <c r="F280" s="79" t="s">
        <v>344</v>
      </c>
      <c r="G280" s="79" t="s">
        <v>414</v>
      </c>
      <c r="H280" s="81" t="s">
        <v>10</v>
      </c>
      <c r="I280" s="85"/>
      <c r="J280" s="82"/>
      <c r="K280" s="83"/>
      <c r="L280" s="83"/>
      <c r="M280" s="83"/>
      <c r="N280" s="83"/>
      <c r="O280" s="83"/>
      <c r="P280" s="83"/>
      <c r="Q280" s="83"/>
      <c r="R280" s="83"/>
      <c r="S280" s="83"/>
      <c r="T280" s="83"/>
      <c r="U280" s="83"/>
      <c r="V280" s="83"/>
      <c r="W280" s="83"/>
      <c r="X280" s="83"/>
      <c r="Y280" s="83"/>
      <c r="Z280" s="83"/>
      <c r="AA280" s="83"/>
    </row>
    <row r="281" ht="55.5" customHeight="1">
      <c r="A281" s="79" t="s">
        <v>339</v>
      </c>
      <c r="B281" s="84"/>
      <c r="C281" s="79" t="s">
        <v>211</v>
      </c>
      <c r="D281" s="80" t="s">
        <v>371</v>
      </c>
      <c r="E281" s="79" t="s">
        <v>415</v>
      </c>
      <c r="F281" s="79" t="s">
        <v>344</v>
      </c>
      <c r="G281" s="79" t="s">
        <v>306</v>
      </c>
      <c r="H281" s="81" t="s">
        <v>10</v>
      </c>
      <c r="I281" s="85"/>
      <c r="J281" s="82"/>
      <c r="K281" s="83"/>
      <c r="L281" s="83"/>
      <c r="M281" s="83"/>
      <c r="N281" s="83"/>
      <c r="O281" s="83"/>
      <c r="P281" s="83"/>
      <c r="Q281" s="83"/>
      <c r="R281" s="83"/>
      <c r="S281" s="83"/>
      <c r="T281" s="83"/>
      <c r="U281" s="83"/>
      <c r="V281" s="83"/>
      <c r="W281" s="83"/>
      <c r="X281" s="83"/>
      <c r="Y281" s="83"/>
      <c r="Z281" s="83"/>
      <c r="AA281" s="83"/>
    </row>
    <row r="282" ht="55.5" customHeight="1">
      <c r="A282" s="79" t="s">
        <v>339</v>
      </c>
      <c r="B282" s="84"/>
      <c r="C282" s="79" t="s">
        <v>213</v>
      </c>
      <c r="D282" s="84"/>
      <c r="E282" s="79" t="s">
        <v>314</v>
      </c>
      <c r="F282" s="79" t="s">
        <v>344</v>
      </c>
      <c r="G282" s="79" t="s">
        <v>315</v>
      </c>
      <c r="H282" s="81" t="s">
        <v>10</v>
      </c>
      <c r="I282" s="85"/>
      <c r="J282" s="82"/>
      <c r="K282" s="83"/>
      <c r="L282" s="83"/>
      <c r="M282" s="83"/>
      <c r="N282" s="83"/>
      <c r="O282" s="83"/>
      <c r="P282" s="83"/>
      <c r="Q282" s="83"/>
      <c r="R282" s="83"/>
      <c r="S282" s="83"/>
      <c r="T282" s="83"/>
      <c r="U282" s="83"/>
      <c r="V282" s="83"/>
      <c r="W282" s="83"/>
      <c r="X282" s="83"/>
      <c r="Y282" s="83"/>
      <c r="Z282" s="83"/>
      <c r="AA282" s="83"/>
    </row>
    <row r="283" ht="55.5" customHeight="1">
      <c r="A283" s="79" t="s">
        <v>339</v>
      </c>
      <c r="B283" s="84"/>
      <c r="C283" s="79" t="s">
        <v>215</v>
      </c>
      <c r="D283" s="84"/>
      <c r="E283" s="79" t="s">
        <v>308</v>
      </c>
      <c r="F283" s="79" t="s">
        <v>344</v>
      </c>
      <c r="G283" s="79" t="s">
        <v>309</v>
      </c>
      <c r="H283" s="81" t="s">
        <v>10</v>
      </c>
      <c r="I283" s="85"/>
      <c r="J283" s="82"/>
      <c r="K283" s="83"/>
      <c r="L283" s="83"/>
      <c r="M283" s="83"/>
      <c r="N283" s="83"/>
      <c r="O283" s="83"/>
      <c r="P283" s="83"/>
      <c r="Q283" s="83"/>
      <c r="R283" s="83"/>
      <c r="S283" s="83"/>
      <c r="T283" s="83"/>
      <c r="U283" s="83"/>
      <c r="V283" s="83"/>
      <c r="W283" s="83"/>
      <c r="X283" s="83"/>
      <c r="Y283" s="83"/>
      <c r="Z283" s="83"/>
      <c r="AA283" s="83"/>
    </row>
    <row r="284" ht="55.5" customHeight="1">
      <c r="A284" s="79" t="s">
        <v>339</v>
      </c>
      <c r="B284" s="84"/>
      <c r="C284" s="79" t="s">
        <v>217</v>
      </c>
      <c r="D284" s="84"/>
      <c r="E284" s="79" t="s">
        <v>416</v>
      </c>
      <c r="F284" s="79" t="s">
        <v>344</v>
      </c>
      <c r="G284" s="79" t="s">
        <v>267</v>
      </c>
      <c r="H284" s="81" t="s">
        <v>10</v>
      </c>
      <c r="I284" s="85"/>
      <c r="J284" s="82"/>
      <c r="K284" s="83"/>
      <c r="L284" s="83"/>
      <c r="M284" s="83"/>
      <c r="N284" s="83"/>
      <c r="O284" s="83"/>
      <c r="P284" s="83"/>
      <c r="Q284" s="83"/>
      <c r="R284" s="83"/>
      <c r="S284" s="83"/>
      <c r="T284" s="83"/>
      <c r="U284" s="83"/>
      <c r="V284" s="83"/>
      <c r="W284" s="83"/>
      <c r="X284" s="83"/>
      <c r="Y284" s="83"/>
      <c r="Z284" s="83"/>
      <c r="AA284" s="83"/>
    </row>
    <row r="285" ht="55.5" customHeight="1">
      <c r="A285" s="79" t="s">
        <v>339</v>
      </c>
      <c r="B285" s="84"/>
      <c r="C285" s="79" t="s">
        <v>249</v>
      </c>
      <c r="D285" s="12"/>
      <c r="E285" s="79" t="s">
        <v>417</v>
      </c>
      <c r="F285" s="79" t="s">
        <v>344</v>
      </c>
      <c r="G285" s="79" t="s">
        <v>267</v>
      </c>
      <c r="H285" s="81" t="s">
        <v>10</v>
      </c>
      <c r="I285" s="85"/>
      <c r="J285" s="95"/>
      <c r="K285" s="83"/>
      <c r="L285" s="83"/>
      <c r="M285" s="83"/>
      <c r="N285" s="83"/>
      <c r="O285" s="83"/>
      <c r="P285" s="83"/>
      <c r="Q285" s="83"/>
      <c r="R285" s="83"/>
      <c r="S285" s="83"/>
      <c r="T285" s="83"/>
      <c r="U285" s="83"/>
      <c r="V285" s="83"/>
      <c r="W285" s="83"/>
      <c r="X285" s="83"/>
      <c r="Y285" s="83"/>
      <c r="Z285" s="83"/>
      <c r="AA285" s="83"/>
    </row>
    <row r="286" ht="55.5" customHeight="1">
      <c r="A286" s="79" t="s">
        <v>339</v>
      </c>
      <c r="B286" s="84"/>
      <c r="C286" s="79" t="s">
        <v>250</v>
      </c>
      <c r="D286" s="87" t="s">
        <v>418</v>
      </c>
      <c r="E286" s="79" t="s">
        <v>419</v>
      </c>
      <c r="F286" s="79" t="s">
        <v>420</v>
      </c>
      <c r="G286" s="79" t="s">
        <v>283</v>
      </c>
      <c r="H286" s="81" t="s">
        <v>10</v>
      </c>
      <c r="I286" s="85"/>
      <c r="J286" s="95"/>
      <c r="K286" s="83"/>
      <c r="L286" s="83"/>
      <c r="M286" s="83"/>
      <c r="N286" s="83"/>
      <c r="O286" s="83"/>
      <c r="P286" s="83"/>
      <c r="Q286" s="83"/>
      <c r="R286" s="83"/>
      <c r="S286" s="83"/>
      <c r="T286" s="83"/>
      <c r="U286" s="83"/>
      <c r="V286" s="83"/>
      <c r="W286" s="83"/>
      <c r="X286" s="83"/>
      <c r="Y286" s="83"/>
      <c r="Z286" s="83"/>
      <c r="AA286" s="83"/>
    </row>
    <row r="287" ht="55.5" customHeight="1">
      <c r="A287" s="79" t="s">
        <v>339</v>
      </c>
      <c r="B287" s="84"/>
      <c r="C287" s="79" t="s">
        <v>252</v>
      </c>
      <c r="D287" s="84"/>
      <c r="E287" s="86" t="s">
        <v>421</v>
      </c>
      <c r="F287" s="79" t="s">
        <v>420</v>
      </c>
      <c r="G287" s="79" t="s">
        <v>283</v>
      </c>
      <c r="H287" s="81" t="s">
        <v>10</v>
      </c>
      <c r="I287" s="85"/>
      <c r="J287" s="95"/>
      <c r="K287" s="83"/>
      <c r="L287" s="83"/>
      <c r="M287" s="83"/>
      <c r="N287" s="83"/>
      <c r="O287" s="83"/>
      <c r="P287" s="83"/>
      <c r="Q287" s="83"/>
      <c r="R287" s="83"/>
      <c r="S287" s="83"/>
      <c r="T287" s="83"/>
      <c r="U287" s="83"/>
      <c r="V287" s="83"/>
      <c r="W287" s="83"/>
      <c r="X287" s="83"/>
      <c r="Y287" s="83"/>
      <c r="Z287" s="83"/>
      <c r="AA287" s="83"/>
    </row>
    <row r="288" ht="55.5" customHeight="1">
      <c r="A288" s="79" t="s">
        <v>339</v>
      </c>
      <c r="B288" s="84"/>
      <c r="C288" s="79" t="s">
        <v>253</v>
      </c>
      <c r="D288" s="12"/>
      <c r="E288" s="79" t="s">
        <v>422</v>
      </c>
      <c r="F288" s="79" t="s">
        <v>420</v>
      </c>
      <c r="G288" s="79" t="s">
        <v>267</v>
      </c>
      <c r="H288" s="81" t="s">
        <v>10</v>
      </c>
      <c r="I288" s="85" t="s">
        <v>423</v>
      </c>
      <c r="J288" s="82"/>
      <c r="K288" s="83"/>
      <c r="L288" s="83"/>
      <c r="M288" s="83"/>
      <c r="N288" s="83"/>
      <c r="O288" s="83"/>
      <c r="P288" s="83"/>
      <c r="Q288" s="83"/>
      <c r="R288" s="83"/>
      <c r="S288" s="83"/>
      <c r="T288" s="83"/>
      <c r="U288" s="83"/>
      <c r="V288" s="83"/>
      <c r="W288" s="83"/>
      <c r="X288" s="83"/>
      <c r="Y288" s="83"/>
      <c r="Z288" s="83"/>
      <c r="AA288" s="83"/>
    </row>
    <row r="289" ht="55.5" customHeight="1">
      <c r="A289" s="79" t="s">
        <v>339</v>
      </c>
      <c r="B289" s="84"/>
      <c r="C289" s="79" t="s">
        <v>254</v>
      </c>
      <c r="D289" s="80" t="s">
        <v>424</v>
      </c>
      <c r="E289" s="79" t="s">
        <v>425</v>
      </c>
      <c r="F289" s="79" t="s">
        <v>291</v>
      </c>
      <c r="G289" s="79" t="s">
        <v>426</v>
      </c>
      <c r="H289" s="81" t="s">
        <v>10</v>
      </c>
      <c r="I289" s="82"/>
      <c r="J289" s="82"/>
      <c r="K289" s="83"/>
      <c r="L289" s="83"/>
      <c r="M289" s="83"/>
      <c r="N289" s="83"/>
      <c r="O289" s="83"/>
      <c r="P289" s="83"/>
      <c r="Q289" s="83"/>
      <c r="R289" s="83"/>
      <c r="S289" s="83"/>
      <c r="T289" s="83"/>
      <c r="U289" s="83"/>
      <c r="V289" s="83"/>
      <c r="W289" s="83"/>
      <c r="X289" s="83"/>
      <c r="Y289" s="83"/>
      <c r="Z289" s="83"/>
      <c r="AA289" s="83"/>
    </row>
    <row r="290" ht="55.5" customHeight="1">
      <c r="A290" s="79" t="s">
        <v>339</v>
      </c>
      <c r="B290" s="84"/>
      <c r="C290" s="79" t="s">
        <v>255</v>
      </c>
      <c r="D290" s="84"/>
      <c r="E290" s="79" t="s">
        <v>223</v>
      </c>
      <c r="F290" s="79" t="s">
        <v>224</v>
      </c>
      <c r="G290" s="79" t="s">
        <v>61</v>
      </c>
      <c r="H290" s="81" t="s">
        <v>10</v>
      </c>
      <c r="I290" s="82"/>
      <c r="J290" s="82"/>
      <c r="K290" s="83"/>
      <c r="L290" s="83"/>
      <c r="M290" s="83"/>
      <c r="N290" s="83"/>
      <c r="O290" s="83"/>
      <c r="P290" s="83"/>
      <c r="Q290" s="83"/>
      <c r="R290" s="83"/>
      <c r="S290" s="83"/>
      <c r="T290" s="83"/>
      <c r="U290" s="83"/>
      <c r="V290" s="83"/>
      <c r="W290" s="83"/>
      <c r="X290" s="83"/>
      <c r="Y290" s="83"/>
      <c r="Z290" s="83"/>
      <c r="AA290" s="83"/>
    </row>
    <row r="291" ht="55.5" customHeight="1">
      <c r="A291" s="79" t="s">
        <v>339</v>
      </c>
      <c r="B291" s="84"/>
      <c r="C291" s="79" t="s">
        <v>257</v>
      </c>
      <c r="D291" s="12"/>
      <c r="E291" s="79" t="s">
        <v>225</v>
      </c>
      <c r="F291" s="79" t="s">
        <v>226</v>
      </c>
      <c r="G291" s="79" t="s">
        <v>61</v>
      </c>
      <c r="H291" s="81" t="s">
        <v>10</v>
      </c>
      <c r="I291" s="82"/>
      <c r="J291" s="82"/>
      <c r="K291" s="83"/>
      <c r="L291" s="83"/>
      <c r="M291" s="83"/>
      <c r="N291" s="83"/>
      <c r="O291" s="83"/>
      <c r="P291" s="83"/>
      <c r="Q291" s="83"/>
      <c r="R291" s="83"/>
      <c r="S291" s="83"/>
      <c r="T291" s="83"/>
      <c r="U291" s="83"/>
      <c r="V291" s="83"/>
      <c r="W291" s="83"/>
      <c r="X291" s="83"/>
      <c r="Y291" s="83"/>
      <c r="Z291" s="83"/>
      <c r="AA291" s="83"/>
    </row>
    <row r="292" ht="55.5" customHeight="1">
      <c r="A292" s="79" t="s">
        <v>339</v>
      </c>
      <c r="B292" s="84"/>
      <c r="C292" s="79" t="s">
        <v>260</v>
      </c>
      <c r="D292" s="79" t="s">
        <v>427</v>
      </c>
      <c r="E292" s="79" t="s">
        <v>428</v>
      </c>
      <c r="F292" s="79" t="s">
        <v>344</v>
      </c>
      <c r="G292" s="79" t="s">
        <v>429</v>
      </c>
      <c r="H292" s="81" t="s">
        <v>10</v>
      </c>
      <c r="I292" s="82"/>
      <c r="J292" s="82"/>
      <c r="K292" s="83"/>
      <c r="L292" s="83"/>
      <c r="M292" s="83"/>
      <c r="N292" s="83"/>
      <c r="O292" s="83"/>
      <c r="P292" s="83"/>
      <c r="Q292" s="83"/>
      <c r="R292" s="83"/>
      <c r="S292" s="83"/>
      <c r="T292" s="83"/>
      <c r="U292" s="83"/>
      <c r="V292" s="83"/>
      <c r="W292" s="83"/>
      <c r="X292" s="83"/>
      <c r="Y292" s="83"/>
      <c r="Z292" s="83"/>
      <c r="AA292" s="83"/>
    </row>
    <row r="293" ht="55.5" customHeight="1">
      <c r="A293" s="79" t="s">
        <v>339</v>
      </c>
      <c r="B293" s="84"/>
      <c r="C293" s="79" t="s">
        <v>263</v>
      </c>
      <c r="D293" s="78"/>
      <c r="E293" s="79" t="s">
        <v>430</v>
      </c>
      <c r="F293" s="79" t="s">
        <v>431</v>
      </c>
      <c r="G293" s="79" t="s">
        <v>68</v>
      </c>
      <c r="H293" s="81" t="s">
        <v>10</v>
      </c>
      <c r="I293" s="82"/>
      <c r="J293" s="82"/>
      <c r="K293" s="83"/>
      <c r="L293" s="83"/>
      <c r="M293" s="83"/>
      <c r="N293" s="83"/>
      <c r="O293" s="83"/>
      <c r="P293" s="83"/>
      <c r="Q293" s="83"/>
      <c r="R293" s="83"/>
      <c r="S293" s="83"/>
      <c r="T293" s="83"/>
      <c r="U293" s="83"/>
      <c r="V293" s="83"/>
      <c r="W293" s="83"/>
      <c r="X293" s="83"/>
      <c r="Y293" s="83"/>
      <c r="Z293" s="83"/>
      <c r="AA293" s="83"/>
    </row>
    <row r="294" ht="55.5" customHeight="1">
      <c r="A294" s="79" t="s">
        <v>339</v>
      </c>
      <c r="B294" s="12"/>
      <c r="C294" s="79" t="s">
        <v>268</v>
      </c>
      <c r="D294" s="78"/>
      <c r="E294" s="79" t="s">
        <v>432</v>
      </c>
      <c r="F294" s="79" t="s">
        <v>433</v>
      </c>
      <c r="G294" s="79" t="s">
        <v>68</v>
      </c>
      <c r="H294" s="81" t="s">
        <v>10</v>
      </c>
      <c r="I294" s="82"/>
      <c r="J294" s="82"/>
      <c r="K294" s="83"/>
      <c r="L294" s="83"/>
      <c r="M294" s="83"/>
      <c r="N294" s="83"/>
      <c r="O294" s="83"/>
      <c r="P294" s="83"/>
      <c r="Q294" s="83"/>
      <c r="R294" s="83"/>
      <c r="S294" s="83"/>
      <c r="T294" s="83"/>
      <c r="U294" s="83"/>
      <c r="V294" s="83"/>
      <c r="W294" s="83"/>
      <c r="X294" s="83"/>
      <c r="Y294" s="83"/>
      <c r="Z294" s="83"/>
      <c r="AA294" s="83"/>
    </row>
    <row r="295" ht="55.5" customHeight="1">
      <c r="A295" s="79" t="s">
        <v>434</v>
      </c>
      <c r="B295" s="80" t="s">
        <v>435</v>
      </c>
      <c r="C295" s="79" t="s">
        <v>47</v>
      </c>
      <c r="D295" s="80" t="s">
        <v>342</v>
      </c>
      <c r="E295" s="79" t="s">
        <v>343</v>
      </c>
      <c r="F295" s="79" t="s">
        <v>436</v>
      </c>
      <c r="G295" s="79" t="s">
        <v>68</v>
      </c>
      <c r="H295" s="81" t="s">
        <v>10</v>
      </c>
      <c r="I295" s="82"/>
      <c r="J295" s="82"/>
      <c r="K295" s="83"/>
      <c r="L295" s="83"/>
      <c r="M295" s="83"/>
      <c r="N295" s="83"/>
      <c r="O295" s="83"/>
      <c r="P295" s="83"/>
      <c r="Q295" s="83"/>
      <c r="R295" s="83"/>
      <c r="S295" s="83"/>
      <c r="T295" s="83"/>
      <c r="U295" s="83"/>
      <c r="V295" s="83"/>
      <c r="W295" s="83"/>
      <c r="X295" s="83"/>
      <c r="Y295" s="83"/>
      <c r="Z295" s="83"/>
      <c r="AA295" s="83"/>
    </row>
    <row r="296" ht="55.5" customHeight="1">
      <c r="A296" s="79" t="s">
        <v>434</v>
      </c>
      <c r="B296" s="84"/>
      <c r="C296" s="79" t="s">
        <v>52</v>
      </c>
      <c r="D296" s="84"/>
      <c r="E296" s="79" t="s">
        <v>70</v>
      </c>
      <c r="F296" s="79" t="s">
        <v>436</v>
      </c>
      <c r="G296" s="79" t="s">
        <v>345</v>
      </c>
      <c r="H296" s="81" t="s">
        <v>10</v>
      </c>
      <c r="I296" s="82"/>
      <c r="J296" s="82"/>
      <c r="K296" s="83"/>
      <c r="L296" s="83"/>
      <c r="M296" s="83"/>
      <c r="N296" s="83"/>
      <c r="O296" s="83"/>
      <c r="P296" s="83"/>
      <c r="Q296" s="83"/>
      <c r="R296" s="83"/>
      <c r="S296" s="83"/>
      <c r="T296" s="83"/>
      <c r="U296" s="83"/>
      <c r="V296" s="83"/>
      <c r="W296" s="83"/>
      <c r="X296" s="83"/>
      <c r="Y296" s="83"/>
      <c r="Z296" s="83"/>
      <c r="AA296" s="83"/>
    </row>
    <row r="297" ht="55.5" customHeight="1">
      <c r="A297" s="79" t="s">
        <v>434</v>
      </c>
      <c r="B297" s="84"/>
      <c r="C297" s="79" t="s">
        <v>55</v>
      </c>
      <c r="D297" s="12"/>
      <c r="E297" s="79" t="s">
        <v>76</v>
      </c>
      <c r="F297" s="79" t="s">
        <v>437</v>
      </c>
      <c r="G297" s="79" t="s">
        <v>78</v>
      </c>
      <c r="H297" s="81" t="s">
        <v>10</v>
      </c>
      <c r="I297" s="82"/>
      <c r="J297" s="82"/>
      <c r="K297" s="83"/>
      <c r="L297" s="83"/>
      <c r="M297" s="83"/>
      <c r="N297" s="83"/>
      <c r="O297" s="83"/>
      <c r="P297" s="83"/>
      <c r="Q297" s="83"/>
      <c r="R297" s="83"/>
      <c r="S297" s="83"/>
      <c r="T297" s="83"/>
      <c r="U297" s="83"/>
      <c r="V297" s="83"/>
      <c r="W297" s="83"/>
      <c r="X297" s="83"/>
      <c r="Y297" s="83"/>
      <c r="Z297" s="83"/>
      <c r="AA297" s="83"/>
    </row>
    <row r="298" ht="55.5" customHeight="1">
      <c r="A298" s="79" t="s">
        <v>434</v>
      </c>
      <c r="B298" s="84"/>
      <c r="C298" s="79" t="s">
        <v>58</v>
      </c>
      <c r="D298" s="80" t="s">
        <v>348</v>
      </c>
      <c r="E298" s="79" t="s">
        <v>73</v>
      </c>
      <c r="F298" s="79" t="s">
        <v>436</v>
      </c>
      <c r="G298" s="79" t="s">
        <v>74</v>
      </c>
      <c r="H298" s="81" t="s">
        <v>10</v>
      </c>
      <c r="I298" s="82"/>
      <c r="J298" s="82"/>
      <c r="K298" s="83"/>
      <c r="L298" s="83"/>
      <c r="M298" s="83"/>
      <c r="N298" s="83"/>
      <c r="O298" s="83"/>
      <c r="P298" s="83"/>
      <c r="Q298" s="83"/>
      <c r="R298" s="83"/>
      <c r="S298" s="83"/>
      <c r="T298" s="83"/>
      <c r="U298" s="83"/>
      <c r="V298" s="83"/>
      <c r="W298" s="83"/>
      <c r="X298" s="83"/>
      <c r="Y298" s="83"/>
      <c r="Z298" s="83"/>
      <c r="AA298" s="83"/>
    </row>
    <row r="299" ht="55.5" customHeight="1">
      <c r="A299" s="79" t="s">
        <v>434</v>
      </c>
      <c r="B299" s="84"/>
      <c r="C299" s="79" t="s">
        <v>62</v>
      </c>
      <c r="D299" s="84"/>
      <c r="E299" s="79" t="s">
        <v>349</v>
      </c>
      <c r="F299" s="79" t="s">
        <v>436</v>
      </c>
      <c r="G299" s="79" t="s">
        <v>74</v>
      </c>
      <c r="H299" s="81" t="s">
        <v>10</v>
      </c>
      <c r="I299" s="82"/>
      <c r="J299" s="82"/>
      <c r="K299" s="83"/>
      <c r="L299" s="83"/>
      <c r="M299" s="83"/>
      <c r="N299" s="83"/>
      <c r="O299" s="83"/>
      <c r="P299" s="83"/>
      <c r="Q299" s="83"/>
      <c r="R299" s="83"/>
      <c r="S299" s="83"/>
      <c r="T299" s="83"/>
      <c r="U299" s="83"/>
      <c r="V299" s="83"/>
      <c r="W299" s="83"/>
      <c r="X299" s="83"/>
      <c r="Y299" s="83"/>
      <c r="Z299" s="83"/>
      <c r="AA299" s="83"/>
    </row>
    <row r="300" ht="55.5" customHeight="1">
      <c r="A300" s="79" t="s">
        <v>434</v>
      </c>
      <c r="B300" s="84"/>
      <c r="C300" s="79" t="s">
        <v>64</v>
      </c>
      <c r="D300" s="84"/>
      <c r="E300" s="79" t="s">
        <v>350</v>
      </c>
      <c r="F300" s="79" t="s">
        <v>436</v>
      </c>
      <c r="G300" s="79" t="s">
        <v>74</v>
      </c>
      <c r="H300" s="81" t="s">
        <v>10</v>
      </c>
      <c r="I300" s="82"/>
      <c r="J300" s="82"/>
      <c r="K300" s="83"/>
      <c r="L300" s="83"/>
      <c r="M300" s="83"/>
      <c r="N300" s="83"/>
      <c r="O300" s="83"/>
      <c r="P300" s="83"/>
      <c r="Q300" s="83"/>
      <c r="R300" s="83"/>
      <c r="S300" s="83"/>
      <c r="T300" s="83"/>
      <c r="U300" s="83"/>
      <c r="V300" s="83"/>
      <c r="W300" s="83"/>
      <c r="X300" s="83"/>
      <c r="Y300" s="83"/>
      <c r="Z300" s="83"/>
      <c r="AA300" s="83"/>
    </row>
    <row r="301" ht="55.5" customHeight="1">
      <c r="A301" s="79" t="s">
        <v>434</v>
      </c>
      <c r="B301" s="84"/>
      <c r="C301" s="79" t="s">
        <v>69</v>
      </c>
      <c r="D301" s="84"/>
      <c r="E301" s="79" t="s">
        <v>84</v>
      </c>
      <c r="F301" s="79" t="s">
        <v>436</v>
      </c>
      <c r="G301" s="79" t="s">
        <v>351</v>
      </c>
      <c r="H301" s="81" t="s">
        <v>10</v>
      </c>
      <c r="I301" s="82"/>
      <c r="J301" s="82"/>
      <c r="K301" s="83"/>
      <c r="L301" s="83"/>
      <c r="M301" s="83"/>
      <c r="N301" s="83"/>
      <c r="O301" s="83"/>
      <c r="P301" s="83"/>
      <c r="Q301" s="83"/>
      <c r="R301" s="83"/>
      <c r="S301" s="83"/>
      <c r="T301" s="83"/>
      <c r="U301" s="83"/>
      <c r="V301" s="83"/>
      <c r="W301" s="83"/>
      <c r="X301" s="83"/>
      <c r="Y301" s="83"/>
      <c r="Z301" s="83"/>
      <c r="AA301" s="83"/>
    </row>
    <row r="302" ht="55.5" customHeight="1">
      <c r="A302" s="79" t="s">
        <v>434</v>
      </c>
      <c r="B302" s="84"/>
      <c r="C302" s="79" t="s">
        <v>72</v>
      </c>
      <c r="D302" s="84"/>
      <c r="E302" s="79" t="s">
        <v>352</v>
      </c>
      <c r="F302" s="79" t="s">
        <v>436</v>
      </c>
      <c r="G302" s="79" t="s">
        <v>351</v>
      </c>
      <c r="H302" s="81" t="s">
        <v>10</v>
      </c>
      <c r="I302" s="82"/>
      <c r="J302" s="82"/>
      <c r="K302" s="83"/>
      <c r="L302" s="83"/>
      <c r="M302" s="83"/>
      <c r="N302" s="83"/>
      <c r="O302" s="83"/>
      <c r="P302" s="83"/>
      <c r="Q302" s="83"/>
      <c r="R302" s="83"/>
      <c r="S302" s="83"/>
      <c r="T302" s="83"/>
      <c r="U302" s="83"/>
      <c r="V302" s="83"/>
      <c r="W302" s="83"/>
      <c r="X302" s="83"/>
      <c r="Y302" s="83"/>
      <c r="Z302" s="83"/>
      <c r="AA302" s="83"/>
    </row>
    <row r="303" ht="55.5" customHeight="1">
      <c r="A303" s="79" t="s">
        <v>434</v>
      </c>
      <c r="B303" s="84"/>
      <c r="C303" s="79" t="s">
        <v>75</v>
      </c>
      <c r="D303" s="12"/>
      <c r="E303" s="79" t="s">
        <v>89</v>
      </c>
      <c r="F303" s="79" t="s">
        <v>436</v>
      </c>
      <c r="G303" s="79" t="s">
        <v>74</v>
      </c>
      <c r="H303" s="81" t="s">
        <v>10</v>
      </c>
      <c r="I303" s="82"/>
      <c r="J303" s="82"/>
      <c r="K303" s="83"/>
      <c r="L303" s="83"/>
      <c r="M303" s="83"/>
      <c r="N303" s="83"/>
      <c r="O303" s="83"/>
      <c r="P303" s="83"/>
      <c r="Q303" s="83"/>
      <c r="R303" s="83"/>
      <c r="S303" s="83"/>
      <c r="T303" s="83"/>
      <c r="U303" s="83"/>
      <c r="V303" s="83"/>
      <c r="W303" s="83"/>
      <c r="X303" s="83"/>
      <c r="Y303" s="83"/>
      <c r="Z303" s="83"/>
      <c r="AA303" s="83"/>
    </row>
    <row r="304" ht="55.5" customHeight="1">
      <c r="A304" s="79" t="s">
        <v>434</v>
      </c>
      <c r="B304" s="84"/>
      <c r="C304" s="79" t="s">
        <v>79</v>
      </c>
      <c r="D304" s="80" t="s">
        <v>353</v>
      </c>
      <c r="E304" s="79" t="s">
        <v>354</v>
      </c>
      <c r="F304" s="79" t="s">
        <v>436</v>
      </c>
      <c r="G304" s="79" t="s">
        <v>355</v>
      </c>
      <c r="H304" s="81" t="s">
        <v>10</v>
      </c>
      <c r="I304" s="82"/>
      <c r="J304" s="82"/>
      <c r="K304" s="83"/>
      <c r="L304" s="83"/>
      <c r="M304" s="83"/>
      <c r="N304" s="83"/>
      <c r="O304" s="83"/>
      <c r="P304" s="83"/>
      <c r="Q304" s="83"/>
      <c r="R304" s="83"/>
      <c r="S304" s="83"/>
      <c r="T304" s="83"/>
      <c r="U304" s="83"/>
      <c r="V304" s="83"/>
      <c r="W304" s="83"/>
      <c r="X304" s="83"/>
      <c r="Y304" s="83"/>
      <c r="Z304" s="83"/>
      <c r="AA304" s="83"/>
    </row>
    <row r="305" ht="55.5" customHeight="1">
      <c r="A305" s="79" t="s">
        <v>434</v>
      </c>
      <c r="B305" s="84"/>
      <c r="C305" s="79" t="s">
        <v>83</v>
      </c>
      <c r="D305" s="84"/>
      <c r="E305" s="79" t="s">
        <v>92</v>
      </c>
      <c r="F305" s="79" t="s">
        <v>436</v>
      </c>
      <c r="G305" s="79" t="s">
        <v>356</v>
      </c>
      <c r="H305" s="81" t="s">
        <v>10</v>
      </c>
      <c r="I305" s="82"/>
      <c r="J305" s="82"/>
      <c r="K305" s="83"/>
      <c r="L305" s="83"/>
      <c r="M305" s="83"/>
      <c r="N305" s="83"/>
      <c r="O305" s="83"/>
      <c r="P305" s="83"/>
      <c r="Q305" s="83"/>
      <c r="R305" s="83"/>
      <c r="S305" s="83"/>
      <c r="T305" s="83"/>
      <c r="U305" s="83"/>
      <c r="V305" s="83"/>
      <c r="W305" s="83"/>
      <c r="X305" s="83"/>
      <c r="Y305" s="83"/>
      <c r="Z305" s="83"/>
      <c r="AA305" s="83"/>
    </row>
    <row r="306" ht="55.5" customHeight="1">
      <c r="A306" s="79" t="s">
        <v>434</v>
      </c>
      <c r="B306" s="84"/>
      <c r="C306" s="79" t="s">
        <v>86</v>
      </c>
      <c r="D306" s="84"/>
      <c r="E306" s="79" t="s">
        <v>438</v>
      </c>
      <c r="F306" s="79" t="s">
        <v>436</v>
      </c>
      <c r="G306" s="79" t="s">
        <v>356</v>
      </c>
      <c r="H306" s="81" t="s">
        <v>10</v>
      </c>
      <c r="I306" s="82"/>
      <c r="J306" s="82"/>
      <c r="K306" s="83"/>
      <c r="L306" s="83"/>
      <c r="M306" s="83"/>
      <c r="N306" s="83"/>
      <c r="O306" s="83"/>
      <c r="P306" s="83"/>
      <c r="Q306" s="83"/>
      <c r="R306" s="83"/>
      <c r="S306" s="83"/>
      <c r="T306" s="83"/>
      <c r="U306" s="83"/>
      <c r="V306" s="83"/>
      <c r="W306" s="83"/>
      <c r="X306" s="83"/>
      <c r="Y306" s="83"/>
      <c r="Z306" s="83"/>
      <c r="AA306" s="83"/>
    </row>
    <row r="307" ht="55.5" customHeight="1">
      <c r="A307" s="79" t="s">
        <v>434</v>
      </c>
      <c r="B307" s="84"/>
      <c r="C307" s="79" t="s">
        <v>88</v>
      </c>
      <c r="D307" s="12"/>
      <c r="E307" s="79" t="s">
        <v>97</v>
      </c>
      <c r="F307" s="79" t="s">
        <v>436</v>
      </c>
      <c r="G307" s="79" t="s">
        <v>356</v>
      </c>
      <c r="H307" s="81" t="s">
        <v>10</v>
      </c>
      <c r="I307" s="82"/>
      <c r="J307" s="82"/>
      <c r="K307" s="83"/>
      <c r="L307" s="83"/>
      <c r="M307" s="83"/>
      <c r="N307" s="83"/>
      <c r="O307" s="83"/>
      <c r="P307" s="83"/>
      <c r="Q307" s="83"/>
      <c r="R307" s="83"/>
      <c r="S307" s="83"/>
      <c r="T307" s="83"/>
      <c r="U307" s="83"/>
      <c r="V307" s="83"/>
      <c r="W307" s="83"/>
      <c r="X307" s="83"/>
      <c r="Y307" s="83"/>
      <c r="Z307" s="83"/>
      <c r="AA307" s="83"/>
    </row>
    <row r="308" ht="55.5" customHeight="1">
      <c r="A308" s="79" t="s">
        <v>434</v>
      </c>
      <c r="B308" s="84"/>
      <c r="C308" s="79" t="s">
        <v>91</v>
      </c>
      <c r="D308" s="80" t="s">
        <v>358</v>
      </c>
      <c r="E308" s="79" t="s">
        <v>100</v>
      </c>
      <c r="F308" s="79" t="s">
        <v>436</v>
      </c>
      <c r="G308" s="79" t="s">
        <v>359</v>
      </c>
      <c r="H308" s="81" t="s">
        <v>10</v>
      </c>
      <c r="I308" s="82"/>
      <c r="J308" s="82"/>
      <c r="K308" s="83"/>
      <c r="L308" s="83"/>
      <c r="M308" s="83"/>
      <c r="N308" s="83"/>
      <c r="O308" s="83"/>
      <c r="P308" s="83"/>
      <c r="Q308" s="83"/>
      <c r="R308" s="83"/>
      <c r="S308" s="83"/>
      <c r="T308" s="83"/>
      <c r="U308" s="83"/>
      <c r="V308" s="83"/>
      <c r="W308" s="83"/>
      <c r="X308" s="83"/>
      <c r="Y308" s="83"/>
      <c r="Z308" s="83"/>
      <c r="AA308" s="83"/>
    </row>
    <row r="309" ht="55.5" customHeight="1">
      <c r="A309" s="79" t="s">
        <v>434</v>
      </c>
      <c r="B309" s="84"/>
      <c r="C309" s="79" t="s">
        <v>94</v>
      </c>
      <c r="D309" s="84"/>
      <c r="E309" s="79" t="s">
        <v>360</v>
      </c>
      <c r="F309" s="79" t="s">
        <v>436</v>
      </c>
      <c r="G309" s="79" t="s">
        <v>361</v>
      </c>
      <c r="H309" s="81" t="s">
        <v>10</v>
      </c>
      <c r="I309" s="82"/>
      <c r="J309" s="82"/>
      <c r="K309" s="83"/>
      <c r="L309" s="83"/>
      <c r="M309" s="83"/>
      <c r="N309" s="83"/>
      <c r="O309" s="83"/>
      <c r="P309" s="83"/>
      <c r="Q309" s="83"/>
      <c r="R309" s="83"/>
      <c r="S309" s="83"/>
      <c r="T309" s="83"/>
      <c r="U309" s="83"/>
      <c r="V309" s="83"/>
      <c r="W309" s="83"/>
      <c r="X309" s="83"/>
      <c r="Y309" s="83"/>
      <c r="Z309" s="83"/>
      <c r="AA309" s="83"/>
    </row>
    <row r="310" ht="55.5" customHeight="1">
      <c r="A310" s="79" t="s">
        <v>434</v>
      </c>
      <c r="B310" s="84"/>
      <c r="C310" s="79" t="s">
        <v>96</v>
      </c>
      <c r="D310" s="84"/>
      <c r="E310" s="79" t="s">
        <v>362</v>
      </c>
      <c r="F310" s="79" t="s">
        <v>436</v>
      </c>
      <c r="G310" s="79" t="s">
        <v>359</v>
      </c>
      <c r="H310" s="81" t="s">
        <v>10</v>
      </c>
      <c r="I310" s="82"/>
      <c r="J310" s="82"/>
      <c r="K310" s="83"/>
      <c r="L310" s="83"/>
      <c r="M310" s="83"/>
      <c r="N310" s="83"/>
      <c r="O310" s="83"/>
      <c r="P310" s="83"/>
      <c r="Q310" s="83"/>
      <c r="R310" s="83"/>
      <c r="S310" s="83"/>
      <c r="T310" s="83"/>
      <c r="U310" s="83"/>
      <c r="V310" s="83"/>
      <c r="W310" s="83"/>
      <c r="X310" s="83"/>
      <c r="Y310" s="83"/>
      <c r="Z310" s="83"/>
      <c r="AA310" s="83"/>
    </row>
    <row r="311" ht="55.5" customHeight="1">
      <c r="A311" s="79" t="s">
        <v>434</v>
      </c>
      <c r="B311" s="84"/>
      <c r="C311" s="79" t="s">
        <v>98</v>
      </c>
      <c r="D311" s="84"/>
      <c r="E311" s="79" t="s">
        <v>363</v>
      </c>
      <c r="F311" s="79" t="s">
        <v>436</v>
      </c>
      <c r="G311" s="79" t="s">
        <v>361</v>
      </c>
      <c r="H311" s="81" t="s">
        <v>10</v>
      </c>
      <c r="I311" s="82"/>
      <c r="J311" s="82"/>
      <c r="K311" s="83"/>
      <c r="L311" s="83"/>
      <c r="M311" s="83"/>
      <c r="N311" s="83"/>
      <c r="O311" s="83"/>
      <c r="P311" s="83"/>
      <c r="Q311" s="83"/>
      <c r="R311" s="83"/>
      <c r="S311" s="83"/>
      <c r="T311" s="83"/>
      <c r="U311" s="83"/>
      <c r="V311" s="83"/>
      <c r="W311" s="83"/>
      <c r="X311" s="83"/>
      <c r="Y311" s="83"/>
      <c r="Z311" s="83"/>
      <c r="AA311" s="83"/>
    </row>
    <row r="312" ht="55.5" customHeight="1">
      <c r="A312" s="79" t="s">
        <v>434</v>
      </c>
      <c r="B312" s="84"/>
      <c r="C312" s="79" t="s">
        <v>102</v>
      </c>
      <c r="D312" s="84"/>
      <c r="E312" s="79" t="s">
        <v>364</v>
      </c>
      <c r="F312" s="79" t="s">
        <v>436</v>
      </c>
      <c r="G312" s="79" t="s">
        <v>361</v>
      </c>
      <c r="H312" s="81" t="s">
        <v>10</v>
      </c>
      <c r="I312" s="82"/>
      <c r="J312" s="82"/>
      <c r="K312" s="83"/>
      <c r="L312" s="83"/>
      <c r="M312" s="83"/>
      <c r="N312" s="83"/>
      <c r="O312" s="83"/>
      <c r="P312" s="83"/>
      <c r="Q312" s="83"/>
      <c r="R312" s="83"/>
      <c r="S312" s="83"/>
      <c r="T312" s="83"/>
      <c r="U312" s="83"/>
      <c r="V312" s="83"/>
      <c r="W312" s="83"/>
      <c r="X312" s="83"/>
      <c r="Y312" s="83"/>
      <c r="Z312" s="83"/>
      <c r="AA312" s="83"/>
    </row>
    <row r="313" ht="55.5" customHeight="1">
      <c r="A313" s="79" t="s">
        <v>434</v>
      </c>
      <c r="B313" s="84"/>
      <c r="C313" s="79" t="s">
        <v>105</v>
      </c>
      <c r="D313" s="84"/>
      <c r="E313" s="79" t="s">
        <v>365</v>
      </c>
      <c r="F313" s="79" t="s">
        <v>436</v>
      </c>
      <c r="G313" s="79" t="s">
        <v>361</v>
      </c>
      <c r="H313" s="81" t="s">
        <v>10</v>
      </c>
      <c r="I313" s="82"/>
      <c r="J313" s="82"/>
      <c r="K313" s="83"/>
      <c r="L313" s="83"/>
      <c r="M313" s="83"/>
      <c r="N313" s="83"/>
      <c r="O313" s="83"/>
      <c r="P313" s="83"/>
      <c r="Q313" s="83"/>
      <c r="R313" s="83"/>
      <c r="S313" s="83"/>
      <c r="T313" s="83"/>
      <c r="U313" s="83"/>
      <c r="V313" s="83"/>
      <c r="W313" s="83"/>
      <c r="X313" s="83"/>
      <c r="Y313" s="83"/>
      <c r="Z313" s="83"/>
      <c r="AA313" s="83"/>
    </row>
    <row r="314" ht="55.5" customHeight="1">
      <c r="A314" s="79" t="s">
        <v>434</v>
      </c>
      <c r="B314" s="84"/>
      <c r="C314" s="79" t="s">
        <v>107</v>
      </c>
      <c r="D314" s="84"/>
      <c r="E314" s="79" t="s">
        <v>366</v>
      </c>
      <c r="F314" s="79" t="s">
        <v>436</v>
      </c>
      <c r="G314" s="79" t="s">
        <v>359</v>
      </c>
      <c r="H314" s="81" t="s">
        <v>10</v>
      </c>
      <c r="I314" s="82"/>
      <c r="J314" s="82"/>
      <c r="K314" s="83"/>
      <c r="L314" s="83"/>
      <c r="M314" s="83"/>
      <c r="N314" s="83"/>
      <c r="O314" s="83"/>
      <c r="P314" s="83"/>
      <c r="Q314" s="83"/>
      <c r="R314" s="83"/>
      <c r="S314" s="83"/>
      <c r="T314" s="83"/>
      <c r="U314" s="83"/>
      <c r="V314" s="83"/>
      <c r="W314" s="83"/>
      <c r="X314" s="83"/>
      <c r="Y314" s="83"/>
      <c r="Z314" s="83"/>
      <c r="AA314" s="83"/>
    </row>
    <row r="315" ht="55.5" customHeight="1">
      <c r="A315" s="79" t="s">
        <v>434</v>
      </c>
      <c r="B315" s="84"/>
      <c r="C315" s="79" t="s">
        <v>109</v>
      </c>
      <c r="D315" s="84"/>
      <c r="E315" s="79" t="s">
        <v>367</v>
      </c>
      <c r="F315" s="79" t="s">
        <v>436</v>
      </c>
      <c r="G315" s="79" t="s">
        <v>359</v>
      </c>
      <c r="H315" s="81" t="s">
        <v>10</v>
      </c>
      <c r="I315" s="82"/>
      <c r="J315" s="82"/>
      <c r="K315" s="83"/>
      <c r="L315" s="83"/>
      <c r="M315" s="83"/>
      <c r="N315" s="83"/>
      <c r="O315" s="83"/>
      <c r="P315" s="83"/>
      <c r="Q315" s="83"/>
      <c r="R315" s="83"/>
      <c r="S315" s="83"/>
      <c r="T315" s="83"/>
      <c r="U315" s="83"/>
      <c r="V315" s="83"/>
      <c r="W315" s="83"/>
      <c r="X315" s="83"/>
      <c r="Y315" s="83"/>
      <c r="Z315" s="83"/>
      <c r="AA315" s="83"/>
    </row>
    <row r="316" ht="55.5" customHeight="1">
      <c r="A316" s="79" t="s">
        <v>434</v>
      </c>
      <c r="B316" s="84"/>
      <c r="C316" s="79" t="s">
        <v>111</v>
      </c>
      <c r="D316" s="84"/>
      <c r="E316" s="79" t="s">
        <v>368</v>
      </c>
      <c r="F316" s="79" t="s">
        <v>436</v>
      </c>
      <c r="G316" s="79" t="s">
        <v>359</v>
      </c>
      <c r="H316" s="81" t="s">
        <v>10</v>
      </c>
      <c r="I316" s="82"/>
      <c r="J316" s="82"/>
      <c r="K316" s="83"/>
      <c r="L316" s="83"/>
      <c r="M316" s="83"/>
      <c r="N316" s="83"/>
      <c r="O316" s="83"/>
      <c r="P316" s="83"/>
      <c r="Q316" s="83"/>
      <c r="R316" s="83"/>
      <c r="S316" s="83"/>
      <c r="T316" s="83"/>
      <c r="U316" s="83"/>
      <c r="V316" s="83"/>
      <c r="W316" s="83"/>
      <c r="X316" s="83"/>
      <c r="Y316" s="83"/>
      <c r="Z316" s="83"/>
      <c r="AA316" s="83"/>
    </row>
    <row r="317" ht="55.5" customHeight="1">
      <c r="A317" s="79" t="s">
        <v>434</v>
      </c>
      <c r="B317" s="84"/>
      <c r="C317" s="79" t="s">
        <v>113</v>
      </c>
      <c r="D317" s="84"/>
      <c r="E317" s="79" t="s">
        <v>369</v>
      </c>
      <c r="F317" s="79" t="s">
        <v>436</v>
      </c>
      <c r="G317" s="79" t="s">
        <v>361</v>
      </c>
      <c r="H317" s="81" t="s">
        <v>10</v>
      </c>
      <c r="I317" s="82"/>
      <c r="J317" s="82"/>
      <c r="K317" s="83"/>
      <c r="L317" s="83"/>
      <c r="M317" s="83"/>
      <c r="N317" s="83"/>
      <c r="O317" s="83"/>
      <c r="P317" s="83"/>
      <c r="Q317" s="83"/>
      <c r="R317" s="83"/>
      <c r="S317" s="83"/>
      <c r="T317" s="83"/>
      <c r="U317" s="83"/>
      <c r="V317" s="83"/>
      <c r="W317" s="83"/>
      <c r="X317" s="83"/>
      <c r="Y317" s="83"/>
      <c r="Z317" s="83"/>
      <c r="AA317" s="83"/>
    </row>
    <row r="318" ht="55.5" customHeight="1">
      <c r="A318" s="79" t="s">
        <v>434</v>
      </c>
      <c r="B318" s="84"/>
      <c r="C318" s="79" t="s">
        <v>115</v>
      </c>
      <c r="D318" s="12"/>
      <c r="E318" s="79" t="s">
        <v>370</v>
      </c>
      <c r="F318" s="79" t="s">
        <v>436</v>
      </c>
      <c r="G318" s="79" t="s">
        <v>361</v>
      </c>
      <c r="H318" s="81" t="s">
        <v>10</v>
      </c>
      <c r="I318" s="82"/>
      <c r="J318" s="82"/>
      <c r="K318" s="83"/>
      <c r="L318" s="83"/>
      <c r="M318" s="83"/>
      <c r="N318" s="83"/>
      <c r="O318" s="83"/>
      <c r="P318" s="83"/>
      <c r="Q318" s="83"/>
      <c r="R318" s="83"/>
      <c r="S318" s="83"/>
      <c r="T318" s="83"/>
      <c r="U318" s="83"/>
      <c r="V318" s="83"/>
      <c r="W318" s="83"/>
      <c r="X318" s="83"/>
      <c r="Y318" s="83"/>
      <c r="Z318" s="83"/>
      <c r="AA318" s="83"/>
    </row>
    <row r="319" ht="55.5" customHeight="1">
      <c r="A319" s="79" t="s">
        <v>434</v>
      </c>
      <c r="B319" s="84"/>
      <c r="C319" s="79" t="s">
        <v>117</v>
      </c>
      <c r="D319" s="80" t="s">
        <v>371</v>
      </c>
      <c r="E319" s="79" t="s">
        <v>125</v>
      </c>
      <c r="F319" s="79" t="s">
        <v>436</v>
      </c>
      <c r="G319" s="79" t="s">
        <v>68</v>
      </c>
      <c r="H319" s="81" t="s">
        <v>10</v>
      </c>
      <c r="I319" s="82"/>
      <c r="J319" s="82"/>
      <c r="K319" s="83"/>
      <c r="L319" s="83"/>
      <c r="M319" s="83"/>
      <c r="N319" s="83"/>
      <c r="O319" s="83"/>
      <c r="P319" s="83"/>
      <c r="Q319" s="83"/>
      <c r="R319" s="83"/>
      <c r="S319" s="83"/>
      <c r="T319" s="83"/>
      <c r="U319" s="83"/>
      <c r="V319" s="83"/>
      <c r="W319" s="83"/>
      <c r="X319" s="83"/>
      <c r="Y319" s="83"/>
      <c r="Z319" s="83"/>
      <c r="AA319" s="83"/>
    </row>
    <row r="320" ht="55.5" customHeight="1">
      <c r="A320" s="79" t="s">
        <v>434</v>
      </c>
      <c r="B320" s="84"/>
      <c r="C320" s="79" t="s">
        <v>119</v>
      </c>
      <c r="D320" s="12"/>
      <c r="E320" s="79" t="s">
        <v>127</v>
      </c>
      <c r="F320" s="79" t="s">
        <v>436</v>
      </c>
      <c r="G320" s="79" t="s">
        <v>372</v>
      </c>
      <c r="H320" s="81" t="s">
        <v>10</v>
      </c>
      <c r="I320" s="82"/>
      <c r="J320" s="82"/>
      <c r="K320" s="83"/>
      <c r="L320" s="83"/>
      <c r="M320" s="83"/>
      <c r="N320" s="83"/>
      <c r="O320" s="83"/>
      <c r="P320" s="83"/>
      <c r="Q320" s="83"/>
      <c r="R320" s="83"/>
      <c r="S320" s="83"/>
      <c r="T320" s="83"/>
      <c r="U320" s="83"/>
      <c r="V320" s="83"/>
      <c r="W320" s="83"/>
      <c r="X320" s="83"/>
      <c r="Y320" s="83"/>
      <c r="Z320" s="83"/>
      <c r="AA320" s="83"/>
    </row>
    <row r="321" ht="55.5" customHeight="1">
      <c r="A321" s="79" t="s">
        <v>434</v>
      </c>
      <c r="B321" s="84"/>
      <c r="C321" s="79" t="s">
        <v>121</v>
      </c>
      <c r="D321" s="80" t="s">
        <v>373</v>
      </c>
      <c r="E321" s="79" t="s">
        <v>374</v>
      </c>
      <c r="F321" s="79" t="s">
        <v>436</v>
      </c>
      <c r="G321" s="79" t="s">
        <v>132</v>
      </c>
      <c r="H321" s="81" t="s">
        <v>10</v>
      </c>
      <c r="I321" s="82"/>
      <c r="J321" s="82"/>
      <c r="K321" s="83"/>
      <c r="L321" s="83"/>
      <c r="M321" s="83"/>
      <c r="N321" s="83"/>
      <c r="O321" s="83"/>
      <c r="P321" s="83"/>
      <c r="Q321" s="83"/>
      <c r="R321" s="83"/>
      <c r="S321" s="83"/>
      <c r="T321" s="83"/>
      <c r="U321" s="83"/>
      <c r="V321" s="83"/>
      <c r="W321" s="83"/>
      <c r="X321" s="83"/>
      <c r="Y321" s="83"/>
      <c r="Z321" s="83"/>
      <c r="AA321" s="83"/>
    </row>
    <row r="322" ht="55.5" customHeight="1">
      <c r="A322" s="79" t="s">
        <v>434</v>
      </c>
      <c r="B322" s="84"/>
      <c r="C322" s="79" t="s">
        <v>123</v>
      </c>
      <c r="D322" s="12"/>
      <c r="E322" s="79" t="s">
        <v>134</v>
      </c>
      <c r="F322" s="79" t="s">
        <v>436</v>
      </c>
      <c r="G322" s="79" t="s">
        <v>135</v>
      </c>
      <c r="H322" s="81" t="s">
        <v>10</v>
      </c>
      <c r="I322" s="82"/>
      <c r="J322" s="82"/>
      <c r="K322" s="83"/>
      <c r="L322" s="83"/>
      <c r="M322" s="83"/>
      <c r="N322" s="83"/>
      <c r="O322" s="83"/>
      <c r="P322" s="83"/>
      <c r="Q322" s="83"/>
      <c r="R322" s="83"/>
      <c r="S322" s="83"/>
      <c r="T322" s="83"/>
      <c r="U322" s="83"/>
      <c r="V322" s="83"/>
      <c r="W322" s="83"/>
      <c r="X322" s="83"/>
      <c r="Y322" s="83"/>
      <c r="Z322" s="83"/>
      <c r="AA322" s="83"/>
    </row>
    <row r="323" ht="55.5" customHeight="1">
      <c r="A323" s="79" t="s">
        <v>434</v>
      </c>
      <c r="B323" s="84"/>
      <c r="C323" s="79" t="s">
        <v>126</v>
      </c>
      <c r="D323" s="80" t="s">
        <v>375</v>
      </c>
      <c r="E323" s="79" t="s">
        <v>141</v>
      </c>
      <c r="F323" s="79" t="s">
        <v>439</v>
      </c>
      <c r="G323" s="79" t="s">
        <v>143</v>
      </c>
      <c r="H323" s="81" t="s">
        <v>10</v>
      </c>
      <c r="I323" s="82"/>
      <c r="J323" s="82"/>
      <c r="K323" s="83"/>
      <c r="L323" s="83"/>
      <c r="M323" s="83"/>
      <c r="N323" s="83"/>
      <c r="O323" s="83"/>
      <c r="P323" s="83"/>
      <c r="Q323" s="83"/>
      <c r="R323" s="83"/>
      <c r="S323" s="83"/>
      <c r="T323" s="83"/>
      <c r="U323" s="83"/>
      <c r="V323" s="83"/>
      <c r="W323" s="83"/>
      <c r="X323" s="83"/>
      <c r="Y323" s="83"/>
      <c r="Z323" s="83"/>
      <c r="AA323" s="83"/>
    </row>
    <row r="324" ht="55.5" customHeight="1">
      <c r="A324" s="79" t="s">
        <v>434</v>
      </c>
      <c r="B324" s="84"/>
      <c r="C324" s="79" t="s">
        <v>129</v>
      </c>
      <c r="D324" s="84"/>
      <c r="E324" s="79" t="s">
        <v>145</v>
      </c>
      <c r="F324" s="79" t="s">
        <v>439</v>
      </c>
      <c r="G324" s="79" t="s">
        <v>440</v>
      </c>
      <c r="H324" s="81" t="s">
        <v>10</v>
      </c>
      <c r="I324" s="82"/>
      <c r="J324" s="82"/>
      <c r="K324" s="83"/>
      <c r="L324" s="83"/>
      <c r="M324" s="83"/>
      <c r="N324" s="83"/>
      <c r="O324" s="83"/>
      <c r="P324" s="83"/>
      <c r="Q324" s="83"/>
      <c r="R324" s="83"/>
      <c r="S324" s="83"/>
      <c r="T324" s="83"/>
      <c r="U324" s="83"/>
      <c r="V324" s="83"/>
      <c r="W324" s="83"/>
      <c r="X324" s="83"/>
      <c r="Y324" s="83"/>
      <c r="Z324" s="83"/>
      <c r="AA324" s="83"/>
    </row>
    <row r="325" ht="55.5" customHeight="1">
      <c r="A325" s="79" t="s">
        <v>434</v>
      </c>
      <c r="B325" s="84"/>
      <c r="C325" s="79" t="s">
        <v>133</v>
      </c>
      <c r="D325" s="84"/>
      <c r="E325" s="79" t="s">
        <v>378</v>
      </c>
      <c r="F325" s="79" t="s">
        <v>441</v>
      </c>
      <c r="G325" s="79" t="s">
        <v>135</v>
      </c>
      <c r="H325" s="81" t="s">
        <v>10</v>
      </c>
      <c r="I325" s="82"/>
      <c r="J325" s="82"/>
      <c r="K325" s="83"/>
      <c r="L325" s="83"/>
      <c r="M325" s="83"/>
      <c r="N325" s="83"/>
      <c r="O325" s="83"/>
      <c r="P325" s="83"/>
      <c r="Q325" s="83"/>
      <c r="R325" s="83"/>
      <c r="S325" s="83"/>
      <c r="T325" s="83"/>
      <c r="U325" s="83"/>
      <c r="V325" s="83"/>
      <c r="W325" s="83"/>
      <c r="X325" s="83"/>
      <c r="Y325" s="83"/>
      <c r="Z325" s="83"/>
      <c r="AA325" s="83"/>
    </row>
    <row r="326" ht="55.5" customHeight="1">
      <c r="A326" s="79" t="s">
        <v>434</v>
      </c>
      <c r="B326" s="84"/>
      <c r="C326" s="79" t="s">
        <v>136</v>
      </c>
      <c r="D326" s="84"/>
      <c r="E326" s="79" t="s">
        <v>380</v>
      </c>
      <c r="F326" s="79" t="s">
        <v>442</v>
      </c>
      <c r="G326" s="79" t="s">
        <v>440</v>
      </c>
      <c r="H326" s="81" t="s">
        <v>10</v>
      </c>
      <c r="I326" s="82"/>
      <c r="J326" s="82"/>
      <c r="K326" s="83"/>
      <c r="L326" s="83"/>
      <c r="M326" s="83"/>
      <c r="N326" s="83"/>
      <c r="O326" s="83"/>
      <c r="P326" s="83"/>
      <c r="Q326" s="83"/>
      <c r="R326" s="83"/>
      <c r="S326" s="83"/>
      <c r="T326" s="83"/>
      <c r="U326" s="83"/>
      <c r="V326" s="83"/>
      <c r="W326" s="83"/>
      <c r="X326" s="83"/>
      <c r="Y326" s="83"/>
      <c r="Z326" s="83"/>
      <c r="AA326" s="83"/>
    </row>
    <row r="327" ht="55.5" customHeight="1">
      <c r="A327" s="79" t="s">
        <v>434</v>
      </c>
      <c r="B327" s="84"/>
      <c r="C327" s="79" t="s">
        <v>139</v>
      </c>
      <c r="D327" s="12"/>
      <c r="E327" s="79" t="s">
        <v>385</v>
      </c>
      <c r="F327" s="79" t="s">
        <v>436</v>
      </c>
      <c r="G327" s="79" t="s">
        <v>161</v>
      </c>
      <c r="H327" s="81" t="s">
        <v>10</v>
      </c>
      <c r="I327" s="82"/>
      <c r="J327" s="82"/>
      <c r="K327" s="83"/>
      <c r="L327" s="83"/>
      <c r="M327" s="83"/>
      <c r="N327" s="83"/>
      <c r="O327" s="83"/>
      <c r="P327" s="83"/>
      <c r="Q327" s="83"/>
      <c r="R327" s="83"/>
      <c r="S327" s="83"/>
      <c r="T327" s="83"/>
      <c r="U327" s="83"/>
      <c r="V327" s="83"/>
      <c r="W327" s="83"/>
      <c r="X327" s="83"/>
      <c r="Y327" s="83"/>
      <c r="Z327" s="83"/>
      <c r="AA327" s="83"/>
    </row>
    <row r="328" ht="55.5" customHeight="1">
      <c r="A328" s="79" t="s">
        <v>434</v>
      </c>
      <c r="B328" s="84"/>
      <c r="C328" s="79" t="s">
        <v>144</v>
      </c>
      <c r="D328" s="80" t="s">
        <v>387</v>
      </c>
      <c r="E328" s="79" t="s">
        <v>388</v>
      </c>
      <c r="F328" s="79" t="s">
        <v>436</v>
      </c>
      <c r="G328" s="79" t="s">
        <v>132</v>
      </c>
      <c r="H328" s="81" t="s">
        <v>10</v>
      </c>
      <c r="I328" s="82"/>
      <c r="J328" s="82"/>
      <c r="K328" s="83"/>
      <c r="L328" s="83"/>
      <c r="M328" s="83"/>
      <c r="N328" s="83"/>
      <c r="O328" s="83"/>
      <c r="P328" s="83"/>
      <c r="Q328" s="83"/>
      <c r="R328" s="83"/>
      <c r="S328" s="83"/>
      <c r="T328" s="83"/>
      <c r="U328" s="83"/>
      <c r="V328" s="83"/>
      <c r="W328" s="83"/>
      <c r="X328" s="83"/>
      <c r="Y328" s="83"/>
      <c r="Z328" s="83"/>
      <c r="AA328" s="83"/>
    </row>
    <row r="329" ht="55.5" customHeight="1">
      <c r="A329" s="79" t="s">
        <v>434</v>
      </c>
      <c r="B329" s="84"/>
      <c r="C329" s="79" t="s">
        <v>148</v>
      </c>
      <c r="D329" s="84"/>
      <c r="E329" s="79" t="s">
        <v>389</v>
      </c>
      <c r="F329" s="79" t="s">
        <v>436</v>
      </c>
      <c r="G329" s="79" t="s">
        <v>132</v>
      </c>
      <c r="H329" s="81" t="s">
        <v>10</v>
      </c>
      <c r="I329" s="82"/>
      <c r="J329" s="82"/>
      <c r="K329" s="83"/>
      <c r="L329" s="83"/>
      <c r="M329" s="83"/>
      <c r="N329" s="83"/>
      <c r="O329" s="83"/>
      <c r="P329" s="83"/>
      <c r="Q329" s="83"/>
      <c r="R329" s="83"/>
      <c r="S329" s="83"/>
      <c r="T329" s="83"/>
      <c r="U329" s="83"/>
      <c r="V329" s="83"/>
      <c r="W329" s="83"/>
      <c r="X329" s="83"/>
      <c r="Y329" s="83"/>
      <c r="Z329" s="83"/>
      <c r="AA329" s="83"/>
    </row>
    <row r="330" ht="55.5" customHeight="1">
      <c r="A330" s="79" t="s">
        <v>434</v>
      </c>
      <c r="B330" s="84"/>
      <c r="C330" s="79" t="s">
        <v>151</v>
      </c>
      <c r="D330" s="84"/>
      <c r="E330" s="79" t="s">
        <v>390</v>
      </c>
      <c r="F330" s="79" t="s">
        <v>436</v>
      </c>
      <c r="G330" s="79" t="s">
        <v>132</v>
      </c>
      <c r="H330" s="81" t="s">
        <v>10</v>
      </c>
      <c r="I330" s="82"/>
      <c r="J330" s="82"/>
      <c r="K330" s="83"/>
      <c r="L330" s="83"/>
      <c r="M330" s="83"/>
      <c r="N330" s="83"/>
      <c r="O330" s="83"/>
      <c r="P330" s="83"/>
      <c r="Q330" s="83"/>
      <c r="R330" s="83"/>
      <c r="S330" s="83"/>
      <c r="T330" s="83"/>
      <c r="U330" s="83"/>
      <c r="V330" s="83"/>
      <c r="W330" s="83"/>
      <c r="X330" s="83"/>
      <c r="Y330" s="83"/>
      <c r="Z330" s="83"/>
      <c r="AA330" s="83"/>
    </row>
    <row r="331" ht="55.5" customHeight="1">
      <c r="A331" s="79" t="s">
        <v>434</v>
      </c>
      <c r="B331" s="84"/>
      <c r="C331" s="79" t="s">
        <v>154</v>
      </c>
      <c r="D331" s="84"/>
      <c r="E331" s="79" t="s">
        <v>443</v>
      </c>
      <c r="F331" s="79" t="s">
        <v>436</v>
      </c>
      <c r="G331" s="79" t="s">
        <v>132</v>
      </c>
      <c r="H331" s="81" t="s">
        <v>10</v>
      </c>
      <c r="I331" s="82"/>
      <c r="J331" s="82"/>
      <c r="K331" s="83"/>
      <c r="L331" s="83"/>
      <c r="M331" s="83"/>
      <c r="N331" s="83"/>
      <c r="O331" s="83"/>
      <c r="P331" s="83"/>
      <c r="Q331" s="83"/>
      <c r="R331" s="83"/>
      <c r="S331" s="83"/>
      <c r="T331" s="83"/>
      <c r="U331" s="83"/>
      <c r="V331" s="83"/>
      <c r="W331" s="83"/>
      <c r="X331" s="83"/>
      <c r="Y331" s="83"/>
      <c r="Z331" s="83"/>
      <c r="AA331" s="83"/>
    </row>
    <row r="332" ht="55.5" customHeight="1">
      <c r="A332" s="79" t="s">
        <v>434</v>
      </c>
      <c r="B332" s="84"/>
      <c r="C332" s="79" t="s">
        <v>158</v>
      </c>
      <c r="D332" s="12"/>
      <c r="E332" s="79" t="s">
        <v>444</v>
      </c>
      <c r="F332" s="79" t="s">
        <v>436</v>
      </c>
      <c r="G332" s="79" t="s">
        <v>132</v>
      </c>
      <c r="H332" s="81" t="s">
        <v>10</v>
      </c>
      <c r="I332" s="82"/>
      <c r="J332" s="82"/>
      <c r="K332" s="83"/>
      <c r="L332" s="83"/>
      <c r="M332" s="83"/>
      <c r="N332" s="83"/>
      <c r="O332" s="83"/>
      <c r="P332" s="83"/>
      <c r="Q332" s="83"/>
      <c r="R332" s="83"/>
      <c r="S332" s="83"/>
      <c r="T332" s="83"/>
      <c r="U332" s="83"/>
      <c r="V332" s="83"/>
      <c r="W332" s="83"/>
      <c r="X332" s="83"/>
      <c r="Y332" s="83"/>
      <c r="Z332" s="83"/>
      <c r="AA332" s="83"/>
    </row>
    <row r="333" ht="55.5" customHeight="1">
      <c r="A333" s="79" t="s">
        <v>434</v>
      </c>
      <c r="B333" s="84"/>
      <c r="C333" s="79" t="s">
        <v>162</v>
      </c>
      <c r="D333" s="80" t="s">
        <v>392</v>
      </c>
      <c r="E333" s="79" t="s">
        <v>393</v>
      </c>
      <c r="F333" s="79" t="s">
        <v>436</v>
      </c>
      <c r="G333" s="79" t="s">
        <v>132</v>
      </c>
      <c r="H333" s="81" t="s">
        <v>10</v>
      </c>
      <c r="I333" s="82"/>
      <c r="J333" s="82"/>
      <c r="K333" s="83"/>
      <c r="L333" s="83"/>
      <c r="M333" s="83"/>
      <c r="N333" s="83"/>
      <c r="O333" s="83"/>
      <c r="P333" s="83"/>
      <c r="Q333" s="83"/>
      <c r="R333" s="83"/>
      <c r="S333" s="83"/>
      <c r="T333" s="83"/>
      <c r="U333" s="83"/>
      <c r="V333" s="83"/>
      <c r="W333" s="83"/>
      <c r="X333" s="83"/>
      <c r="Y333" s="83"/>
      <c r="Z333" s="83"/>
      <c r="AA333" s="83"/>
    </row>
    <row r="334" ht="55.5" customHeight="1">
      <c r="A334" s="79" t="s">
        <v>434</v>
      </c>
      <c r="B334" s="84"/>
      <c r="C334" s="79" t="s">
        <v>165</v>
      </c>
      <c r="D334" s="84"/>
      <c r="E334" s="79" t="s">
        <v>178</v>
      </c>
      <c r="F334" s="79" t="s">
        <v>436</v>
      </c>
      <c r="G334" s="79" t="s">
        <v>132</v>
      </c>
      <c r="H334" s="81" t="s">
        <v>10</v>
      </c>
      <c r="I334" s="82"/>
      <c r="J334" s="82"/>
      <c r="K334" s="83"/>
      <c r="L334" s="83"/>
      <c r="M334" s="83"/>
      <c r="N334" s="83"/>
      <c r="O334" s="83"/>
      <c r="P334" s="83"/>
      <c r="Q334" s="83"/>
      <c r="R334" s="83"/>
      <c r="S334" s="83"/>
      <c r="T334" s="83"/>
      <c r="U334" s="83"/>
      <c r="V334" s="83"/>
      <c r="W334" s="83"/>
      <c r="X334" s="83"/>
      <c r="Y334" s="83"/>
      <c r="Z334" s="83"/>
      <c r="AA334" s="83"/>
    </row>
    <row r="335" ht="55.5" customHeight="1">
      <c r="A335" s="79" t="s">
        <v>434</v>
      </c>
      <c r="B335" s="84"/>
      <c r="C335" s="79" t="s">
        <v>167</v>
      </c>
      <c r="D335" s="84"/>
      <c r="E335" s="79" t="s">
        <v>180</v>
      </c>
      <c r="F335" s="79" t="s">
        <v>436</v>
      </c>
      <c r="G335" s="79" t="s">
        <v>132</v>
      </c>
      <c r="H335" s="81" t="s">
        <v>10</v>
      </c>
      <c r="I335" s="82"/>
      <c r="J335" s="82"/>
      <c r="K335" s="83"/>
      <c r="L335" s="83"/>
      <c r="M335" s="83"/>
      <c r="N335" s="83"/>
      <c r="O335" s="83"/>
      <c r="P335" s="83"/>
      <c r="Q335" s="83"/>
      <c r="R335" s="83"/>
      <c r="S335" s="83"/>
      <c r="T335" s="83"/>
      <c r="U335" s="83"/>
      <c r="V335" s="83"/>
      <c r="W335" s="83"/>
      <c r="X335" s="83"/>
      <c r="Y335" s="83"/>
      <c r="Z335" s="83"/>
      <c r="AA335" s="83"/>
    </row>
    <row r="336" ht="55.5" customHeight="1">
      <c r="A336" s="79" t="s">
        <v>434</v>
      </c>
      <c r="B336" s="84"/>
      <c r="C336" s="79" t="s">
        <v>169</v>
      </c>
      <c r="D336" s="84"/>
      <c r="E336" s="79" t="s">
        <v>247</v>
      </c>
      <c r="F336" s="79" t="s">
        <v>436</v>
      </c>
      <c r="G336" s="79" t="s">
        <v>132</v>
      </c>
      <c r="H336" s="81" t="s">
        <v>10</v>
      </c>
      <c r="I336" s="82"/>
      <c r="J336" s="82"/>
      <c r="K336" s="83"/>
      <c r="L336" s="83"/>
      <c r="M336" s="83"/>
      <c r="N336" s="83"/>
      <c r="O336" s="83"/>
      <c r="P336" s="83"/>
      <c r="Q336" s="83"/>
      <c r="R336" s="83"/>
      <c r="S336" s="83"/>
      <c r="T336" s="83"/>
      <c r="U336" s="83"/>
      <c r="V336" s="83"/>
      <c r="W336" s="83"/>
      <c r="X336" s="83"/>
      <c r="Y336" s="83"/>
      <c r="Z336" s="83"/>
      <c r="AA336" s="83"/>
    </row>
    <row r="337" ht="55.5" customHeight="1">
      <c r="A337" s="79" t="s">
        <v>434</v>
      </c>
      <c r="B337" s="84"/>
      <c r="C337" s="79" t="s">
        <v>171</v>
      </c>
      <c r="D337" s="84"/>
      <c r="E337" s="79" t="s">
        <v>248</v>
      </c>
      <c r="F337" s="79" t="s">
        <v>436</v>
      </c>
      <c r="G337" s="79" t="s">
        <v>132</v>
      </c>
      <c r="H337" s="81" t="s">
        <v>10</v>
      </c>
      <c r="I337" s="82"/>
      <c r="J337" s="82"/>
      <c r="K337" s="83"/>
      <c r="L337" s="83"/>
      <c r="M337" s="83"/>
      <c r="N337" s="83"/>
      <c r="O337" s="83"/>
      <c r="P337" s="83"/>
      <c r="Q337" s="83"/>
      <c r="R337" s="83"/>
      <c r="S337" s="83"/>
      <c r="T337" s="83"/>
      <c r="U337" s="83"/>
      <c r="V337" s="83"/>
      <c r="W337" s="83"/>
      <c r="X337" s="83"/>
      <c r="Y337" s="83"/>
      <c r="Z337" s="83"/>
      <c r="AA337" s="83"/>
    </row>
    <row r="338" ht="55.5" customHeight="1">
      <c r="A338" s="79" t="s">
        <v>434</v>
      </c>
      <c r="B338" s="84"/>
      <c r="C338" s="79" t="s">
        <v>173</v>
      </c>
      <c r="D338" s="84"/>
      <c r="E338" s="79" t="s">
        <v>186</v>
      </c>
      <c r="F338" s="79" t="s">
        <v>436</v>
      </c>
      <c r="G338" s="79" t="s">
        <v>132</v>
      </c>
      <c r="H338" s="81" t="s">
        <v>10</v>
      </c>
      <c r="I338" s="82"/>
      <c r="J338" s="82"/>
      <c r="K338" s="83"/>
      <c r="L338" s="83"/>
      <c r="M338" s="83"/>
      <c r="N338" s="83"/>
      <c r="O338" s="83"/>
      <c r="P338" s="83"/>
      <c r="Q338" s="83"/>
      <c r="R338" s="83"/>
      <c r="S338" s="83"/>
      <c r="T338" s="83"/>
      <c r="U338" s="83"/>
      <c r="V338" s="83"/>
      <c r="W338" s="83"/>
      <c r="X338" s="83"/>
      <c r="Y338" s="83"/>
      <c r="Z338" s="83"/>
      <c r="AA338" s="83"/>
    </row>
    <row r="339" ht="55.5" customHeight="1">
      <c r="A339" s="79" t="s">
        <v>434</v>
      </c>
      <c r="B339" s="84"/>
      <c r="C339" s="79" t="s">
        <v>244</v>
      </c>
      <c r="D339" s="12"/>
      <c r="E339" s="79" t="s">
        <v>188</v>
      </c>
      <c r="F339" s="79" t="s">
        <v>436</v>
      </c>
      <c r="G339" s="79" t="s">
        <v>132</v>
      </c>
      <c r="H339" s="81" t="s">
        <v>10</v>
      </c>
      <c r="I339" s="82"/>
      <c r="J339" s="82"/>
      <c r="K339" s="83"/>
      <c r="L339" s="83"/>
      <c r="M339" s="83"/>
      <c r="N339" s="83"/>
      <c r="O339" s="83"/>
      <c r="P339" s="83"/>
      <c r="Q339" s="83"/>
      <c r="R339" s="83"/>
      <c r="S339" s="83"/>
      <c r="T339" s="83"/>
      <c r="U339" s="83"/>
      <c r="V339" s="83"/>
      <c r="W339" s="83"/>
      <c r="X339" s="83"/>
      <c r="Y339" s="83"/>
      <c r="Z339" s="83"/>
      <c r="AA339" s="83"/>
    </row>
    <row r="340" ht="55.5" customHeight="1">
      <c r="A340" s="79" t="s">
        <v>434</v>
      </c>
      <c r="B340" s="84"/>
      <c r="C340" s="79" t="s">
        <v>177</v>
      </c>
      <c r="D340" s="79" t="s">
        <v>394</v>
      </c>
      <c r="E340" s="79" t="s">
        <v>191</v>
      </c>
      <c r="F340" s="79" t="s">
        <v>436</v>
      </c>
      <c r="G340" s="79" t="s">
        <v>132</v>
      </c>
      <c r="H340" s="81" t="s">
        <v>10</v>
      </c>
      <c r="I340" s="82"/>
      <c r="J340" s="82"/>
      <c r="K340" s="83"/>
      <c r="L340" s="83"/>
      <c r="M340" s="83"/>
      <c r="N340" s="83"/>
      <c r="O340" s="83"/>
      <c r="P340" s="83"/>
      <c r="Q340" s="83"/>
      <c r="R340" s="83"/>
      <c r="S340" s="83"/>
      <c r="T340" s="83"/>
      <c r="U340" s="83"/>
      <c r="V340" s="83"/>
      <c r="W340" s="83"/>
      <c r="X340" s="83"/>
      <c r="Y340" s="83"/>
      <c r="Z340" s="83"/>
      <c r="AA340" s="83"/>
    </row>
    <row r="341" ht="55.5" customHeight="1">
      <c r="A341" s="79" t="s">
        <v>434</v>
      </c>
      <c r="B341" s="84"/>
      <c r="C341" s="79" t="s">
        <v>179</v>
      </c>
      <c r="D341" s="79" t="s">
        <v>395</v>
      </c>
      <c r="E341" s="79" t="s">
        <v>194</v>
      </c>
      <c r="F341" s="79" t="s">
        <v>436</v>
      </c>
      <c r="G341" s="79" t="s">
        <v>195</v>
      </c>
      <c r="H341" s="81" t="s">
        <v>10</v>
      </c>
      <c r="I341" s="82"/>
      <c r="J341" s="82"/>
      <c r="K341" s="83"/>
      <c r="L341" s="83"/>
      <c r="M341" s="83"/>
      <c r="N341" s="83"/>
      <c r="O341" s="83"/>
      <c r="P341" s="83"/>
      <c r="Q341" s="83"/>
      <c r="R341" s="83"/>
      <c r="S341" s="83"/>
      <c r="T341" s="83"/>
      <c r="U341" s="83"/>
      <c r="V341" s="83"/>
      <c r="W341" s="83"/>
      <c r="X341" s="83"/>
      <c r="Y341" s="83"/>
      <c r="Z341" s="83"/>
      <c r="AA341" s="83"/>
    </row>
    <row r="342" ht="55.5" customHeight="1">
      <c r="A342" s="79" t="s">
        <v>434</v>
      </c>
      <c r="B342" s="84"/>
      <c r="C342" s="79" t="s">
        <v>181</v>
      </c>
      <c r="D342" s="80" t="s">
        <v>398</v>
      </c>
      <c r="E342" s="79" t="s">
        <v>207</v>
      </c>
      <c r="F342" s="79" t="s">
        <v>436</v>
      </c>
      <c r="G342" s="79" t="s">
        <v>445</v>
      </c>
      <c r="H342" s="81" t="s">
        <v>10</v>
      </c>
      <c r="I342" s="82"/>
      <c r="J342" s="82"/>
      <c r="K342" s="83"/>
      <c r="L342" s="83"/>
      <c r="M342" s="83"/>
      <c r="N342" s="83"/>
      <c r="O342" s="83"/>
      <c r="P342" s="83"/>
      <c r="Q342" s="83"/>
      <c r="R342" s="83"/>
      <c r="S342" s="83"/>
      <c r="T342" s="83"/>
      <c r="U342" s="83"/>
      <c r="V342" s="83"/>
      <c r="W342" s="83"/>
      <c r="X342" s="83"/>
      <c r="Y342" s="83"/>
      <c r="Z342" s="83"/>
      <c r="AA342" s="83"/>
    </row>
    <row r="343" ht="55.5" customHeight="1">
      <c r="A343" s="79" t="s">
        <v>434</v>
      </c>
      <c r="B343" s="84"/>
      <c r="C343" s="79" t="s">
        <v>183</v>
      </c>
      <c r="D343" s="84"/>
      <c r="E343" s="79" t="s">
        <v>209</v>
      </c>
      <c r="F343" s="79" t="s">
        <v>436</v>
      </c>
      <c r="G343" s="79" t="s">
        <v>446</v>
      </c>
      <c r="H343" s="81" t="s">
        <v>10</v>
      </c>
      <c r="I343" s="82"/>
      <c r="J343" s="82"/>
      <c r="K343" s="83"/>
      <c r="L343" s="83"/>
      <c r="M343" s="83"/>
      <c r="N343" s="83"/>
      <c r="O343" s="83"/>
      <c r="P343" s="83"/>
      <c r="Q343" s="83"/>
      <c r="R343" s="83"/>
      <c r="S343" s="83"/>
      <c r="T343" s="83"/>
      <c r="U343" s="83"/>
      <c r="V343" s="83"/>
      <c r="W343" s="83"/>
      <c r="X343" s="83"/>
      <c r="Y343" s="83"/>
      <c r="Z343" s="83"/>
      <c r="AA343" s="83"/>
    </row>
    <row r="344" ht="55.5" customHeight="1">
      <c r="A344" s="79" t="s">
        <v>434</v>
      </c>
      <c r="B344" s="84"/>
      <c r="C344" s="79" t="s">
        <v>185</v>
      </c>
      <c r="D344" s="84"/>
      <c r="E344" s="79" t="s">
        <v>401</v>
      </c>
      <c r="F344" s="79" t="s">
        <v>436</v>
      </c>
      <c r="G344" s="79" t="s">
        <v>446</v>
      </c>
      <c r="H344" s="81" t="s">
        <v>10</v>
      </c>
      <c r="I344" s="82"/>
      <c r="J344" s="82"/>
      <c r="K344" s="83"/>
      <c r="L344" s="83"/>
      <c r="M344" s="83"/>
      <c r="N344" s="83"/>
      <c r="O344" s="83"/>
      <c r="P344" s="83"/>
      <c r="Q344" s="83"/>
      <c r="R344" s="83"/>
      <c r="S344" s="83"/>
      <c r="T344" s="83"/>
      <c r="U344" s="83"/>
      <c r="V344" s="83"/>
      <c r="W344" s="83"/>
      <c r="X344" s="83"/>
      <c r="Y344" s="83"/>
      <c r="Z344" s="83"/>
      <c r="AA344" s="83"/>
    </row>
    <row r="345" ht="55.5" customHeight="1">
      <c r="A345" s="79" t="s">
        <v>434</v>
      </c>
      <c r="B345" s="84"/>
      <c r="C345" s="79" t="s">
        <v>187</v>
      </c>
      <c r="D345" s="12"/>
      <c r="E345" s="79" t="s">
        <v>214</v>
      </c>
      <c r="F345" s="79" t="s">
        <v>436</v>
      </c>
      <c r="G345" s="79" t="s">
        <v>446</v>
      </c>
      <c r="H345" s="81" t="s">
        <v>10</v>
      </c>
      <c r="I345" s="82"/>
      <c r="J345" s="82"/>
      <c r="K345" s="83"/>
      <c r="L345" s="83"/>
      <c r="M345" s="83"/>
      <c r="N345" s="83"/>
      <c r="O345" s="83"/>
      <c r="P345" s="83"/>
      <c r="Q345" s="83"/>
      <c r="R345" s="83"/>
      <c r="S345" s="83"/>
      <c r="T345" s="83"/>
      <c r="U345" s="83"/>
      <c r="V345" s="83"/>
      <c r="W345" s="83"/>
      <c r="X345" s="83"/>
      <c r="Y345" s="83"/>
      <c r="Z345" s="83"/>
      <c r="AA345" s="83"/>
    </row>
    <row r="346" ht="55.5" customHeight="1">
      <c r="A346" s="79" t="s">
        <v>434</v>
      </c>
      <c r="B346" s="84"/>
      <c r="C346" s="79" t="s">
        <v>189</v>
      </c>
      <c r="D346" s="80" t="s">
        <v>447</v>
      </c>
      <c r="E346" s="79" t="s">
        <v>448</v>
      </c>
      <c r="F346" s="79" t="s">
        <v>449</v>
      </c>
      <c r="G346" s="79" t="s">
        <v>450</v>
      </c>
      <c r="H346" s="81" t="s">
        <v>10</v>
      </c>
      <c r="I346" s="82"/>
      <c r="J346" s="82"/>
      <c r="K346" s="83"/>
      <c r="L346" s="83"/>
      <c r="M346" s="83"/>
      <c r="N346" s="83"/>
      <c r="O346" s="83"/>
      <c r="P346" s="83"/>
      <c r="Q346" s="83"/>
      <c r="R346" s="83"/>
      <c r="S346" s="83"/>
      <c r="T346" s="83"/>
      <c r="U346" s="83"/>
      <c r="V346" s="83"/>
      <c r="W346" s="83"/>
      <c r="X346" s="83"/>
      <c r="Y346" s="83"/>
      <c r="Z346" s="83"/>
      <c r="AA346" s="83"/>
    </row>
    <row r="347" ht="55.5" customHeight="1">
      <c r="A347" s="79" t="s">
        <v>434</v>
      </c>
      <c r="B347" s="84"/>
      <c r="C347" s="79" t="s">
        <v>192</v>
      </c>
      <c r="D347" s="84"/>
      <c r="E347" s="79" t="s">
        <v>451</v>
      </c>
      <c r="F347" s="79" t="s">
        <v>449</v>
      </c>
      <c r="G347" s="79" t="s">
        <v>452</v>
      </c>
      <c r="H347" s="81" t="s">
        <v>10</v>
      </c>
      <c r="I347" s="82"/>
      <c r="J347" s="82"/>
      <c r="K347" s="83"/>
      <c r="L347" s="83"/>
      <c r="M347" s="83"/>
      <c r="N347" s="83"/>
      <c r="O347" s="83"/>
      <c r="P347" s="83"/>
      <c r="Q347" s="83"/>
      <c r="R347" s="83"/>
      <c r="S347" s="83"/>
      <c r="T347" s="83"/>
      <c r="U347" s="83"/>
      <c r="V347" s="83"/>
      <c r="W347" s="83"/>
      <c r="X347" s="83"/>
      <c r="Y347" s="83"/>
      <c r="Z347" s="83"/>
      <c r="AA347" s="83"/>
    </row>
    <row r="348" ht="55.5" customHeight="1">
      <c r="A348" s="79" t="s">
        <v>434</v>
      </c>
      <c r="B348" s="84"/>
      <c r="C348" s="79" t="s">
        <v>196</v>
      </c>
      <c r="D348" s="84"/>
      <c r="E348" s="79" t="s">
        <v>405</v>
      </c>
      <c r="F348" s="79" t="s">
        <v>436</v>
      </c>
      <c r="G348" s="79" t="s">
        <v>406</v>
      </c>
      <c r="H348" s="81" t="s">
        <v>10</v>
      </c>
      <c r="I348" s="82"/>
      <c r="J348" s="82"/>
      <c r="K348" s="83"/>
      <c r="L348" s="83"/>
      <c r="M348" s="83"/>
      <c r="N348" s="83"/>
      <c r="O348" s="83"/>
      <c r="P348" s="83"/>
      <c r="Q348" s="83"/>
      <c r="R348" s="83"/>
      <c r="S348" s="83"/>
      <c r="T348" s="83"/>
      <c r="U348" s="83"/>
      <c r="V348" s="83"/>
      <c r="W348" s="83"/>
      <c r="X348" s="83"/>
      <c r="Y348" s="83"/>
      <c r="Z348" s="83"/>
      <c r="AA348" s="83"/>
    </row>
    <row r="349" ht="55.5" customHeight="1">
      <c r="A349" s="79" t="s">
        <v>434</v>
      </c>
      <c r="B349" s="84"/>
      <c r="C349" s="79" t="s">
        <v>198</v>
      </c>
      <c r="D349" s="84"/>
      <c r="E349" s="79" t="s">
        <v>453</v>
      </c>
      <c r="F349" s="79" t="s">
        <v>436</v>
      </c>
      <c r="G349" s="79" t="s">
        <v>408</v>
      </c>
      <c r="H349" s="81" t="s">
        <v>10</v>
      </c>
      <c r="I349" s="82"/>
      <c r="J349" s="82"/>
      <c r="K349" s="83"/>
      <c r="L349" s="83"/>
      <c r="M349" s="83"/>
      <c r="N349" s="83"/>
      <c r="O349" s="83"/>
      <c r="P349" s="83"/>
      <c r="Q349" s="83"/>
      <c r="R349" s="83"/>
      <c r="S349" s="83"/>
      <c r="T349" s="83"/>
      <c r="U349" s="83"/>
      <c r="V349" s="83"/>
      <c r="W349" s="83"/>
      <c r="X349" s="83"/>
      <c r="Y349" s="83"/>
      <c r="Z349" s="83"/>
      <c r="AA349" s="83"/>
    </row>
    <row r="350" ht="55.5" customHeight="1">
      <c r="A350" s="79" t="s">
        <v>434</v>
      </c>
      <c r="B350" s="84"/>
      <c r="C350" s="79" t="s">
        <v>201</v>
      </c>
      <c r="D350" s="84"/>
      <c r="E350" s="79" t="s">
        <v>454</v>
      </c>
      <c r="F350" s="79" t="s">
        <v>436</v>
      </c>
      <c r="G350" s="79" t="s">
        <v>455</v>
      </c>
      <c r="H350" s="81" t="s">
        <v>10</v>
      </c>
      <c r="I350" s="82"/>
      <c r="J350" s="82"/>
      <c r="K350" s="83"/>
      <c r="L350" s="83"/>
      <c r="M350" s="83"/>
      <c r="N350" s="83"/>
      <c r="O350" s="83"/>
      <c r="P350" s="83"/>
      <c r="Q350" s="83"/>
      <c r="R350" s="83"/>
      <c r="S350" s="83"/>
      <c r="T350" s="83"/>
      <c r="U350" s="83"/>
      <c r="V350" s="83"/>
      <c r="W350" s="83"/>
      <c r="X350" s="83"/>
      <c r="Y350" s="83"/>
      <c r="Z350" s="83"/>
      <c r="AA350" s="83"/>
    </row>
    <row r="351" ht="55.5" customHeight="1">
      <c r="A351" s="79" t="s">
        <v>434</v>
      </c>
      <c r="B351" s="84"/>
      <c r="C351" s="79" t="s">
        <v>205</v>
      </c>
      <c r="D351" s="84"/>
      <c r="E351" s="79" t="s">
        <v>456</v>
      </c>
      <c r="F351" s="79" t="s">
        <v>436</v>
      </c>
      <c r="G351" s="79" t="s">
        <v>412</v>
      </c>
      <c r="H351" s="81" t="s">
        <v>10</v>
      </c>
      <c r="I351" s="82"/>
      <c r="J351" s="82"/>
      <c r="K351" s="83"/>
      <c r="L351" s="83"/>
      <c r="M351" s="83"/>
      <c r="N351" s="83"/>
      <c r="O351" s="83"/>
      <c r="P351" s="83"/>
      <c r="Q351" s="83"/>
      <c r="R351" s="83"/>
      <c r="S351" s="83"/>
      <c r="T351" s="83"/>
      <c r="U351" s="83"/>
      <c r="V351" s="83"/>
      <c r="W351" s="83"/>
      <c r="X351" s="83"/>
      <c r="Y351" s="83"/>
      <c r="Z351" s="83"/>
      <c r="AA351" s="83"/>
    </row>
    <row r="352" ht="55.5" customHeight="1">
      <c r="A352" s="79" t="s">
        <v>434</v>
      </c>
      <c r="B352" s="84"/>
      <c r="C352" s="79" t="s">
        <v>208</v>
      </c>
      <c r="D352" s="84"/>
      <c r="E352" s="79" t="s">
        <v>457</v>
      </c>
      <c r="F352" s="79" t="s">
        <v>436</v>
      </c>
      <c r="G352" s="79" t="s">
        <v>412</v>
      </c>
      <c r="H352" s="81" t="s">
        <v>10</v>
      </c>
      <c r="I352" s="82"/>
      <c r="J352" s="82"/>
      <c r="K352" s="83"/>
      <c r="L352" s="83"/>
      <c r="M352" s="83"/>
      <c r="N352" s="83"/>
      <c r="O352" s="83"/>
      <c r="P352" s="83"/>
      <c r="Q352" s="83"/>
      <c r="R352" s="83"/>
      <c r="S352" s="83"/>
      <c r="T352" s="83"/>
      <c r="U352" s="83"/>
      <c r="V352" s="83"/>
      <c r="W352" s="83"/>
      <c r="X352" s="83"/>
      <c r="Y352" s="83"/>
      <c r="Z352" s="83"/>
      <c r="AA352" s="83"/>
    </row>
    <row r="353" ht="55.5" customHeight="1">
      <c r="A353" s="79" t="s">
        <v>434</v>
      </c>
      <c r="B353" s="84"/>
      <c r="C353" s="79" t="s">
        <v>211</v>
      </c>
      <c r="D353" s="84"/>
      <c r="E353" s="79" t="s">
        <v>458</v>
      </c>
      <c r="F353" s="79" t="s">
        <v>436</v>
      </c>
      <c r="G353" s="79" t="s">
        <v>459</v>
      </c>
      <c r="H353" s="81" t="s">
        <v>10</v>
      </c>
      <c r="I353" s="82"/>
      <c r="J353" s="82"/>
      <c r="K353" s="83"/>
      <c r="L353" s="83"/>
      <c r="M353" s="83"/>
      <c r="N353" s="83"/>
      <c r="O353" s="83"/>
      <c r="P353" s="83"/>
      <c r="Q353" s="83"/>
      <c r="R353" s="83"/>
      <c r="S353" s="83"/>
      <c r="T353" s="83"/>
      <c r="U353" s="83"/>
      <c r="V353" s="83"/>
      <c r="W353" s="83"/>
      <c r="X353" s="83"/>
      <c r="Y353" s="83"/>
      <c r="Z353" s="83"/>
      <c r="AA353" s="83"/>
    </row>
    <row r="354" ht="55.5" customHeight="1">
      <c r="A354" s="79" t="s">
        <v>434</v>
      </c>
      <c r="B354" s="84"/>
      <c r="C354" s="79" t="s">
        <v>213</v>
      </c>
      <c r="D354" s="84"/>
      <c r="E354" s="79" t="s">
        <v>413</v>
      </c>
      <c r="F354" s="79" t="s">
        <v>436</v>
      </c>
      <c r="G354" s="79" t="s">
        <v>460</v>
      </c>
      <c r="H354" s="81" t="s">
        <v>10</v>
      </c>
      <c r="I354" s="82"/>
      <c r="J354" s="82"/>
      <c r="K354" s="83"/>
      <c r="L354" s="83"/>
      <c r="M354" s="83"/>
      <c r="N354" s="83"/>
      <c r="O354" s="83"/>
      <c r="P354" s="83"/>
      <c r="Q354" s="83"/>
      <c r="R354" s="83"/>
      <c r="S354" s="83"/>
      <c r="T354" s="83"/>
      <c r="U354" s="83"/>
      <c r="V354" s="83"/>
      <c r="W354" s="83"/>
      <c r="X354" s="83"/>
      <c r="Y354" s="83"/>
      <c r="Z354" s="83"/>
      <c r="AA354" s="83"/>
    </row>
    <row r="355" ht="55.5" customHeight="1">
      <c r="A355" s="79" t="s">
        <v>434</v>
      </c>
      <c r="B355" s="84"/>
      <c r="C355" s="79" t="s">
        <v>215</v>
      </c>
      <c r="D355" s="84"/>
      <c r="E355" s="79" t="s">
        <v>461</v>
      </c>
      <c r="F355" s="79" t="s">
        <v>436</v>
      </c>
      <c r="G355" s="79" t="s">
        <v>462</v>
      </c>
      <c r="H355" s="81" t="s">
        <v>10</v>
      </c>
      <c r="I355" s="82"/>
      <c r="J355" s="82"/>
      <c r="K355" s="83"/>
      <c r="L355" s="83"/>
      <c r="M355" s="83"/>
      <c r="N355" s="83"/>
      <c r="O355" s="83"/>
      <c r="P355" s="83"/>
      <c r="Q355" s="83"/>
      <c r="R355" s="83"/>
      <c r="S355" s="83"/>
      <c r="T355" s="83"/>
      <c r="U355" s="83"/>
      <c r="V355" s="83"/>
      <c r="W355" s="83"/>
      <c r="X355" s="83"/>
      <c r="Y355" s="83"/>
      <c r="Z355" s="83"/>
      <c r="AA355" s="83"/>
    </row>
    <row r="356" ht="55.5" customHeight="1">
      <c r="A356" s="79" t="s">
        <v>434</v>
      </c>
      <c r="B356" s="84"/>
      <c r="C356" s="79" t="s">
        <v>217</v>
      </c>
      <c r="D356" s="84"/>
      <c r="E356" s="79" t="s">
        <v>463</v>
      </c>
      <c r="F356" s="79" t="s">
        <v>436</v>
      </c>
      <c r="G356" s="79" t="s">
        <v>464</v>
      </c>
      <c r="H356" s="81" t="s">
        <v>10</v>
      </c>
      <c r="I356" s="82"/>
      <c r="J356" s="82"/>
      <c r="K356" s="83"/>
      <c r="L356" s="83"/>
      <c r="M356" s="83"/>
      <c r="N356" s="83"/>
      <c r="O356" s="83"/>
      <c r="P356" s="83"/>
      <c r="Q356" s="83"/>
      <c r="R356" s="83"/>
      <c r="S356" s="83"/>
      <c r="T356" s="83"/>
      <c r="U356" s="83"/>
      <c r="V356" s="83"/>
      <c r="W356" s="83"/>
      <c r="X356" s="83"/>
      <c r="Y356" s="83"/>
      <c r="Z356" s="83"/>
      <c r="AA356" s="83"/>
    </row>
    <row r="357" ht="55.5" customHeight="1">
      <c r="A357" s="79" t="s">
        <v>434</v>
      </c>
      <c r="B357" s="84"/>
      <c r="C357" s="79" t="s">
        <v>249</v>
      </c>
      <c r="D357" s="84"/>
      <c r="E357" s="79" t="s">
        <v>465</v>
      </c>
      <c r="F357" s="79" t="s">
        <v>436</v>
      </c>
      <c r="G357" s="79" t="s">
        <v>446</v>
      </c>
      <c r="H357" s="81" t="s">
        <v>10</v>
      </c>
      <c r="I357" s="82"/>
      <c r="J357" s="82"/>
      <c r="K357" s="83"/>
      <c r="L357" s="83"/>
      <c r="M357" s="83"/>
      <c r="N357" s="83"/>
      <c r="O357" s="83"/>
      <c r="P357" s="83"/>
      <c r="Q357" s="83"/>
      <c r="R357" s="83"/>
      <c r="S357" s="83"/>
      <c r="T357" s="83"/>
      <c r="U357" s="83"/>
      <c r="V357" s="83"/>
      <c r="W357" s="83"/>
      <c r="X357" s="83"/>
      <c r="Y357" s="83"/>
      <c r="Z357" s="83"/>
      <c r="AA357" s="83"/>
    </row>
    <row r="358" ht="55.5" customHeight="1">
      <c r="A358" s="79" t="s">
        <v>434</v>
      </c>
      <c r="B358" s="84"/>
      <c r="C358" s="79" t="s">
        <v>250</v>
      </c>
      <c r="D358" s="84"/>
      <c r="E358" s="79" t="s">
        <v>466</v>
      </c>
      <c r="F358" s="79" t="s">
        <v>436</v>
      </c>
      <c r="G358" s="79" t="s">
        <v>445</v>
      </c>
      <c r="H358" s="81" t="s">
        <v>10</v>
      </c>
      <c r="I358" s="82"/>
      <c r="J358" s="82"/>
      <c r="K358" s="83"/>
      <c r="L358" s="83"/>
      <c r="M358" s="83"/>
      <c r="N358" s="83"/>
      <c r="O358" s="83"/>
      <c r="P358" s="83"/>
      <c r="Q358" s="83"/>
      <c r="R358" s="83"/>
      <c r="S358" s="83"/>
      <c r="T358" s="83"/>
      <c r="U358" s="83"/>
      <c r="V358" s="83"/>
      <c r="W358" s="83"/>
      <c r="X358" s="83"/>
      <c r="Y358" s="83"/>
      <c r="Z358" s="83"/>
      <c r="AA358" s="83"/>
    </row>
    <row r="359" ht="55.5" customHeight="1">
      <c r="A359" s="79" t="s">
        <v>434</v>
      </c>
      <c r="B359" s="84"/>
      <c r="C359" s="79" t="s">
        <v>252</v>
      </c>
      <c r="D359" s="84"/>
      <c r="E359" s="79" t="s">
        <v>467</v>
      </c>
      <c r="F359" s="79" t="s">
        <v>436</v>
      </c>
      <c r="G359" s="79" t="s">
        <v>445</v>
      </c>
      <c r="H359" s="81" t="s">
        <v>10</v>
      </c>
      <c r="I359" s="82"/>
      <c r="J359" s="82"/>
      <c r="K359" s="83"/>
      <c r="L359" s="83"/>
      <c r="M359" s="83"/>
      <c r="N359" s="83"/>
      <c r="O359" s="83"/>
      <c r="P359" s="83"/>
      <c r="Q359" s="83"/>
      <c r="R359" s="83"/>
      <c r="S359" s="83"/>
      <c r="T359" s="83"/>
      <c r="U359" s="83"/>
      <c r="V359" s="83"/>
      <c r="W359" s="83"/>
      <c r="X359" s="83"/>
      <c r="Y359" s="83"/>
      <c r="Z359" s="83"/>
      <c r="AA359" s="83"/>
    </row>
    <row r="360" ht="55.5" customHeight="1">
      <c r="A360" s="79" t="s">
        <v>434</v>
      </c>
      <c r="B360" s="84"/>
      <c r="C360" s="79" t="s">
        <v>253</v>
      </c>
      <c r="D360" s="84"/>
      <c r="E360" s="79" t="s">
        <v>468</v>
      </c>
      <c r="F360" s="79" t="s">
        <v>436</v>
      </c>
      <c r="G360" s="79" t="s">
        <v>469</v>
      </c>
      <c r="H360" s="81" t="s">
        <v>10</v>
      </c>
      <c r="I360" s="82"/>
      <c r="J360" s="82"/>
      <c r="K360" s="83"/>
      <c r="L360" s="83"/>
      <c r="M360" s="83"/>
      <c r="N360" s="83"/>
      <c r="O360" s="83"/>
      <c r="P360" s="83"/>
      <c r="Q360" s="83"/>
      <c r="R360" s="83"/>
      <c r="S360" s="83"/>
      <c r="T360" s="83"/>
      <c r="U360" s="83"/>
      <c r="V360" s="83"/>
      <c r="W360" s="83"/>
      <c r="X360" s="83"/>
      <c r="Y360" s="83"/>
      <c r="Z360" s="83"/>
      <c r="AA360" s="83"/>
    </row>
    <row r="361" ht="55.5" customHeight="1">
      <c r="A361" s="79" t="s">
        <v>434</v>
      </c>
      <c r="B361" s="84"/>
      <c r="C361" s="79" t="s">
        <v>254</v>
      </c>
      <c r="D361" s="84"/>
      <c r="E361" s="79" t="s">
        <v>415</v>
      </c>
      <c r="F361" s="79" t="s">
        <v>436</v>
      </c>
      <c r="G361" s="79" t="s">
        <v>306</v>
      </c>
      <c r="H361" s="81" t="s">
        <v>10</v>
      </c>
      <c r="I361" s="82"/>
      <c r="J361" s="82"/>
      <c r="K361" s="83"/>
      <c r="L361" s="83"/>
      <c r="M361" s="83"/>
      <c r="N361" s="83"/>
      <c r="O361" s="83"/>
      <c r="P361" s="83"/>
      <c r="Q361" s="83"/>
      <c r="R361" s="83"/>
      <c r="S361" s="83"/>
      <c r="T361" s="83"/>
      <c r="U361" s="83"/>
      <c r="V361" s="83"/>
      <c r="W361" s="83"/>
      <c r="X361" s="83"/>
      <c r="Y361" s="83"/>
      <c r="Z361" s="83"/>
      <c r="AA361" s="83"/>
    </row>
    <row r="362" ht="55.5" customHeight="1">
      <c r="A362" s="79" t="s">
        <v>434</v>
      </c>
      <c r="B362" s="84"/>
      <c r="C362" s="79" t="s">
        <v>255</v>
      </c>
      <c r="D362" s="84"/>
      <c r="E362" s="79" t="s">
        <v>314</v>
      </c>
      <c r="F362" s="79" t="s">
        <v>436</v>
      </c>
      <c r="G362" s="79" t="s">
        <v>470</v>
      </c>
      <c r="H362" s="81" t="s">
        <v>10</v>
      </c>
      <c r="I362" s="82"/>
      <c r="J362" s="82"/>
      <c r="K362" s="83"/>
      <c r="L362" s="83"/>
      <c r="M362" s="83"/>
      <c r="N362" s="83"/>
      <c r="O362" s="83"/>
      <c r="P362" s="83"/>
      <c r="Q362" s="83"/>
      <c r="R362" s="83"/>
      <c r="S362" s="83"/>
      <c r="T362" s="83"/>
      <c r="U362" s="83"/>
      <c r="V362" s="83"/>
      <c r="W362" s="83"/>
      <c r="X362" s="83"/>
      <c r="Y362" s="83"/>
      <c r="Z362" s="83"/>
      <c r="AA362" s="83"/>
    </row>
    <row r="363" ht="55.5" customHeight="1">
      <c r="A363" s="79" t="s">
        <v>434</v>
      </c>
      <c r="B363" s="84"/>
      <c r="C363" s="79" t="s">
        <v>257</v>
      </c>
      <c r="D363" s="12"/>
      <c r="E363" s="86" t="s">
        <v>471</v>
      </c>
      <c r="F363" s="86" t="s">
        <v>472</v>
      </c>
      <c r="G363" s="86" t="s">
        <v>473</v>
      </c>
      <c r="H363" s="81" t="s">
        <v>10</v>
      </c>
      <c r="I363" s="82"/>
      <c r="J363" s="82"/>
      <c r="K363" s="83"/>
      <c r="L363" s="83"/>
      <c r="M363" s="83"/>
      <c r="N363" s="83"/>
      <c r="O363" s="83"/>
      <c r="P363" s="83"/>
      <c r="Q363" s="83"/>
      <c r="R363" s="83"/>
      <c r="S363" s="83"/>
      <c r="T363" s="83"/>
      <c r="U363" s="83"/>
      <c r="V363" s="83"/>
      <c r="W363" s="83"/>
      <c r="X363" s="83"/>
      <c r="Y363" s="83"/>
      <c r="Z363" s="83"/>
      <c r="AA363" s="83"/>
    </row>
    <row r="364" ht="55.5" customHeight="1">
      <c r="A364" s="79" t="s">
        <v>434</v>
      </c>
      <c r="B364" s="84"/>
      <c r="C364" s="79" t="s">
        <v>260</v>
      </c>
      <c r="D364" s="80" t="s">
        <v>474</v>
      </c>
      <c r="E364" s="79" t="s">
        <v>475</v>
      </c>
      <c r="F364" s="79" t="s">
        <v>476</v>
      </c>
      <c r="G364" s="79" t="s">
        <v>477</v>
      </c>
      <c r="H364" s="81" t="s">
        <v>10</v>
      </c>
      <c r="I364" s="85"/>
      <c r="J364" s="82"/>
      <c r="K364" s="83"/>
      <c r="L364" s="83"/>
      <c r="M364" s="83"/>
      <c r="N364" s="83"/>
      <c r="O364" s="83"/>
      <c r="P364" s="83"/>
      <c r="Q364" s="83"/>
      <c r="R364" s="83"/>
      <c r="S364" s="83"/>
      <c r="T364" s="83"/>
      <c r="U364" s="83"/>
      <c r="V364" s="83"/>
      <c r="W364" s="83"/>
      <c r="X364" s="83"/>
      <c r="Y364" s="83"/>
      <c r="Z364" s="83"/>
      <c r="AA364" s="83"/>
    </row>
    <row r="365" ht="55.5" customHeight="1">
      <c r="A365" s="79" t="s">
        <v>434</v>
      </c>
      <c r="B365" s="84"/>
      <c r="C365" s="79" t="s">
        <v>263</v>
      </c>
      <c r="D365" s="84"/>
      <c r="E365" s="79" t="s">
        <v>478</v>
      </c>
      <c r="F365" s="79" t="s">
        <v>476</v>
      </c>
      <c r="G365" s="79" t="s">
        <v>477</v>
      </c>
      <c r="H365" s="81" t="s">
        <v>10</v>
      </c>
      <c r="I365" s="85"/>
      <c r="J365" s="82"/>
      <c r="K365" s="83"/>
      <c r="L365" s="83"/>
      <c r="M365" s="83"/>
      <c r="N365" s="83"/>
      <c r="O365" s="83"/>
      <c r="P365" s="83"/>
      <c r="Q365" s="83"/>
      <c r="R365" s="83"/>
      <c r="S365" s="83"/>
      <c r="T365" s="83"/>
      <c r="U365" s="83"/>
      <c r="V365" s="83"/>
      <c r="W365" s="83"/>
      <c r="X365" s="83"/>
      <c r="Y365" s="83"/>
      <c r="Z365" s="83"/>
      <c r="AA365" s="83"/>
    </row>
    <row r="366" ht="55.5" customHeight="1">
      <c r="A366" s="79" t="s">
        <v>434</v>
      </c>
      <c r="B366" s="84"/>
      <c r="C366" s="79" t="s">
        <v>268</v>
      </c>
      <c r="D366" s="84"/>
      <c r="E366" s="79" t="s">
        <v>479</v>
      </c>
      <c r="F366" s="79" t="s">
        <v>476</v>
      </c>
      <c r="G366" s="79" t="s">
        <v>477</v>
      </c>
      <c r="H366" s="81" t="s">
        <v>10</v>
      </c>
      <c r="I366" s="85"/>
      <c r="J366" s="82"/>
      <c r="K366" s="83"/>
      <c r="L366" s="83"/>
      <c r="M366" s="83"/>
      <c r="N366" s="83"/>
      <c r="O366" s="83"/>
      <c r="P366" s="83"/>
      <c r="Q366" s="83"/>
      <c r="R366" s="83"/>
      <c r="S366" s="83"/>
      <c r="T366" s="83"/>
      <c r="U366" s="83"/>
      <c r="V366" s="83"/>
      <c r="W366" s="83"/>
      <c r="X366" s="83"/>
      <c r="Y366" s="83"/>
      <c r="Z366" s="83"/>
      <c r="AA366" s="83"/>
    </row>
    <row r="367" ht="55.5" customHeight="1">
      <c r="A367" s="79" t="s">
        <v>434</v>
      </c>
      <c r="B367" s="84"/>
      <c r="C367" s="79" t="s">
        <v>271</v>
      </c>
      <c r="D367" s="84"/>
      <c r="E367" s="79" t="s">
        <v>480</v>
      </c>
      <c r="F367" s="79" t="s">
        <v>476</v>
      </c>
      <c r="G367" s="79" t="s">
        <v>460</v>
      </c>
      <c r="H367" s="81" t="s">
        <v>10</v>
      </c>
      <c r="I367" s="85"/>
      <c r="J367" s="82"/>
      <c r="K367" s="83"/>
      <c r="L367" s="83"/>
      <c r="M367" s="83"/>
      <c r="N367" s="83"/>
      <c r="O367" s="83"/>
      <c r="P367" s="83"/>
      <c r="Q367" s="83"/>
      <c r="R367" s="83"/>
      <c r="S367" s="83"/>
      <c r="T367" s="83"/>
      <c r="U367" s="83"/>
      <c r="V367" s="83"/>
      <c r="W367" s="83"/>
      <c r="X367" s="83"/>
      <c r="Y367" s="83"/>
      <c r="Z367" s="83"/>
      <c r="AA367" s="83"/>
    </row>
    <row r="368" ht="55.5" customHeight="1">
      <c r="A368" s="79" t="s">
        <v>434</v>
      </c>
      <c r="B368" s="84"/>
      <c r="C368" s="79" t="s">
        <v>275</v>
      </c>
      <c r="D368" s="84"/>
      <c r="E368" s="79" t="s">
        <v>481</v>
      </c>
      <c r="F368" s="79" t="s">
        <v>476</v>
      </c>
      <c r="G368" s="79" t="s">
        <v>482</v>
      </c>
      <c r="H368" s="81" t="s">
        <v>10</v>
      </c>
      <c r="I368" s="85"/>
      <c r="J368" s="82"/>
      <c r="K368" s="83"/>
      <c r="L368" s="83"/>
      <c r="M368" s="83"/>
      <c r="N368" s="83"/>
      <c r="O368" s="83"/>
      <c r="P368" s="83"/>
      <c r="Q368" s="83"/>
      <c r="R368" s="83"/>
      <c r="S368" s="83"/>
      <c r="T368" s="83"/>
      <c r="U368" s="83"/>
      <c r="V368" s="83"/>
      <c r="W368" s="83"/>
      <c r="X368" s="83"/>
      <c r="Y368" s="83"/>
      <c r="Z368" s="83"/>
      <c r="AA368" s="83"/>
    </row>
    <row r="369" ht="55.5" customHeight="1">
      <c r="A369" s="79" t="s">
        <v>434</v>
      </c>
      <c r="B369" s="84"/>
      <c r="C369" s="79" t="s">
        <v>278</v>
      </c>
      <c r="D369" s="12"/>
      <c r="E369" s="79" t="s">
        <v>483</v>
      </c>
      <c r="F369" s="79" t="s">
        <v>476</v>
      </c>
      <c r="G369" s="79" t="s">
        <v>484</v>
      </c>
      <c r="H369" s="81" t="s">
        <v>10</v>
      </c>
      <c r="I369" s="85"/>
      <c r="J369" s="82"/>
      <c r="K369" s="83"/>
      <c r="L369" s="83"/>
      <c r="M369" s="83"/>
      <c r="N369" s="83"/>
      <c r="O369" s="83"/>
      <c r="P369" s="83"/>
      <c r="Q369" s="83"/>
      <c r="R369" s="83"/>
      <c r="S369" s="83"/>
      <c r="T369" s="83"/>
      <c r="U369" s="83"/>
      <c r="V369" s="83"/>
      <c r="W369" s="83"/>
      <c r="X369" s="83"/>
      <c r="Y369" s="83"/>
      <c r="Z369" s="83"/>
      <c r="AA369" s="83"/>
    </row>
    <row r="370" ht="55.5" customHeight="1">
      <c r="A370" s="79" t="s">
        <v>434</v>
      </c>
      <c r="B370" s="84"/>
      <c r="C370" s="79" t="s">
        <v>281</v>
      </c>
      <c r="D370" s="80" t="s">
        <v>424</v>
      </c>
      <c r="E370" s="79" t="s">
        <v>425</v>
      </c>
      <c r="F370" s="79" t="s">
        <v>291</v>
      </c>
      <c r="G370" s="79" t="s">
        <v>426</v>
      </c>
      <c r="H370" s="81" t="s">
        <v>10</v>
      </c>
      <c r="I370" s="82"/>
      <c r="J370" s="82"/>
      <c r="K370" s="83"/>
      <c r="L370" s="83"/>
      <c r="M370" s="83"/>
      <c r="N370" s="83"/>
      <c r="O370" s="83"/>
      <c r="P370" s="83"/>
      <c r="Q370" s="83"/>
      <c r="R370" s="83"/>
      <c r="S370" s="83"/>
      <c r="T370" s="83"/>
      <c r="U370" s="83"/>
      <c r="V370" s="83"/>
      <c r="W370" s="83"/>
      <c r="X370" s="83"/>
      <c r="Y370" s="83"/>
      <c r="Z370" s="83"/>
      <c r="AA370" s="83"/>
    </row>
    <row r="371" ht="55.5" customHeight="1">
      <c r="A371" s="79" t="s">
        <v>434</v>
      </c>
      <c r="B371" s="84"/>
      <c r="C371" s="79" t="s">
        <v>284</v>
      </c>
      <c r="D371" s="84"/>
      <c r="E371" s="79" t="s">
        <v>223</v>
      </c>
      <c r="F371" s="79" t="s">
        <v>224</v>
      </c>
      <c r="G371" s="79" t="s">
        <v>61</v>
      </c>
      <c r="H371" s="81" t="s">
        <v>10</v>
      </c>
      <c r="I371" s="82"/>
      <c r="J371" s="82"/>
      <c r="K371" s="83"/>
      <c r="L371" s="83"/>
      <c r="M371" s="83"/>
      <c r="N371" s="83"/>
      <c r="O371" s="83"/>
      <c r="P371" s="83"/>
      <c r="Q371" s="83"/>
      <c r="R371" s="83"/>
      <c r="S371" s="83"/>
      <c r="T371" s="83"/>
      <c r="U371" s="83"/>
      <c r="V371" s="83"/>
      <c r="W371" s="83"/>
      <c r="X371" s="83"/>
      <c r="Y371" s="83"/>
      <c r="Z371" s="83"/>
      <c r="AA371" s="83"/>
    </row>
    <row r="372" ht="55.5" customHeight="1">
      <c r="A372" s="79" t="s">
        <v>434</v>
      </c>
      <c r="B372" s="84"/>
      <c r="C372" s="79" t="s">
        <v>289</v>
      </c>
      <c r="D372" s="12"/>
      <c r="E372" s="79" t="s">
        <v>225</v>
      </c>
      <c r="F372" s="79" t="s">
        <v>226</v>
      </c>
      <c r="G372" s="79" t="s">
        <v>61</v>
      </c>
      <c r="H372" s="81" t="s">
        <v>10</v>
      </c>
      <c r="I372" s="82"/>
      <c r="J372" s="82"/>
      <c r="K372" s="83"/>
      <c r="L372" s="83"/>
      <c r="M372" s="83"/>
      <c r="N372" s="83"/>
      <c r="O372" s="83"/>
      <c r="P372" s="83"/>
      <c r="Q372" s="83"/>
      <c r="R372" s="83"/>
      <c r="S372" s="83"/>
      <c r="T372" s="83"/>
      <c r="U372" s="83"/>
      <c r="V372" s="83"/>
      <c r="W372" s="83"/>
      <c r="X372" s="83"/>
      <c r="Y372" s="83"/>
      <c r="Z372" s="83"/>
      <c r="AA372" s="83"/>
    </row>
    <row r="373" ht="55.5" customHeight="1">
      <c r="A373" s="79" t="s">
        <v>434</v>
      </c>
      <c r="B373" s="84"/>
      <c r="C373" s="79" t="s">
        <v>293</v>
      </c>
      <c r="D373" s="80" t="s">
        <v>427</v>
      </c>
      <c r="E373" s="79" t="s">
        <v>428</v>
      </c>
      <c r="F373" s="79" t="s">
        <v>436</v>
      </c>
      <c r="G373" s="79" t="s">
        <v>429</v>
      </c>
      <c r="H373" s="81" t="s">
        <v>10</v>
      </c>
      <c r="I373" s="82"/>
      <c r="J373" s="82"/>
      <c r="K373" s="83"/>
      <c r="L373" s="83"/>
      <c r="M373" s="83"/>
      <c r="N373" s="83"/>
      <c r="O373" s="83"/>
      <c r="P373" s="83"/>
      <c r="Q373" s="83"/>
      <c r="R373" s="83"/>
      <c r="S373" s="83"/>
      <c r="T373" s="83"/>
      <c r="U373" s="83"/>
      <c r="V373" s="83"/>
      <c r="W373" s="83"/>
      <c r="X373" s="83"/>
      <c r="Y373" s="83"/>
      <c r="Z373" s="83"/>
      <c r="AA373" s="83"/>
    </row>
    <row r="374" ht="55.5" customHeight="1">
      <c r="A374" s="79" t="s">
        <v>434</v>
      </c>
      <c r="B374" s="84"/>
      <c r="C374" s="79" t="s">
        <v>296</v>
      </c>
      <c r="D374" s="84"/>
      <c r="E374" s="79" t="s">
        <v>430</v>
      </c>
      <c r="F374" s="79" t="s">
        <v>485</v>
      </c>
      <c r="G374" s="79" t="s">
        <v>68</v>
      </c>
      <c r="H374" s="81" t="s">
        <v>10</v>
      </c>
      <c r="I374" s="82"/>
      <c r="J374" s="82"/>
      <c r="K374" s="83"/>
      <c r="L374" s="83"/>
      <c r="M374" s="83"/>
      <c r="N374" s="83"/>
      <c r="O374" s="83"/>
      <c r="P374" s="83"/>
      <c r="Q374" s="83"/>
      <c r="R374" s="83"/>
      <c r="S374" s="83"/>
      <c r="T374" s="83"/>
      <c r="U374" s="83"/>
      <c r="V374" s="83"/>
      <c r="W374" s="83"/>
      <c r="X374" s="83"/>
      <c r="Y374" s="83"/>
      <c r="Z374" s="83"/>
      <c r="AA374" s="83"/>
    </row>
    <row r="375" ht="55.5" customHeight="1">
      <c r="A375" s="79" t="s">
        <v>434</v>
      </c>
      <c r="B375" s="12"/>
      <c r="C375" s="79" t="s">
        <v>299</v>
      </c>
      <c r="D375" s="12"/>
      <c r="E375" s="79" t="s">
        <v>432</v>
      </c>
      <c r="F375" s="79" t="s">
        <v>486</v>
      </c>
      <c r="G375" s="79" t="s">
        <v>68</v>
      </c>
      <c r="H375" s="81" t="s">
        <v>10</v>
      </c>
      <c r="I375" s="82"/>
      <c r="J375" s="82"/>
      <c r="K375" s="83"/>
      <c r="L375" s="83"/>
      <c r="M375" s="83"/>
      <c r="N375" s="83"/>
      <c r="O375" s="83"/>
      <c r="P375" s="83"/>
      <c r="Q375" s="83"/>
      <c r="R375" s="83"/>
      <c r="S375" s="83"/>
      <c r="T375" s="83"/>
      <c r="U375" s="83"/>
      <c r="V375" s="83"/>
      <c r="W375" s="83"/>
      <c r="X375" s="83"/>
      <c r="Y375" s="83"/>
      <c r="Z375" s="83"/>
      <c r="AA375" s="83"/>
    </row>
    <row r="376" ht="55.5" customHeight="1">
      <c r="A376" s="79" t="s">
        <v>487</v>
      </c>
      <c r="B376" s="80" t="s">
        <v>488</v>
      </c>
      <c r="C376" s="79" t="s">
        <v>47</v>
      </c>
      <c r="D376" s="80" t="s">
        <v>489</v>
      </c>
      <c r="E376" s="79" t="s">
        <v>490</v>
      </c>
      <c r="F376" s="79" t="s">
        <v>491</v>
      </c>
      <c r="G376" s="79" t="s">
        <v>492</v>
      </c>
      <c r="H376" s="81" t="s">
        <v>10</v>
      </c>
      <c r="I376" s="97"/>
      <c r="J376" s="82"/>
      <c r="K376" s="83"/>
      <c r="L376" s="83"/>
      <c r="M376" s="83"/>
      <c r="N376" s="83"/>
      <c r="O376" s="83"/>
      <c r="P376" s="83"/>
      <c r="Q376" s="83"/>
      <c r="R376" s="83"/>
      <c r="S376" s="83"/>
      <c r="T376" s="83"/>
      <c r="U376" s="83"/>
      <c r="V376" s="83"/>
      <c r="W376" s="83"/>
      <c r="X376" s="83"/>
      <c r="Y376" s="83"/>
      <c r="Z376" s="83"/>
      <c r="AA376" s="83"/>
    </row>
    <row r="377" ht="55.5" customHeight="1">
      <c r="A377" s="79" t="s">
        <v>487</v>
      </c>
      <c r="B377" s="84"/>
      <c r="C377" s="79" t="s">
        <v>52</v>
      </c>
      <c r="D377" s="84"/>
      <c r="E377" s="79" t="s">
        <v>493</v>
      </c>
      <c r="F377" s="79" t="s">
        <v>491</v>
      </c>
      <c r="G377" s="79" t="s">
        <v>494</v>
      </c>
      <c r="H377" s="81" t="s">
        <v>10</v>
      </c>
      <c r="I377" s="82"/>
      <c r="J377" s="82"/>
      <c r="K377" s="83"/>
      <c r="L377" s="83"/>
      <c r="M377" s="83"/>
      <c r="N377" s="83"/>
      <c r="O377" s="83"/>
      <c r="P377" s="83"/>
      <c r="Q377" s="83"/>
      <c r="R377" s="83"/>
      <c r="S377" s="83"/>
      <c r="T377" s="83"/>
      <c r="U377" s="83"/>
      <c r="V377" s="83"/>
      <c r="W377" s="83"/>
      <c r="X377" s="83"/>
      <c r="Y377" s="83"/>
      <c r="Z377" s="83"/>
      <c r="AA377" s="83"/>
    </row>
    <row r="378" ht="55.5" customHeight="1">
      <c r="A378" s="79" t="s">
        <v>487</v>
      </c>
      <c r="B378" s="84"/>
      <c r="C378" s="79" t="s">
        <v>55</v>
      </c>
      <c r="D378" s="84"/>
      <c r="E378" s="79" t="s">
        <v>495</v>
      </c>
      <c r="F378" s="79" t="s">
        <v>491</v>
      </c>
      <c r="G378" s="79" t="s">
        <v>494</v>
      </c>
      <c r="H378" s="81" t="s">
        <v>10</v>
      </c>
      <c r="I378" s="82"/>
      <c r="J378" s="82"/>
      <c r="K378" s="83"/>
      <c r="L378" s="83"/>
      <c r="M378" s="83"/>
      <c r="N378" s="83"/>
      <c r="O378" s="83"/>
      <c r="P378" s="83"/>
      <c r="Q378" s="83"/>
      <c r="R378" s="83"/>
      <c r="S378" s="83"/>
      <c r="T378" s="83"/>
      <c r="U378" s="83"/>
      <c r="V378" s="83"/>
      <c r="W378" s="83"/>
      <c r="X378" s="83"/>
      <c r="Y378" s="83"/>
      <c r="Z378" s="83"/>
      <c r="AA378" s="83"/>
    </row>
    <row r="379" ht="55.5" customHeight="1">
      <c r="A379" s="79" t="s">
        <v>487</v>
      </c>
      <c r="B379" s="84"/>
      <c r="C379" s="79" t="s">
        <v>58</v>
      </c>
      <c r="D379" s="12"/>
      <c r="E379" s="79" t="s">
        <v>496</v>
      </c>
      <c r="F379" s="79" t="s">
        <v>491</v>
      </c>
      <c r="G379" s="79" t="s">
        <v>494</v>
      </c>
      <c r="H379" s="81" t="s">
        <v>10</v>
      </c>
      <c r="I379" s="82"/>
      <c r="J379" s="82"/>
      <c r="K379" s="83"/>
      <c r="L379" s="83"/>
      <c r="M379" s="83"/>
      <c r="N379" s="83"/>
      <c r="O379" s="83"/>
      <c r="P379" s="83"/>
      <c r="Q379" s="83"/>
      <c r="R379" s="83"/>
      <c r="S379" s="83"/>
      <c r="T379" s="83"/>
      <c r="U379" s="83"/>
      <c r="V379" s="83"/>
      <c r="W379" s="83"/>
      <c r="X379" s="83"/>
      <c r="Y379" s="83"/>
      <c r="Z379" s="83"/>
      <c r="AA379" s="83"/>
    </row>
    <row r="380" ht="55.5" customHeight="1">
      <c r="A380" s="79" t="s">
        <v>487</v>
      </c>
      <c r="B380" s="84"/>
      <c r="C380" s="79" t="s">
        <v>62</v>
      </c>
      <c r="D380" s="80" t="s">
        <v>300</v>
      </c>
      <c r="E380" s="79" t="s">
        <v>497</v>
      </c>
      <c r="F380" s="79" t="s">
        <v>344</v>
      </c>
      <c r="G380" s="79" t="s">
        <v>498</v>
      </c>
      <c r="H380" s="98" t="s">
        <v>11</v>
      </c>
      <c r="I380" s="82"/>
      <c r="J380" s="99" t="s">
        <v>499</v>
      </c>
      <c r="K380" s="100"/>
      <c r="L380" s="100"/>
      <c r="M380" s="100"/>
      <c r="N380" s="100"/>
      <c r="O380" s="100"/>
      <c r="P380" s="100"/>
      <c r="Q380" s="100"/>
      <c r="R380" s="100"/>
      <c r="S380" s="100"/>
      <c r="T380" s="100"/>
      <c r="U380" s="100"/>
      <c r="V380" s="100"/>
      <c r="W380" s="100"/>
      <c r="X380" s="100"/>
      <c r="Y380" s="100"/>
      <c r="Z380" s="100"/>
      <c r="AA380" s="100"/>
    </row>
    <row r="381" ht="55.5" customHeight="1">
      <c r="A381" s="79" t="s">
        <v>487</v>
      </c>
      <c r="B381" s="84"/>
      <c r="C381" s="79" t="s">
        <v>64</v>
      </c>
      <c r="D381" s="84"/>
      <c r="E381" s="79" t="s">
        <v>500</v>
      </c>
      <c r="F381" s="79" t="s">
        <v>344</v>
      </c>
      <c r="G381" s="79" t="s">
        <v>501</v>
      </c>
      <c r="H381" s="81" t="s">
        <v>10</v>
      </c>
      <c r="I381" s="82"/>
      <c r="J381" s="82"/>
      <c r="K381" s="83"/>
      <c r="L381" s="83"/>
      <c r="M381" s="83"/>
      <c r="N381" s="83"/>
      <c r="O381" s="83"/>
      <c r="P381" s="83"/>
      <c r="Q381" s="83"/>
      <c r="R381" s="83"/>
      <c r="S381" s="83"/>
      <c r="T381" s="83"/>
      <c r="U381" s="83"/>
      <c r="V381" s="83"/>
      <c r="W381" s="83"/>
      <c r="X381" s="83"/>
      <c r="Y381" s="83"/>
      <c r="Z381" s="83"/>
      <c r="AA381" s="83"/>
    </row>
    <row r="382" ht="55.5" customHeight="1">
      <c r="A382" s="79" t="s">
        <v>487</v>
      </c>
      <c r="B382" s="84"/>
      <c r="C382" s="79" t="s">
        <v>69</v>
      </c>
      <c r="D382" s="84"/>
      <c r="E382" s="79" t="s">
        <v>502</v>
      </c>
      <c r="F382" s="79" t="s">
        <v>344</v>
      </c>
      <c r="G382" s="79" t="s">
        <v>501</v>
      </c>
      <c r="H382" s="81" t="s">
        <v>10</v>
      </c>
      <c r="I382" s="82"/>
      <c r="J382" s="82"/>
      <c r="K382" s="83"/>
      <c r="L382" s="83"/>
      <c r="M382" s="83"/>
      <c r="N382" s="83"/>
      <c r="O382" s="83"/>
      <c r="P382" s="83"/>
      <c r="Q382" s="83"/>
      <c r="R382" s="83"/>
      <c r="S382" s="83"/>
      <c r="T382" s="83"/>
      <c r="U382" s="83"/>
      <c r="V382" s="83"/>
      <c r="W382" s="83"/>
      <c r="X382" s="83"/>
      <c r="Y382" s="83"/>
      <c r="Z382" s="83"/>
      <c r="AA382" s="83"/>
    </row>
    <row r="383" ht="55.5" customHeight="1">
      <c r="A383" s="79" t="s">
        <v>487</v>
      </c>
      <c r="B383" s="84"/>
      <c r="C383" s="79" t="s">
        <v>72</v>
      </c>
      <c r="D383" s="84"/>
      <c r="E383" s="79" t="s">
        <v>503</v>
      </c>
      <c r="F383" s="79" t="s">
        <v>344</v>
      </c>
      <c r="G383" s="79" t="s">
        <v>504</v>
      </c>
      <c r="H383" s="81" t="s">
        <v>10</v>
      </c>
      <c r="I383" s="82"/>
      <c r="J383" s="82"/>
      <c r="K383" s="83"/>
      <c r="L383" s="83"/>
      <c r="M383" s="83"/>
      <c r="N383" s="83"/>
      <c r="O383" s="83"/>
      <c r="P383" s="83"/>
      <c r="Q383" s="83"/>
      <c r="R383" s="83"/>
      <c r="S383" s="83"/>
      <c r="T383" s="83"/>
      <c r="U383" s="83"/>
      <c r="V383" s="83"/>
      <c r="W383" s="83"/>
      <c r="X383" s="83"/>
      <c r="Y383" s="83"/>
      <c r="Z383" s="83"/>
      <c r="AA383" s="83"/>
    </row>
    <row r="384" ht="55.5" customHeight="1">
      <c r="A384" s="79" t="s">
        <v>487</v>
      </c>
      <c r="B384" s="84"/>
      <c r="C384" s="79" t="s">
        <v>75</v>
      </c>
      <c r="D384" s="84"/>
      <c r="E384" s="79" t="s">
        <v>505</v>
      </c>
      <c r="F384" s="79" t="s">
        <v>344</v>
      </c>
      <c r="G384" s="79" t="s">
        <v>506</v>
      </c>
      <c r="H384" s="81" t="s">
        <v>10</v>
      </c>
      <c r="I384" s="82"/>
      <c r="J384" s="82"/>
      <c r="K384" s="83"/>
      <c r="L384" s="83"/>
      <c r="M384" s="83"/>
      <c r="N384" s="83"/>
      <c r="O384" s="83"/>
      <c r="P384" s="83"/>
      <c r="Q384" s="83"/>
      <c r="R384" s="83"/>
      <c r="S384" s="83"/>
      <c r="T384" s="83"/>
      <c r="U384" s="83"/>
      <c r="V384" s="83"/>
      <c r="W384" s="83"/>
      <c r="X384" s="83"/>
      <c r="Y384" s="83"/>
      <c r="Z384" s="83"/>
      <c r="AA384" s="83"/>
    </row>
    <row r="385" ht="55.5" customHeight="1">
      <c r="A385" s="79" t="s">
        <v>487</v>
      </c>
      <c r="B385" s="84"/>
      <c r="C385" s="79" t="s">
        <v>79</v>
      </c>
      <c r="D385" s="84"/>
      <c r="E385" s="79" t="s">
        <v>507</v>
      </c>
      <c r="F385" s="79" t="s">
        <v>344</v>
      </c>
      <c r="G385" s="79" t="s">
        <v>508</v>
      </c>
      <c r="H385" s="81" t="s">
        <v>10</v>
      </c>
      <c r="I385" s="82"/>
      <c r="J385" s="82"/>
      <c r="K385" s="83"/>
      <c r="L385" s="83"/>
      <c r="M385" s="83"/>
      <c r="N385" s="83"/>
      <c r="O385" s="83"/>
      <c r="P385" s="83"/>
      <c r="Q385" s="83"/>
      <c r="R385" s="83"/>
      <c r="S385" s="83"/>
      <c r="T385" s="83"/>
      <c r="U385" s="83"/>
      <c r="V385" s="83"/>
      <c r="W385" s="83"/>
      <c r="X385" s="83"/>
      <c r="Y385" s="83"/>
      <c r="Z385" s="83"/>
      <c r="AA385" s="83"/>
    </row>
    <row r="386" ht="55.5" customHeight="1">
      <c r="A386" s="79" t="s">
        <v>487</v>
      </c>
      <c r="B386" s="84"/>
      <c r="C386" s="79" t="s">
        <v>83</v>
      </c>
      <c r="D386" s="84"/>
      <c r="E386" s="79" t="s">
        <v>509</v>
      </c>
      <c r="F386" s="79" t="s">
        <v>344</v>
      </c>
      <c r="G386" s="79" t="s">
        <v>510</v>
      </c>
      <c r="H386" s="81" t="s">
        <v>10</v>
      </c>
      <c r="I386" s="82"/>
      <c r="J386" s="82"/>
      <c r="K386" s="83"/>
      <c r="L386" s="83"/>
      <c r="M386" s="83"/>
      <c r="N386" s="83"/>
      <c r="O386" s="83"/>
      <c r="P386" s="83"/>
      <c r="Q386" s="83"/>
      <c r="R386" s="83"/>
      <c r="S386" s="83"/>
      <c r="T386" s="83"/>
      <c r="U386" s="83"/>
      <c r="V386" s="83"/>
      <c r="W386" s="83"/>
      <c r="X386" s="83"/>
      <c r="Y386" s="83"/>
      <c r="Z386" s="83"/>
      <c r="AA386" s="83"/>
    </row>
    <row r="387" ht="55.5" customHeight="1">
      <c r="A387" s="79" t="s">
        <v>487</v>
      </c>
      <c r="B387" s="84"/>
      <c r="C387" s="79" t="s">
        <v>86</v>
      </c>
      <c r="D387" s="84"/>
      <c r="E387" s="79" t="s">
        <v>511</v>
      </c>
      <c r="F387" s="79" t="s">
        <v>344</v>
      </c>
      <c r="G387" s="79" t="s">
        <v>512</v>
      </c>
      <c r="H387" s="81" t="s">
        <v>10</v>
      </c>
      <c r="I387" s="82"/>
      <c r="J387" s="82"/>
      <c r="K387" s="83"/>
      <c r="L387" s="83"/>
      <c r="M387" s="83"/>
      <c r="N387" s="83"/>
      <c r="O387" s="83"/>
      <c r="P387" s="83"/>
      <c r="Q387" s="83"/>
      <c r="R387" s="83"/>
      <c r="S387" s="83"/>
      <c r="T387" s="83"/>
      <c r="U387" s="83"/>
      <c r="V387" s="83"/>
      <c r="W387" s="83"/>
      <c r="X387" s="83"/>
      <c r="Y387" s="83"/>
      <c r="Z387" s="83"/>
      <c r="AA387" s="83"/>
    </row>
    <row r="388" ht="55.5" customHeight="1">
      <c r="A388" s="79" t="s">
        <v>487</v>
      </c>
      <c r="B388" s="84"/>
      <c r="C388" s="79" t="s">
        <v>88</v>
      </c>
      <c r="D388" s="84"/>
      <c r="E388" s="79" t="s">
        <v>513</v>
      </c>
      <c r="F388" s="79" t="s">
        <v>344</v>
      </c>
      <c r="G388" s="79" t="s">
        <v>514</v>
      </c>
      <c r="H388" s="81" t="s">
        <v>10</v>
      </c>
      <c r="I388" s="85"/>
      <c r="J388" s="95"/>
      <c r="K388" s="83"/>
      <c r="L388" s="83"/>
      <c r="M388" s="83"/>
      <c r="N388" s="83"/>
      <c r="O388" s="83"/>
      <c r="P388" s="83"/>
      <c r="Q388" s="83"/>
      <c r="R388" s="83"/>
      <c r="S388" s="83"/>
      <c r="T388" s="83"/>
      <c r="U388" s="83"/>
      <c r="V388" s="83"/>
      <c r="W388" s="83"/>
      <c r="X388" s="83"/>
      <c r="Y388" s="83"/>
      <c r="Z388" s="83"/>
      <c r="AA388" s="83"/>
    </row>
    <row r="389" ht="55.5" customHeight="1">
      <c r="A389" s="79" t="s">
        <v>487</v>
      </c>
      <c r="B389" s="84"/>
      <c r="C389" s="79" t="s">
        <v>91</v>
      </c>
      <c r="D389" s="84"/>
      <c r="E389" s="79" t="s">
        <v>515</v>
      </c>
      <c r="F389" s="79" t="s">
        <v>344</v>
      </c>
      <c r="G389" s="79" t="s">
        <v>516</v>
      </c>
      <c r="H389" s="81" t="s">
        <v>10</v>
      </c>
      <c r="I389" s="85"/>
      <c r="J389" s="95"/>
      <c r="K389" s="83"/>
      <c r="L389" s="83"/>
      <c r="M389" s="83"/>
      <c r="N389" s="83"/>
      <c r="O389" s="83"/>
      <c r="P389" s="83"/>
      <c r="Q389" s="83"/>
      <c r="R389" s="83"/>
      <c r="S389" s="83"/>
      <c r="T389" s="83"/>
      <c r="U389" s="83"/>
      <c r="V389" s="83"/>
      <c r="W389" s="83"/>
      <c r="X389" s="83"/>
      <c r="Y389" s="83"/>
      <c r="Z389" s="83"/>
      <c r="AA389" s="83"/>
    </row>
    <row r="390" ht="55.5" customHeight="1">
      <c r="A390" s="79" t="s">
        <v>487</v>
      </c>
      <c r="B390" s="84"/>
      <c r="C390" s="79" t="s">
        <v>94</v>
      </c>
      <c r="D390" s="84"/>
      <c r="E390" s="79" t="s">
        <v>517</v>
      </c>
      <c r="F390" s="79" t="s">
        <v>431</v>
      </c>
      <c r="G390" s="79" t="s">
        <v>518</v>
      </c>
      <c r="H390" s="81" t="s">
        <v>10</v>
      </c>
      <c r="I390" s="82"/>
      <c r="J390" s="82"/>
      <c r="K390" s="83"/>
      <c r="L390" s="83"/>
      <c r="M390" s="83"/>
      <c r="N390" s="83"/>
      <c r="O390" s="83"/>
      <c r="P390" s="83"/>
      <c r="Q390" s="83"/>
      <c r="R390" s="83"/>
      <c r="S390" s="83"/>
      <c r="T390" s="83"/>
      <c r="U390" s="83"/>
      <c r="V390" s="83"/>
      <c r="W390" s="83"/>
      <c r="X390" s="83"/>
      <c r="Y390" s="83"/>
      <c r="Z390" s="83"/>
      <c r="AA390" s="83"/>
    </row>
    <row r="391" ht="55.5" customHeight="1">
      <c r="A391" s="79" t="s">
        <v>487</v>
      </c>
      <c r="B391" s="84"/>
      <c r="C391" s="79" t="s">
        <v>96</v>
      </c>
      <c r="D391" s="12"/>
      <c r="E391" s="79" t="s">
        <v>519</v>
      </c>
      <c r="F391" s="79" t="s">
        <v>431</v>
      </c>
      <c r="G391" s="79" t="s">
        <v>518</v>
      </c>
      <c r="H391" s="81" t="s">
        <v>10</v>
      </c>
      <c r="I391" s="82"/>
      <c r="J391" s="82"/>
      <c r="K391" s="83"/>
      <c r="L391" s="83"/>
      <c r="M391" s="83"/>
      <c r="N391" s="83"/>
      <c r="O391" s="83"/>
      <c r="P391" s="83"/>
      <c r="Q391" s="83"/>
      <c r="R391" s="83"/>
      <c r="S391" s="83"/>
      <c r="T391" s="83"/>
      <c r="U391" s="83"/>
      <c r="V391" s="83"/>
      <c r="W391" s="83"/>
      <c r="X391" s="83"/>
      <c r="Y391" s="83"/>
      <c r="Z391" s="83"/>
      <c r="AA391" s="83"/>
    </row>
    <row r="392" ht="55.5" customHeight="1">
      <c r="A392" s="79" t="s">
        <v>487</v>
      </c>
      <c r="B392" s="84"/>
      <c r="C392" s="79" t="s">
        <v>98</v>
      </c>
      <c r="D392" s="78"/>
      <c r="E392" s="79" t="s">
        <v>520</v>
      </c>
      <c r="F392" s="79" t="s">
        <v>431</v>
      </c>
      <c r="G392" s="86" t="s">
        <v>521</v>
      </c>
      <c r="H392" s="81" t="s">
        <v>10</v>
      </c>
      <c r="I392" s="82"/>
      <c r="J392" s="95"/>
      <c r="K392" s="83"/>
      <c r="L392" s="83"/>
      <c r="M392" s="83"/>
      <c r="N392" s="83"/>
      <c r="O392" s="83"/>
      <c r="P392" s="83"/>
      <c r="Q392" s="83"/>
      <c r="R392" s="83"/>
      <c r="S392" s="83"/>
      <c r="T392" s="83"/>
      <c r="U392" s="83"/>
      <c r="V392" s="83"/>
      <c r="W392" s="83"/>
      <c r="X392" s="83"/>
      <c r="Y392" s="83"/>
      <c r="Z392" s="83"/>
      <c r="AA392" s="83"/>
    </row>
    <row r="393" ht="55.5" customHeight="1">
      <c r="A393" s="79" t="s">
        <v>487</v>
      </c>
      <c r="B393" s="84"/>
      <c r="C393" s="79" t="s">
        <v>102</v>
      </c>
      <c r="D393" s="78"/>
      <c r="E393" s="79" t="s">
        <v>522</v>
      </c>
      <c r="F393" s="79" t="s">
        <v>431</v>
      </c>
      <c r="G393" s="79" t="s">
        <v>523</v>
      </c>
      <c r="H393" s="81" t="s">
        <v>10</v>
      </c>
      <c r="I393" s="82"/>
      <c r="J393" s="82"/>
      <c r="K393" s="83"/>
      <c r="L393" s="83"/>
      <c r="M393" s="83"/>
      <c r="N393" s="83"/>
      <c r="O393" s="83"/>
      <c r="P393" s="83"/>
      <c r="Q393" s="83"/>
      <c r="R393" s="83"/>
      <c r="S393" s="83"/>
      <c r="T393" s="83"/>
      <c r="U393" s="83"/>
      <c r="V393" s="83"/>
      <c r="W393" s="83"/>
      <c r="X393" s="83"/>
      <c r="Y393" s="83"/>
      <c r="Z393" s="83"/>
      <c r="AA393" s="83"/>
    </row>
    <row r="394" ht="55.5" customHeight="1">
      <c r="A394" s="79" t="s">
        <v>487</v>
      </c>
      <c r="B394" s="84"/>
      <c r="C394" s="79" t="s">
        <v>105</v>
      </c>
      <c r="D394" s="78"/>
      <c r="E394" s="79" t="s">
        <v>524</v>
      </c>
      <c r="F394" s="79" t="s">
        <v>431</v>
      </c>
      <c r="G394" s="79" t="s">
        <v>525</v>
      </c>
      <c r="H394" s="81" t="s">
        <v>10</v>
      </c>
      <c r="I394" s="82"/>
      <c r="J394" s="82"/>
      <c r="K394" s="83"/>
      <c r="L394" s="83"/>
      <c r="M394" s="83"/>
      <c r="N394" s="83"/>
      <c r="O394" s="83"/>
      <c r="P394" s="83"/>
      <c r="Q394" s="83"/>
      <c r="R394" s="83"/>
      <c r="S394" s="83"/>
      <c r="T394" s="83"/>
      <c r="U394" s="83"/>
      <c r="V394" s="83"/>
      <c r="W394" s="83"/>
      <c r="X394" s="83"/>
      <c r="Y394" s="83"/>
      <c r="Z394" s="83"/>
      <c r="AA394" s="83"/>
    </row>
    <row r="395" ht="55.5" customHeight="1">
      <c r="A395" s="79" t="s">
        <v>487</v>
      </c>
      <c r="B395" s="84"/>
      <c r="C395" s="79" t="s">
        <v>107</v>
      </c>
      <c r="D395" s="78"/>
      <c r="E395" s="79" t="s">
        <v>526</v>
      </c>
      <c r="F395" s="79" t="s">
        <v>344</v>
      </c>
      <c r="G395" s="79" t="s">
        <v>527</v>
      </c>
      <c r="H395" s="81" t="s">
        <v>10</v>
      </c>
      <c r="I395" s="82"/>
      <c r="J395" s="82"/>
      <c r="K395" s="83"/>
      <c r="L395" s="83"/>
      <c r="M395" s="83"/>
      <c r="N395" s="83"/>
      <c r="O395" s="83"/>
      <c r="P395" s="83"/>
      <c r="Q395" s="83"/>
      <c r="R395" s="83"/>
      <c r="S395" s="83"/>
      <c r="T395" s="83"/>
      <c r="U395" s="83"/>
      <c r="V395" s="83"/>
      <c r="W395" s="83"/>
      <c r="X395" s="83"/>
      <c r="Y395" s="83"/>
      <c r="Z395" s="83"/>
      <c r="AA395" s="83"/>
    </row>
    <row r="396" ht="55.5" customHeight="1">
      <c r="A396" s="79" t="s">
        <v>487</v>
      </c>
      <c r="B396" s="84"/>
      <c r="C396" s="79" t="s">
        <v>109</v>
      </c>
      <c r="D396" s="80" t="s">
        <v>528</v>
      </c>
      <c r="E396" s="79" t="s">
        <v>73</v>
      </c>
      <c r="F396" s="79" t="s">
        <v>344</v>
      </c>
      <c r="G396" s="79" t="s">
        <v>74</v>
      </c>
      <c r="H396" s="81" t="s">
        <v>10</v>
      </c>
      <c r="I396" s="82"/>
      <c r="J396" s="82"/>
      <c r="K396" s="83"/>
      <c r="L396" s="83"/>
      <c r="M396" s="83"/>
      <c r="N396" s="83"/>
      <c r="O396" s="83"/>
      <c r="P396" s="83"/>
      <c r="Q396" s="83"/>
      <c r="R396" s="83"/>
      <c r="S396" s="83"/>
      <c r="T396" s="83"/>
      <c r="U396" s="83"/>
      <c r="V396" s="83"/>
      <c r="W396" s="83"/>
      <c r="X396" s="83"/>
      <c r="Y396" s="83"/>
      <c r="Z396" s="83"/>
      <c r="AA396" s="83"/>
    </row>
    <row r="397" ht="55.5" customHeight="1">
      <c r="A397" s="79" t="s">
        <v>487</v>
      </c>
      <c r="B397" s="84"/>
      <c r="C397" s="79" t="s">
        <v>111</v>
      </c>
      <c r="D397" s="84"/>
      <c r="E397" s="79" t="s">
        <v>349</v>
      </c>
      <c r="F397" s="79" t="s">
        <v>344</v>
      </c>
      <c r="G397" s="79" t="s">
        <v>74</v>
      </c>
      <c r="H397" s="81" t="s">
        <v>10</v>
      </c>
      <c r="I397" s="82"/>
      <c r="J397" s="82"/>
      <c r="K397" s="83"/>
      <c r="L397" s="83"/>
      <c r="M397" s="83"/>
      <c r="N397" s="83"/>
      <c r="O397" s="83"/>
      <c r="P397" s="83"/>
      <c r="Q397" s="83"/>
      <c r="R397" s="83"/>
      <c r="S397" s="83"/>
      <c r="T397" s="83"/>
      <c r="U397" s="83"/>
      <c r="V397" s="83"/>
      <c r="W397" s="83"/>
      <c r="X397" s="83"/>
      <c r="Y397" s="83"/>
      <c r="Z397" s="83"/>
      <c r="AA397" s="83"/>
    </row>
    <row r="398" ht="55.5" customHeight="1">
      <c r="A398" s="79" t="s">
        <v>487</v>
      </c>
      <c r="B398" s="84"/>
      <c r="C398" s="79" t="s">
        <v>113</v>
      </c>
      <c r="D398" s="84"/>
      <c r="E398" s="79" t="s">
        <v>350</v>
      </c>
      <c r="F398" s="79" t="s">
        <v>344</v>
      </c>
      <c r="G398" s="79" t="s">
        <v>74</v>
      </c>
      <c r="H398" s="81" t="s">
        <v>10</v>
      </c>
      <c r="I398" s="82"/>
      <c r="J398" s="82"/>
      <c r="K398" s="83"/>
      <c r="L398" s="83"/>
      <c r="M398" s="83"/>
      <c r="N398" s="83"/>
      <c r="O398" s="83"/>
      <c r="P398" s="83"/>
      <c r="Q398" s="83"/>
      <c r="R398" s="83"/>
      <c r="S398" s="83"/>
      <c r="T398" s="83"/>
      <c r="U398" s="83"/>
      <c r="V398" s="83"/>
      <c r="W398" s="83"/>
      <c r="X398" s="83"/>
      <c r="Y398" s="83"/>
      <c r="Z398" s="83"/>
      <c r="AA398" s="83"/>
    </row>
    <row r="399" ht="55.5" customHeight="1">
      <c r="A399" s="79" t="s">
        <v>487</v>
      </c>
      <c r="B399" s="84"/>
      <c r="C399" s="79" t="s">
        <v>115</v>
      </c>
      <c r="D399" s="84"/>
      <c r="E399" s="79" t="s">
        <v>84</v>
      </c>
      <c r="F399" s="79" t="s">
        <v>344</v>
      </c>
      <c r="G399" s="79" t="s">
        <v>529</v>
      </c>
      <c r="H399" s="81" t="s">
        <v>10</v>
      </c>
      <c r="I399" s="82"/>
      <c r="J399" s="82"/>
      <c r="K399" s="83"/>
      <c r="L399" s="83"/>
      <c r="M399" s="83"/>
      <c r="N399" s="83"/>
      <c r="O399" s="83"/>
      <c r="P399" s="83"/>
      <c r="Q399" s="83"/>
      <c r="R399" s="83"/>
      <c r="S399" s="83"/>
      <c r="T399" s="83"/>
      <c r="U399" s="83"/>
      <c r="V399" s="83"/>
      <c r="W399" s="83"/>
      <c r="X399" s="83"/>
      <c r="Y399" s="83"/>
      <c r="Z399" s="83"/>
      <c r="AA399" s="83"/>
    </row>
    <row r="400" ht="55.5" customHeight="1">
      <c r="A400" s="79" t="s">
        <v>487</v>
      </c>
      <c r="B400" s="84"/>
      <c r="C400" s="79" t="s">
        <v>117</v>
      </c>
      <c r="D400" s="84"/>
      <c r="E400" s="79" t="s">
        <v>352</v>
      </c>
      <c r="F400" s="79" t="s">
        <v>344</v>
      </c>
      <c r="G400" s="79" t="s">
        <v>529</v>
      </c>
      <c r="H400" s="81" t="s">
        <v>10</v>
      </c>
      <c r="I400" s="82"/>
      <c r="J400" s="82"/>
      <c r="K400" s="83"/>
      <c r="L400" s="83"/>
      <c r="M400" s="83"/>
      <c r="N400" s="83"/>
      <c r="O400" s="83"/>
      <c r="P400" s="83"/>
      <c r="Q400" s="83"/>
      <c r="R400" s="83"/>
      <c r="S400" s="83"/>
      <c r="T400" s="83"/>
      <c r="U400" s="83"/>
      <c r="V400" s="83"/>
      <c r="W400" s="83"/>
      <c r="X400" s="83"/>
      <c r="Y400" s="83"/>
      <c r="Z400" s="83"/>
      <c r="AA400" s="83"/>
    </row>
    <row r="401" ht="55.5" customHeight="1">
      <c r="A401" s="79" t="s">
        <v>487</v>
      </c>
      <c r="B401" s="84"/>
      <c r="C401" s="79" t="s">
        <v>119</v>
      </c>
      <c r="D401" s="12"/>
      <c r="E401" s="79" t="s">
        <v>89</v>
      </c>
      <c r="F401" s="79" t="s">
        <v>344</v>
      </c>
      <c r="G401" s="79" t="s">
        <v>529</v>
      </c>
      <c r="H401" s="81" t="s">
        <v>10</v>
      </c>
      <c r="I401" s="82"/>
      <c r="J401" s="82"/>
      <c r="K401" s="83"/>
      <c r="L401" s="83"/>
      <c r="M401" s="83"/>
      <c r="N401" s="83"/>
      <c r="O401" s="83"/>
      <c r="P401" s="83"/>
      <c r="Q401" s="83"/>
      <c r="R401" s="83"/>
      <c r="S401" s="83"/>
      <c r="T401" s="83"/>
      <c r="U401" s="83"/>
      <c r="V401" s="83"/>
      <c r="W401" s="83"/>
      <c r="X401" s="83"/>
      <c r="Y401" s="83"/>
      <c r="Z401" s="83"/>
      <c r="AA401" s="83"/>
    </row>
    <row r="402" ht="55.5" customHeight="1">
      <c r="A402" s="79" t="s">
        <v>487</v>
      </c>
      <c r="B402" s="84"/>
      <c r="C402" s="79" t="s">
        <v>121</v>
      </c>
      <c r="D402" s="80" t="s">
        <v>530</v>
      </c>
      <c r="E402" s="79" t="s">
        <v>354</v>
      </c>
      <c r="F402" s="79" t="s">
        <v>344</v>
      </c>
      <c r="G402" s="79" t="s">
        <v>355</v>
      </c>
      <c r="H402" s="81" t="s">
        <v>10</v>
      </c>
      <c r="I402" s="82"/>
      <c r="J402" s="82"/>
      <c r="K402" s="83"/>
      <c r="L402" s="83"/>
      <c r="M402" s="83"/>
      <c r="N402" s="83"/>
      <c r="O402" s="83"/>
      <c r="P402" s="83"/>
      <c r="Q402" s="83"/>
      <c r="R402" s="83"/>
      <c r="S402" s="83"/>
      <c r="T402" s="83"/>
      <c r="U402" s="83"/>
      <c r="V402" s="83"/>
      <c r="W402" s="83"/>
      <c r="X402" s="83"/>
      <c r="Y402" s="83"/>
      <c r="Z402" s="83"/>
      <c r="AA402" s="83"/>
    </row>
    <row r="403" ht="55.5" customHeight="1">
      <c r="A403" s="79" t="s">
        <v>487</v>
      </c>
      <c r="B403" s="84"/>
      <c r="C403" s="79" t="s">
        <v>123</v>
      </c>
      <c r="D403" s="84"/>
      <c r="E403" s="79" t="s">
        <v>92</v>
      </c>
      <c r="F403" s="79" t="s">
        <v>344</v>
      </c>
      <c r="G403" s="79" t="s">
        <v>356</v>
      </c>
      <c r="H403" s="81" t="s">
        <v>10</v>
      </c>
      <c r="I403" s="82"/>
      <c r="J403" s="82"/>
      <c r="K403" s="83"/>
      <c r="L403" s="83"/>
      <c r="M403" s="83"/>
      <c r="N403" s="83"/>
      <c r="O403" s="83"/>
      <c r="P403" s="83"/>
      <c r="Q403" s="83"/>
      <c r="R403" s="83"/>
      <c r="S403" s="83"/>
      <c r="T403" s="83"/>
      <c r="U403" s="83"/>
      <c r="V403" s="83"/>
      <c r="W403" s="83"/>
      <c r="X403" s="83"/>
      <c r="Y403" s="83"/>
      <c r="Z403" s="83"/>
      <c r="AA403" s="83"/>
    </row>
    <row r="404" ht="55.5" customHeight="1">
      <c r="A404" s="79" t="s">
        <v>487</v>
      </c>
      <c r="B404" s="84"/>
      <c r="C404" s="79" t="s">
        <v>126</v>
      </c>
      <c r="D404" s="84"/>
      <c r="E404" s="79" t="s">
        <v>357</v>
      </c>
      <c r="F404" s="79" t="s">
        <v>344</v>
      </c>
      <c r="G404" s="79" t="s">
        <v>356</v>
      </c>
      <c r="H404" s="81" t="s">
        <v>10</v>
      </c>
      <c r="I404" s="82"/>
      <c r="J404" s="82"/>
      <c r="K404" s="83"/>
      <c r="L404" s="83"/>
      <c r="M404" s="83"/>
      <c r="N404" s="83"/>
      <c r="O404" s="83"/>
      <c r="P404" s="83"/>
      <c r="Q404" s="83"/>
      <c r="R404" s="83"/>
      <c r="S404" s="83"/>
      <c r="T404" s="83"/>
      <c r="U404" s="83"/>
      <c r="V404" s="83"/>
      <c r="W404" s="83"/>
      <c r="X404" s="83"/>
      <c r="Y404" s="83"/>
      <c r="Z404" s="83"/>
      <c r="AA404" s="83"/>
    </row>
    <row r="405" ht="55.5" customHeight="1">
      <c r="A405" s="79" t="s">
        <v>487</v>
      </c>
      <c r="B405" s="84"/>
      <c r="C405" s="79" t="s">
        <v>129</v>
      </c>
      <c r="D405" s="12"/>
      <c r="E405" s="79" t="s">
        <v>97</v>
      </c>
      <c r="F405" s="79" t="s">
        <v>344</v>
      </c>
      <c r="G405" s="79" t="s">
        <v>356</v>
      </c>
      <c r="H405" s="81" t="s">
        <v>10</v>
      </c>
      <c r="I405" s="82"/>
      <c r="J405" s="82"/>
      <c r="K405" s="83"/>
      <c r="L405" s="83"/>
      <c r="M405" s="83"/>
      <c r="N405" s="83"/>
      <c r="O405" s="83"/>
      <c r="P405" s="83"/>
      <c r="Q405" s="83"/>
      <c r="R405" s="83"/>
      <c r="S405" s="83"/>
      <c r="T405" s="83"/>
      <c r="U405" s="83"/>
      <c r="V405" s="83"/>
      <c r="W405" s="83"/>
      <c r="X405" s="83"/>
      <c r="Y405" s="83"/>
      <c r="Z405" s="83"/>
      <c r="AA405" s="83"/>
    </row>
    <row r="406" ht="55.5" customHeight="1">
      <c r="A406" s="79" t="s">
        <v>487</v>
      </c>
      <c r="B406" s="84"/>
      <c r="C406" s="79" t="s">
        <v>133</v>
      </c>
      <c r="D406" s="80" t="s">
        <v>99</v>
      </c>
      <c r="E406" s="79" t="s">
        <v>100</v>
      </c>
      <c r="F406" s="79" t="s">
        <v>344</v>
      </c>
      <c r="G406" s="79" t="s">
        <v>359</v>
      </c>
      <c r="H406" s="81" t="s">
        <v>10</v>
      </c>
      <c r="I406" s="82"/>
      <c r="J406" s="82"/>
      <c r="K406" s="83"/>
      <c r="L406" s="83"/>
      <c r="M406" s="83"/>
      <c r="N406" s="83"/>
      <c r="O406" s="83"/>
      <c r="P406" s="83"/>
      <c r="Q406" s="83"/>
      <c r="R406" s="83"/>
      <c r="S406" s="83"/>
      <c r="T406" s="83"/>
      <c r="U406" s="83"/>
      <c r="V406" s="83"/>
      <c r="W406" s="83"/>
      <c r="X406" s="83"/>
      <c r="Y406" s="83"/>
      <c r="Z406" s="83"/>
      <c r="AA406" s="83"/>
    </row>
    <row r="407" ht="55.5" customHeight="1">
      <c r="A407" s="79" t="s">
        <v>487</v>
      </c>
      <c r="B407" s="84"/>
      <c r="C407" s="79" t="s">
        <v>136</v>
      </c>
      <c r="D407" s="84"/>
      <c r="E407" s="79" t="s">
        <v>360</v>
      </c>
      <c r="F407" s="79" t="s">
        <v>344</v>
      </c>
      <c r="G407" s="79" t="s">
        <v>361</v>
      </c>
      <c r="H407" s="81" t="s">
        <v>10</v>
      </c>
      <c r="I407" s="82"/>
      <c r="J407" s="82"/>
      <c r="K407" s="83"/>
      <c r="L407" s="83"/>
      <c r="M407" s="83"/>
      <c r="N407" s="83"/>
      <c r="O407" s="83"/>
      <c r="P407" s="83"/>
      <c r="Q407" s="83"/>
      <c r="R407" s="83"/>
      <c r="S407" s="83"/>
      <c r="T407" s="83"/>
      <c r="U407" s="83"/>
      <c r="V407" s="83"/>
      <c r="W407" s="83"/>
      <c r="X407" s="83"/>
      <c r="Y407" s="83"/>
      <c r="Z407" s="83"/>
      <c r="AA407" s="83"/>
    </row>
    <row r="408" ht="55.5" customHeight="1">
      <c r="A408" s="79" t="s">
        <v>487</v>
      </c>
      <c r="B408" s="84"/>
      <c r="C408" s="79" t="s">
        <v>139</v>
      </c>
      <c r="D408" s="84"/>
      <c r="E408" s="79" t="s">
        <v>362</v>
      </c>
      <c r="F408" s="79" t="s">
        <v>344</v>
      </c>
      <c r="G408" s="79" t="s">
        <v>359</v>
      </c>
      <c r="H408" s="81" t="s">
        <v>10</v>
      </c>
      <c r="I408" s="82"/>
      <c r="J408" s="82"/>
      <c r="K408" s="83"/>
      <c r="L408" s="83"/>
      <c r="M408" s="83"/>
      <c r="N408" s="83"/>
      <c r="O408" s="83"/>
      <c r="P408" s="83"/>
      <c r="Q408" s="83"/>
      <c r="R408" s="83"/>
      <c r="S408" s="83"/>
      <c r="T408" s="83"/>
      <c r="U408" s="83"/>
      <c r="V408" s="83"/>
      <c r="W408" s="83"/>
      <c r="X408" s="83"/>
      <c r="Y408" s="83"/>
      <c r="Z408" s="83"/>
      <c r="AA408" s="83"/>
    </row>
    <row r="409" ht="55.5" customHeight="1">
      <c r="A409" s="79" t="s">
        <v>487</v>
      </c>
      <c r="B409" s="84"/>
      <c r="C409" s="79" t="s">
        <v>144</v>
      </c>
      <c r="D409" s="84"/>
      <c r="E409" s="79" t="s">
        <v>363</v>
      </c>
      <c r="F409" s="79" t="s">
        <v>344</v>
      </c>
      <c r="G409" s="79" t="s">
        <v>361</v>
      </c>
      <c r="H409" s="81" t="s">
        <v>10</v>
      </c>
      <c r="I409" s="82"/>
      <c r="J409" s="82"/>
      <c r="K409" s="83"/>
      <c r="L409" s="83"/>
      <c r="M409" s="83"/>
      <c r="N409" s="83"/>
      <c r="O409" s="83"/>
      <c r="P409" s="83"/>
      <c r="Q409" s="83"/>
      <c r="R409" s="83"/>
      <c r="S409" s="83"/>
      <c r="T409" s="83"/>
      <c r="U409" s="83"/>
      <c r="V409" s="83"/>
      <c r="W409" s="83"/>
      <c r="X409" s="83"/>
      <c r="Y409" s="83"/>
      <c r="Z409" s="83"/>
      <c r="AA409" s="83"/>
    </row>
    <row r="410" ht="55.5" customHeight="1">
      <c r="A410" s="79" t="s">
        <v>487</v>
      </c>
      <c r="B410" s="84"/>
      <c r="C410" s="79" t="s">
        <v>148</v>
      </c>
      <c r="D410" s="84"/>
      <c r="E410" s="79" t="s">
        <v>364</v>
      </c>
      <c r="F410" s="79" t="s">
        <v>344</v>
      </c>
      <c r="G410" s="79" t="s">
        <v>361</v>
      </c>
      <c r="H410" s="81" t="s">
        <v>10</v>
      </c>
      <c r="I410" s="82"/>
      <c r="J410" s="82"/>
      <c r="K410" s="83"/>
      <c r="L410" s="83"/>
      <c r="M410" s="83"/>
      <c r="N410" s="83"/>
      <c r="O410" s="83"/>
      <c r="P410" s="83"/>
      <c r="Q410" s="83"/>
      <c r="R410" s="83"/>
      <c r="S410" s="83"/>
      <c r="T410" s="83"/>
      <c r="U410" s="83"/>
      <c r="V410" s="83"/>
      <c r="W410" s="83"/>
      <c r="X410" s="83"/>
      <c r="Y410" s="83"/>
      <c r="Z410" s="83"/>
      <c r="AA410" s="83"/>
    </row>
    <row r="411" ht="55.5" customHeight="1">
      <c r="A411" s="79" t="s">
        <v>487</v>
      </c>
      <c r="B411" s="84"/>
      <c r="C411" s="79" t="s">
        <v>151</v>
      </c>
      <c r="D411" s="84"/>
      <c r="E411" s="79" t="s">
        <v>365</v>
      </c>
      <c r="F411" s="79" t="s">
        <v>344</v>
      </c>
      <c r="G411" s="79" t="s">
        <v>361</v>
      </c>
      <c r="H411" s="81" t="s">
        <v>10</v>
      </c>
      <c r="I411" s="82"/>
      <c r="J411" s="82"/>
      <c r="K411" s="83"/>
      <c r="L411" s="83"/>
      <c r="M411" s="83"/>
      <c r="N411" s="83"/>
      <c r="O411" s="83"/>
      <c r="P411" s="83"/>
      <c r="Q411" s="83"/>
      <c r="R411" s="83"/>
      <c r="S411" s="83"/>
      <c r="T411" s="83"/>
      <c r="U411" s="83"/>
      <c r="V411" s="83"/>
      <c r="W411" s="83"/>
      <c r="X411" s="83"/>
      <c r="Y411" s="83"/>
      <c r="Z411" s="83"/>
      <c r="AA411" s="83"/>
    </row>
    <row r="412" ht="55.5" customHeight="1">
      <c r="A412" s="79" t="s">
        <v>487</v>
      </c>
      <c r="B412" s="84"/>
      <c r="C412" s="79" t="s">
        <v>154</v>
      </c>
      <c r="D412" s="84"/>
      <c r="E412" s="79" t="s">
        <v>366</v>
      </c>
      <c r="F412" s="79" t="s">
        <v>344</v>
      </c>
      <c r="G412" s="79" t="s">
        <v>359</v>
      </c>
      <c r="H412" s="81" t="s">
        <v>10</v>
      </c>
      <c r="I412" s="82"/>
      <c r="J412" s="82"/>
      <c r="K412" s="83"/>
      <c r="L412" s="83"/>
      <c r="M412" s="83"/>
      <c r="N412" s="83"/>
      <c r="O412" s="83"/>
      <c r="P412" s="83"/>
      <c r="Q412" s="83"/>
      <c r="R412" s="83"/>
      <c r="S412" s="83"/>
      <c r="T412" s="83"/>
      <c r="U412" s="83"/>
      <c r="V412" s="83"/>
      <c r="W412" s="83"/>
      <c r="X412" s="83"/>
      <c r="Y412" s="83"/>
      <c r="Z412" s="83"/>
      <c r="AA412" s="83"/>
    </row>
    <row r="413" ht="55.5" customHeight="1">
      <c r="A413" s="79" t="s">
        <v>487</v>
      </c>
      <c r="B413" s="84"/>
      <c r="C413" s="79" t="s">
        <v>158</v>
      </c>
      <c r="D413" s="84"/>
      <c r="E413" s="79" t="s">
        <v>367</v>
      </c>
      <c r="F413" s="79" t="s">
        <v>344</v>
      </c>
      <c r="G413" s="79" t="s">
        <v>359</v>
      </c>
      <c r="H413" s="81" t="s">
        <v>10</v>
      </c>
      <c r="I413" s="82"/>
      <c r="J413" s="82"/>
      <c r="K413" s="83"/>
      <c r="L413" s="83"/>
      <c r="M413" s="83"/>
      <c r="N413" s="83"/>
      <c r="O413" s="83"/>
      <c r="P413" s="83"/>
      <c r="Q413" s="83"/>
      <c r="R413" s="83"/>
      <c r="S413" s="83"/>
      <c r="T413" s="83"/>
      <c r="U413" s="83"/>
      <c r="V413" s="83"/>
      <c r="W413" s="83"/>
      <c r="X413" s="83"/>
      <c r="Y413" s="83"/>
      <c r="Z413" s="83"/>
      <c r="AA413" s="83"/>
    </row>
    <row r="414" ht="55.5" customHeight="1">
      <c r="A414" s="79" t="s">
        <v>487</v>
      </c>
      <c r="B414" s="84"/>
      <c r="C414" s="79" t="s">
        <v>162</v>
      </c>
      <c r="D414" s="84"/>
      <c r="E414" s="79" t="s">
        <v>368</v>
      </c>
      <c r="F414" s="79" t="s">
        <v>344</v>
      </c>
      <c r="G414" s="79" t="s">
        <v>359</v>
      </c>
      <c r="H414" s="81" t="s">
        <v>10</v>
      </c>
      <c r="I414" s="82"/>
      <c r="J414" s="82"/>
      <c r="K414" s="83"/>
      <c r="L414" s="83"/>
      <c r="M414" s="83"/>
      <c r="N414" s="83"/>
      <c r="O414" s="83"/>
      <c r="P414" s="83"/>
      <c r="Q414" s="83"/>
      <c r="R414" s="83"/>
      <c r="S414" s="83"/>
      <c r="T414" s="83"/>
      <c r="U414" s="83"/>
      <c r="V414" s="83"/>
      <c r="W414" s="83"/>
      <c r="X414" s="83"/>
      <c r="Y414" s="83"/>
      <c r="Z414" s="83"/>
      <c r="AA414" s="83"/>
    </row>
    <row r="415" ht="55.5" customHeight="1">
      <c r="A415" s="79" t="s">
        <v>487</v>
      </c>
      <c r="B415" s="84"/>
      <c r="C415" s="79" t="s">
        <v>165</v>
      </c>
      <c r="D415" s="84"/>
      <c r="E415" s="79" t="s">
        <v>369</v>
      </c>
      <c r="F415" s="79" t="s">
        <v>344</v>
      </c>
      <c r="G415" s="79" t="s">
        <v>361</v>
      </c>
      <c r="H415" s="81" t="s">
        <v>10</v>
      </c>
      <c r="I415" s="82"/>
      <c r="J415" s="82"/>
      <c r="K415" s="83"/>
      <c r="L415" s="83"/>
      <c r="M415" s="83"/>
      <c r="N415" s="83"/>
      <c r="O415" s="83"/>
      <c r="P415" s="83"/>
      <c r="Q415" s="83"/>
      <c r="R415" s="83"/>
      <c r="S415" s="83"/>
      <c r="T415" s="83"/>
      <c r="U415" s="83"/>
      <c r="V415" s="83"/>
      <c r="W415" s="83"/>
      <c r="X415" s="83"/>
      <c r="Y415" s="83"/>
      <c r="Z415" s="83"/>
      <c r="AA415" s="83"/>
    </row>
    <row r="416" ht="55.5" customHeight="1">
      <c r="A416" s="79" t="s">
        <v>487</v>
      </c>
      <c r="B416" s="84"/>
      <c r="C416" s="79" t="s">
        <v>167</v>
      </c>
      <c r="D416" s="12"/>
      <c r="E416" s="79" t="s">
        <v>370</v>
      </c>
      <c r="F416" s="79" t="s">
        <v>344</v>
      </c>
      <c r="G416" s="79" t="s">
        <v>361</v>
      </c>
      <c r="H416" s="81" t="s">
        <v>10</v>
      </c>
      <c r="I416" s="82"/>
      <c r="J416" s="82"/>
      <c r="K416" s="83"/>
      <c r="L416" s="83"/>
      <c r="M416" s="83"/>
      <c r="N416" s="83"/>
      <c r="O416" s="83"/>
      <c r="P416" s="83"/>
      <c r="Q416" s="83"/>
      <c r="R416" s="83"/>
      <c r="S416" s="83"/>
      <c r="T416" s="83"/>
      <c r="U416" s="83"/>
      <c r="V416" s="83"/>
      <c r="W416" s="83"/>
      <c r="X416" s="83"/>
      <c r="Y416" s="83"/>
      <c r="Z416" s="83"/>
      <c r="AA416" s="83"/>
    </row>
    <row r="417" ht="55.5" customHeight="1">
      <c r="A417" s="79" t="s">
        <v>487</v>
      </c>
      <c r="B417" s="84"/>
      <c r="C417" s="79" t="s">
        <v>169</v>
      </c>
      <c r="D417" s="80" t="s">
        <v>130</v>
      </c>
      <c r="E417" s="79" t="s">
        <v>374</v>
      </c>
      <c r="F417" s="79" t="s">
        <v>344</v>
      </c>
      <c r="G417" s="79" t="s">
        <v>132</v>
      </c>
      <c r="H417" s="81" t="s">
        <v>10</v>
      </c>
      <c r="I417" s="82"/>
      <c r="J417" s="82"/>
      <c r="K417" s="83"/>
      <c r="L417" s="83"/>
      <c r="M417" s="83"/>
      <c r="N417" s="83"/>
      <c r="O417" s="83"/>
      <c r="P417" s="83"/>
      <c r="Q417" s="83"/>
      <c r="R417" s="83"/>
      <c r="S417" s="83"/>
      <c r="T417" s="83"/>
      <c r="U417" s="83"/>
      <c r="V417" s="83"/>
      <c r="W417" s="83"/>
      <c r="X417" s="83"/>
      <c r="Y417" s="83"/>
      <c r="Z417" s="83"/>
      <c r="AA417" s="83"/>
    </row>
    <row r="418" ht="55.5" customHeight="1">
      <c r="A418" s="79" t="s">
        <v>487</v>
      </c>
      <c r="B418" s="84"/>
      <c r="C418" s="79" t="s">
        <v>171</v>
      </c>
      <c r="D418" s="84"/>
      <c r="E418" s="86" t="s">
        <v>134</v>
      </c>
      <c r="F418" s="79" t="s">
        <v>344</v>
      </c>
      <c r="G418" s="79" t="s">
        <v>135</v>
      </c>
      <c r="H418" s="81" t="s">
        <v>10</v>
      </c>
      <c r="I418" s="82"/>
      <c r="J418" s="82"/>
      <c r="K418" s="83"/>
      <c r="L418" s="83"/>
      <c r="M418" s="83"/>
      <c r="N418" s="83"/>
      <c r="O418" s="83"/>
      <c r="P418" s="83"/>
      <c r="Q418" s="83"/>
      <c r="R418" s="83"/>
      <c r="S418" s="83"/>
      <c r="T418" s="83"/>
      <c r="U418" s="83"/>
      <c r="V418" s="83"/>
      <c r="W418" s="83"/>
      <c r="X418" s="83"/>
      <c r="Y418" s="83"/>
      <c r="Z418" s="83"/>
      <c r="AA418" s="83"/>
    </row>
    <row r="419" ht="55.5" customHeight="1">
      <c r="A419" s="79" t="s">
        <v>487</v>
      </c>
      <c r="B419" s="84"/>
      <c r="C419" s="79" t="s">
        <v>173</v>
      </c>
      <c r="D419" s="84"/>
      <c r="E419" s="79" t="s">
        <v>141</v>
      </c>
      <c r="F419" s="79" t="s">
        <v>344</v>
      </c>
      <c r="G419" s="79" t="s">
        <v>143</v>
      </c>
      <c r="H419" s="81" t="s">
        <v>10</v>
      </c>
      <c r="I419" s="82"/>
      <c r="J419" s="82"/>
      <c r="K419" s="83"/>
      <c r="L419" s="83"/>
      <c r="M419" s="83"/>
      <c r="N419" s="83"/>
      <c r="O419" s="83"/>
      <c r="P419" s="83"/>
      <c r="Q419" s="83"/>
      <c r="R419" s="83"/>
      <c r="S419" s="83"/>
      <c r="T419" s="83"/>
      <c r="U419" s="83"/>
      <c r="V419" s="83"/>
      <c r="W419" s="83"/>
      <c r="X419" s="83"/>
      <c r="Y419" s="83"/>
      <c r="Z419" s="83"/>
      <c r="AA419" s="83"/>
    </row>
    <row r="420" ht="55.5" customHeight="1">
      <c r="A420" s="79" t="s">
        <v>487</v>
      </c>
      <c r="B420" s="84"/>
      <c r="C420" s="79" t="s">
        <v>244</v>
      </c>
      <c r="D420" s="12"/>
      <c r="E420" s="79" t="s">
        <v>378</v>
      </c>
      <c r="F420" s="79" t="s">
        <v>379</v>
      </c>
      <c r="G420" s="79" t="s">
        <v>135</v>
      </c>
      <c r="H420" s="81" t="s">
        <v>10</v>
      </c>
      <c r="I420" s="101" t="s">
        <v>531</v>
      </c>
      <c r="J420" s="82"/>
      <c r="K420" s="83"/>
      <c r="L420" s="83"/>
      <c r="M420" s="83"/>
      <c r="N420" s="83"/>
      <c r="O420" s="83"/>
      <c r="P420" s="83"/>
      <c r="Q420" s="83"/>
      <c r="R420" s="83"/>
      <c r="S420" s="83"/>
      <c r="T420" s="83"/>
      <c r="U420" s="83"/>
      <c r="V420" s="83"/>
      <c r="W420" s="83"/>
      <c r="X420" s="83"/>
      <c r="Y420" s="83"/>
      <c r="Z420" s="83"/>
      <c r="AA420" s="83"/>
    </row>
    <row r="421" ht="55.5" customHeight="1">
      <c r="A421" s="79" t="s">
        <v>487</v>
      </c>
      <c r="B421" s="84"/>
      <c r="C421" s="79" t="s">
        <v>177</v>
      </c>
      <c r="D421" s="80" t="s">
        <v>387</v>
      </c>
      <c r="E421" s="79" t="s">
        <v>388</v>
      </c>
      <c r="F421" s="79" t="s">
        <v>344</v>
      </c>
      <c r="G421" s="79" t="s">
        <v>132</v>
      </c>
      <c r="H421" s="81" t="s">
        <v>10</v>
      </c>
      <c r="I421" s="82"/>
      <c r="J421" s="82"/>
      <c r="K421" s="83"/>
      <c r="L421" s="83"/>
      <c r="M421" s="83"/>
      <c r="N421" s="83"/>
      <c r="O421" s="83"/>
      <c r="P421" s="83"/>
      <c r="Q421" s="83"/>
      <c r="R421" s="83"/>
      <c r="S421" s="83"/>
      <c r="T421" s="83"/>
      <c r="U421" s="83"/>
      <c r="V421" s="83"/>
      <c r="W421" s="83"/>
      <c r="X421" s="83"/>
      <c r="Y421" s="83"/>
      <c r="Z421" s="83"/>
      <c r="AA421" s="83"/>
    </row>
    <row r="422" ht="55.5" customHeight="1">
      <c r="A422" s="79" t="s">
        <v>487</v>
      </c>
      <c r="B422" s="84"/>
      <c r="C422" s="79" t="s">
        <v>179</v>
      </c>
      <c r="D422" s="84"/>
      <c r="E422" s="79" t="s">
        <v>389</v>
      </c>
      <c r="F422" s="79" t="s">
        <v>344</v>
      </c>
      <c r="G422" s="79" t="s">
        <v>132</v>
      </c>
      <c r="H422" s="81" t="s">
        <v>10</v>
      </c>
      <c r="I422" s="82"/>
      <c r="J422" s="82"/>
      <c r="K422" s="83"/>
      <c r="L422" s="83"/>
      <c r="M422" s="83"/>
      <c r="N422" s="83"/>
      <c r="O422" s="83"/>
      <c r="P422" s="83"/>
      <c r="Q422" s="83"/>
      <c r="R422" s="83"/>
      <c r="S422" s="83"/>
      <c r="T422" s="83"/>
      <c r="U422" s="83"/>
      <c r="V422" s="83"/>
      <c r="W422" s="83"/>
      <c r="X422" s="83"/>
      <c r="Y422" s="83"/>
      <c r="Z422" s="83"/>
      <c r="AA422" s="83"/>
    </row>
    <row r="423" ht="55.5" customHeight="1">
      <c r="A423" s="79" t="s">
        <v>487</v>
      </c>
      <c r="B423" s="84"/>
      <c r="C423" s="79" t="s">
        <v>181</v>
      </c>
      <c r="D423" s="84"/>
      <c r="E423" s="79" t="s">
        <v>390</v>
      </c>
      <c r="F423" s="79" t="s">
        <v>344</v>
      </c>
      <c r="G423" s="79" t="s">
        <v>132</v>
      </c>
      <c r="H423" s="81" t="s">
        <v>10</v>
      </c>
      <c r="I423" s="82"/>
      <c r="J423" s="82"/>
      <c r="K423" s="83"/>
      <c r="L423" s="83"/>
      <c r="M423" s="83"/>
      <c r="N423" s="83"/>
      <c r="O423" s="83"/>
      <c r="P423" s="83"/>
      <c r="Q423" s="83"/>
      <c r="R423" s="83"/>
      <c r="S423" s="83"/>
      <c r="T423" s="83"/>
      <c r="U423" s="83"/>
      <c r="V423" s="83"/>
      <c r="W423" s="83"/>
      <c r="X423" s="83"/>
      <c r="Y423" s="83"/>
      <c r="Z423" s="83"/>
      <c r="AA423" s="83"/>
    </row>
    <row r="424" ht="55.5" customHeight="1">
      <c r="A424" s="79" t="s">
        <v>487</v>
      </c>
      <c r="B424" s="84"/>
      <c r="C424" s="79" t="s">
        <v>183</v>
      </c>
      <c r="D424" s="12"/>
      <c r="E424" s="79" t="s">
        <v>391</v>
      </c>
      <c r="F424" s="79" t="s">
        <v>344</v>
      </c>
      <c r="G424" s="79" t="s">
        <v>132</v>
      </c>
      <c r="H424" s="81" t="s">
        <v>10</v>
      </c>
      <c r="I424" s="82"/>
      <c r="J424" s="82"/>
      <c r="K424" s="83"/>
      <c r="L424" s="83"/>
      <c r="M424" s="83"/>
      <c r="N424" s="83"/>
      <c r="O424" s="83"/>
      <c r="P424" s="83"/>
      <c r="Q424" s="83"/>
      <c r="R424" s="83"/>
      <c r="S424" s="83"/>
      <c r="T424" s="83"/>
      <c r="U424" s="83"/>
      <c r="V424" s="83"/>
      <c r="W424" s="83"/>
      <c r="X424" s="83"/>
      <c r="Y424" s="83"/>
      <c r="Z424" s="83"/>
      <c r="AA424" s="83"/>
    </row>
    <row r="425" ht="55.5" customHeight="1">
      <c r="A425" s="79" t="s">
        <v>487</v>
      </c>
      <c r="B425" s="84"/>
      <c r="C425" s="79" t="s">
        <v>185</v>
      </c>
      <c r="D425" s="80" t="s">
        <v>392</v>
      </c>
      <c r="E425" s="79" t="s">
        <v>393</v>
      </c>
      <c r="F425" s="79" t="s">
        <v>344</v>
      </c>
      <c r="G425" s="79" t="s">
        <v>132</v>
      </c>
      <c r="H425" s="81" t="s">
        <v>10</v>
      </c>
      <c r="I425" s="82"/>
      <c r="J425" s="82"/>
      <c r="K425" s="83"/>
      <c r="L425" s="83"/>
      <c r="M425" s="83"/>
      <c r="N425" s="83"/>
      <c r="O425" s="83"/>
      <c r="P425" s="83"/>
      <c r="Q425" s="83"/>
      <c r="R425" s="83"/>
      <c r="S425" s="83"/>
      <c r="T425" s="83"/>
      <c r="U425" s="83"/>
      <c r="V425" s="83"/>
      <c r="W425" s="83"/>
      <c r="X425" s="83"/>
      <c r="Y425" s="83"/>
      <c r="Z425" s="83"/>
      <c r="AA425" s="83"/>
    </row>
    <row r="426" ht="55.5" customHeight="1">
      <c r="A426" s="79" t="s">
        <v>487</v>
      </c>
      <c r="B426" s="84"/>
      <c r="C426" s="79" t="s">
        <v>187</v>
      </c>
      <c r="D426" s="84"/>
      <c r="E426" s="79" t="s">
        <v>178</v>
      </c>
      <c r="F426" s="79" t="s">
        <v>344</v>
      </c>
      <c r="G426" s="79" t="s">
        <v>132</v>
      </c>
      <c r="H426" s="81" t="s">
        <v>10</v>
      </c>
      <c r="I426" s="82"/>
      <c r="J426" s="82"/>
      <c r="K426" s="83"/>
      <c r="L426" s="83"/>
      <c r="M426" s="83"/>
      <c r="N426" s="83"/>
      <c r="O426" s="83"/>
      <c r="P426" s="83"/>
      <c r="Q426" s="83"/>
      <c r="R426" s="83"/>
      <c r="S426" s="83"/>
      <c r="T426" s="83"/>
      <c r="U426" s="83"/>
      <c r="V426" s="83"/>
      <c r="W426" s="83"/>
      <c r="X426" s="83"/>
      <c r="Y426" s="83"/>
      <c r="Z426" s="83"/>
      <c r="AA426" s="83"/>
    </row>
    <row r="427" ht="55.5" customHeight="1">
      <c r="A427" s="79" t="s">
        <v>487</v>
      </c>
      <c r="B427" s="84"/>
      <c r="C427" s="79" t="s">
        <v>189</v>
      </c>
      <c r="D427" s="84"/>
      <c r="E427" s="79" t="s">
        <v>180</v>
      </c>
      <c r="F427" s="79" t="s">
        <v>344</v>
      </c>
      <c r="G427" s="79" t="s">
        <v>132</v>
      </c>
      <c r="H427" s="81" t="s">
        <v>10</v>
      </c>
      <c r="I427" s="82"/>
      <c r="J427" s="82"/>
      <c r="K427" s="83"/>
      <c r="L427" s="83"/>
      <c r="M427" s="83"/>
      <c r="N427" s="83"/>
      <c r="O427" s="83"/>
      <c r="P427" s="83"/>
      <c r="Q427" s="83"/>
      <c r="R427" s="83"/>
      <c r="S427" s="83"/>
      <c r="T427" s="83"/>
      <c r="U427" s="83"/>
      <c r="V427" s="83"/>
      <c r="W427" s="83"/>
      <c r="X427" s="83"/>
      <c r="Y427" s="83"/>
      <c r="Z427" s="83"/>
      <c r="AA427" s="83"/>
    </row>
    <row r="428" ht="55.5" customHeight="1">
      <c r="A428" s="79" t="s">
        <v>487</v>
      </c>
      <c r="B428" s="84"/>
      <c r="C428" s="79" t="s">
        <v>192</v>
      </c>
      <c r="D428" s="84"/>
      <c r="E428" s="79" t="s">
        <v>247</v>
      </c>
      <c r="F428" s="79" t="s">
        <v>344</v>
      </c>
      <c r="G428" s="79" t="s">
        <v>132</v>
      </c>
      <c r="H428" s="81" t="s">
        <v>10</v>
      </c>
      <c r="I428" s="82"/>
      <c r="J428" s="82"/>
      <c r="K428" s="83"/>
      <c r="L428" s="83"/>
      <c r="M428" s="83"/>
      <c r="N428" s="83"/>
      <c r="O428" s="83"/>
      <c r="P428" s="83"/>
      <c r="Q428" s="83"/>
      <c r="R428" s="83"/>
      <c r="S428" s="83"/>
      <c r="T428" s="83"/>
      <c r="U428" s="83"/>
      <c r="V428" s="83"/>
      <c r="W428" s="83"/>
      <c r="X428" s="83"/>
      <c r="Y428" s="83"/>
      <c r="Z428" s="83"/>
      <c r="AA428" s="83"/>
    </row>
    <row r="429" ht="55.5" customHeight="1">
      <c r="A429" s="79" t="s">
        <v>487</v>
      </c>
      <c r="B429" s="84"/>
      <c r="C429" s="79" t="s">
        <v>196</v>
      </c>
      <c r="D429" s="84"/>
      <c r="E429" s="79" t="s">
        <v>248</v>
      </c>
      <c r="F429" s="79" t="s">
        <v>344</v>
      </c>
      <c r="G429" s="79" t="s">
        <v>132</v>
      </c>
      <c r="H429" s="81" t="s">
        <v>10</v>
      </c>
      <c r="I429" s="82"/>
      <c r="J429" s="82"/>
      <c r="K429" s="83"/>
      <c r="L429" s="83"/>
      <c r="M429" s="83"/>
      <c r="N429" s="83"/>
      <c r="O429" s="83"/>
      <c r="P429" s="83"/>
      <c r="Q429" s="83"/>
      <c r="R429" s="83"/>
      <c r="S429" s="83"/>
      <c r="T429" s="83"/>
      <c r="U429" s="83"/>
      <c r="V429" s="83"/>
      <c r="W429" s="83"/>
      <c r="X429" s="83"/>
      <c r="Y429" s="83"/>
      <c r="Z429" s="83"/>
      <c r="AA429" s="83"/>
    </row>
    <row r="430" ht="55.5" customHeight="1">
      <c r="A430" s="79" t="s">
        <v>487</v>
      </c>
      <c r="B430" s="84"/>
      <c r="C430" s="79" t="s">
        <v>198</v>
      </c>
      <c r="D430" s="84"/>
      <c r="E430" s="79" t="s">
        <v>186</v>
      </c>
      <c r="F430" s="79" t="s">
        <v>344</v>
      </c>
      <c r="G430" s="79" t="s">
        <v>132</v>
      </c>
      <c r="H430" s="81" t="s">
        <v>10</v>
      </c>
      <c r="I430" s="82"/>
      <c r="J430" s="82"/>
      <c r="K430" s="83"/>
      <c r="L430" s="83"/>
      <c r="M430" s="83"/>
      <c r="N430" s="83"/>
      <c r="O430" s="83"/>
      <c r="P430" s="83"/>
      <c r="Q430" s="83"/>
      <c r="R430" s="83"/>
      <c r="S430" s="83"/>
      <c r="T430" s="83"/>
      <c r="U430" s="83"/>
      <c r="V430" s="83"/>
      <c r="W430" s="83"/>
      <c r="X430" s="83"/>
      <c r="Y430" s="83"/>
      <c r="Z430" s="83"/>
      <c r="AA430" s="83"/>
    </row>
    <row r="431" ht="55.5" customHeight="1">
      <c r="A431" s="79" t="s">
        <v>487</v>
      </c>
      <c r="B431" s="84"/>
      <c r="C431" s="79" t="s">
        <v>201</v>
      </c>
      <c r="D431" s="12"/>
      <c r="E431" s="79" t="s">
        <v>188</v>
      </c>
      <c r="F431" s="79" t="s">
        <v>344</v>
      </c>
      <c r="G431" s="79" t="s">
        <v>132</v>
      </c>
      <c r="H431" s="81" t="s">
        <v>10</v>
      </c>
      <c r="I431" s="82"/>
      <c r="J431" s="95"/>
      <c r="K431" s="83"/>
      <c r="L431" s="83"/>
      <c r="M431" s="83"/>
      <c r="N431" s="83"/>
      <c r="O431" s="83"/>
      <c r="P431" s="83"/>
      <c r="Q431" s="83"/>
      <c r="R431" s="83"/>
      <c r="S431" s="83"/>
      <c r="T431" s="83"/>
      <c r="U431" s="83"/>
      <c r="V431" s="83"/>
      <c r="W431" s="83"/>
      <c r="X431" s="83"/>
      <c r="Y431" s="83"/>
      <c r="Z431" s="83"/>
      <c r="AA431" s="83"/>
    </row>
    <row r="432" ht="55.5" customHeight="1">
      <c r="A432" s="79" t="s">
        <v>487</v>
      </c>
      <c r="B432" s="84"/>
      <c r="C432" s="79" t="s">
        <v>205</v>
      </c>
      <c r="D432" s="79" t="s">
        <v>532</v>
      </c>
      <c r="E432" s="79" t="s">
        <v>308</v>
      </c>
      <c r="F432" s="79" t="s">
        <v>344</v>
      </c>
      <c r="G432" s="79" t="s">
        <v>533</v>
      </c>
      <c r="H432" s="98" t="s">
        <v>11</v>
      </c>
      <c r="I432" s="82"/>
      <c r="J432" s="102" t="s">
        <v>534</v>
      </c>
      <c r="K432" s="100"/>
      <c r="L432" s="100"/>
      <c r="M432" s="100"/>
      <c r="N432" s="100"/>
      <c r="O432" s="100"/>
      <c r="P432" s="100"/>
      <c r="Q432" s="100"/>
      <c r="R432" s="100"/>
      <c r="S432" s="100"/>
      <c r="T432" s="100"/>
      <c r="U432" s="100"/>
      <c r="V432" s="100"/>
      <c r="W432" s="100"/>
      <c r="X432" s="100"/>
      <c r="Y432" s="100"/>
      <c r="Z432" s="100"/>
      <c r="AA432" s="100"/>
    </row>
    <row r="433" ht="55.5" customHeight="1">
      <c r="A433" s="79" t="s">
        <v>487</v>
      </c>
      <c r="B433" s="84"/>
      <c r="C433" s="79" t="s">
        <v>208</v>
      </c>
      <c r="D433" s="80" t="s">
        <v>535</v>
      </c>
      <c r="E433" s="79" t="s">
        <v>536</v>
      </c>
      <c r="F433" s="79" t="s">
        <v>344</v>
      </c>
      <c r="G433" s="79" t="s">
        <v>537</v>
      </c>
      <c r="H433" s="81" t="s">
        <v>10</v>
      </c>
      <c r="I433" s="82"/>
      <c r="J433" s="82"/>
      <c r="K433" s="83"/>
      <c r="L433" s="83"/>
      <c r="M433" s="83"/>
      <c r="N433" s="83"/>
      <c r="O433" s="83"/>
      <c r="P433" s="83"/>
      <c r="Q433" s="83"/>
      <c r="R433" s="83"/>
      <c r="S433" s="83"/>
      <c r="T433" s="83"/>
      <c r="U433" s="83"/>
      <c r="V433" s="83"/>
      <c r="W433" s="83"/>
      <c r="X433" s="83"/>
      <c r="Y433" s="83"/>
      <c r="Z433" s="83"/>
      <c r="AA433" s="83"/>
    </row>
    <row r="434" ht="55.5" customHeight="1">
      <c r="A434" s="79" t="s">
        <v>487</v>
      </c>
      <c r="B434" s="84"/>
      <c r="C434" s="79" t="s">
        <v>211</v>
      </c>
      <c r="D434" s="84"/>
      <c r="E434" s="79" t="s">
        <v>538</v>
      </c>
      <c r="F434" s="79" t="s">
        <v>344</v>
      </c>
      <c r="G434" s="79" t="s">
        <v>537</v>
      </c>
      <c r="H434" s="81" t="s">
        <v>10</v>
      </c>
      <c r="I434" s="82"/>
      <c r="J434" s="82"/>
      <c r="K434" s="83"/>
      <c r="L434" s="83"/>
      <c r="M434" s="83"/>
      <c r="N434" s="83"/>
      <c r="O434" s="83"/>
      <c r="P434" s="83"/>
      <c r="Q434" s="83"/>
      <c r="R434" s="83"/>
      <c r="S434" s="83"/>
      <c r="T434" s="83"/>
      <c r="U434" s="83"/>
      <c r="V434" s="83"/>
      <c r="W434" s="83"/>
      <c r="X434" s="83"/>
      <c r="Y434" s="83"/>
      <c r="Z434" s="83"/>
      <c r="AA434" s="83"/>
    </row>
    <row r="435" ht="55.5" customHeight="1">
      <c r="A435" s="79" t="s">
        <v>487</v>
      </c>
      <c r="B435" s="84"/>
      <c r="C435" s="79" t="s">
        <v>213</v>
      </c>
      <c r="D435" s="12"/>
      <c r="E435" s="79" t="s">
        <v>539</v>
      </c>
      <c r="F435" s="79" t="s">
        <v>344</v>
      </c>
      <c r="G435" s="79" t="s">
        <v>537</v>
      </c>
      <c r="H435" s="81" t="s">
        <v>10</v>
      </c>
      <c r="I435" s="82"/>
      <c r="J435" s="103"/>
      <c r="K435" s="83"/>
      <c r="L435" s="83"/>
      <c r="M435" s="83"/>
      <c r="N435" s="83"/>
      <c r="O435" s="83"/>
      <c r="P435" s="83"/>
      <c r="Q435" s="83"/>
      <c r="R435" s="83"/>
      <c r="S435" s="83"/>
      <c r="T435" s="83"/>
      <c r="U435" s="83"/>
      <c r="V435" s="83"/>
      <c r="W435" s="83"/>
      <c r="X435" s="83"/>
      <c r="Y435" s="83"/>
      <c r="Z435" s="83"/>
      <c r="AA435" s="83"/>
    </row>
    <row r="436" ht="55.5" customHeight="1">
      <c r="A436" s="79" t="s">
        <v>487</v>
      </c>
      <c r="B436" s="84"/>
      <c r="C436" s="79" t="s">
        <v>215</v>
      </c>
      <c r="D436" s="80" t="s">
        <v>540</v>
      </c>
      <c r="E436" s="79" t="s">
        <v>541</v>
      </c>
      <c r="F436" s="79" t="s">
        <v>542</v>
      </c>
      <c r="G436" s="79" t="s">
        <v>537</v>
      </c>
      <c r="H436" s="81" t="s">
        <v>10</v>
      </c>
      <c r="I436" s="97"/>
      <c r="J436" s="82"/>
      <c r="K436" s="83"/>
      <c r="L436" s="83"/>
      <c r="M436" s="83"/>
      <c r="N436" s="83"/>
      <c r="O436" s="83"/>
      <c r="P436" s="83"/>
      <c r="Q436" s="83"/>
      <c r="R436" s="83"/>
      <c r="S436" s="83"/>
      <c r="T436" s="83"/>
      <c r="U436" s="83"/>
      <c r="V436" s="83"/>
      <c r="W436" s="83"/>
      <c r="X436" s="83"/>
      <c r="Y436" s="83"/>
      <c r="Z436" s="83"/>
      <c r="AA436" s="83"/>
    </row>
    <row r="437" ht="55.5" customHeight="1">
      <c r="A437" s="79" t="s">
        <v>487</v>
      </c>
      <c r="B437" s="84"/>
      <c r="C437" s="79" t="s">
        <v>217</v>
      </c>
      <c r="D437" s="84"/>
      <c r="E437" s="79" t="s">
        <v>543</v>
      </c>
      <c r="F437" s="79" t="s">
        <v>544</v>
      </c>
      <c r="G437" s="79" t="s">
        <v>537</v>
      </c>
      <c r="H437" s="81" t="s">
        <v>10</v>
      </c>
      <c r="I437" s="97"/>
      <c r="J437" s="82"/>
      <c r="K437" s="83"/>
      <c r="L437" s="83"/>
      <c r="M437" s="83"/>
      <c r="N437" s="83"/>
      <c r="O437" s="83"/>
      <c r="P437" s="83"/>
      <c r="Q437" s="83"/>
      <c r="R437" s="83"/>
      <c r="S437" s="83"/>
      <c r="T437" s="83"/>
      <c r="U437" s="83"/>
      <c r="V437" s="83"/>
      <c r="W437" s="83"/>
      <c r="X437" s="83"/>
      <c r="Y437" s="83"/>
      <c r="Z437" s="83"/>
      <c r="AA437" s="83"/>
    </row>
    <row r="438" ht="55.5" customHeight="1">
      <c r="A438" s="79" t="s">
        <v>487</v>
      </c>
      <c r="B438" s="84"/>
      <c r="C438" s="79" t="s">
        <v>249</v>
      </c>
      <c r="D438" s="84"/>
      <c r="E438" s="79" t="s">
        <v>545</v>
      </c>
      <c r="F438" s="79" t="s">
        <v>546</v>
      </c>
      <c r="G438" s="79" t="s">
        <v>537</v>
      </c>
      <c r="H438" s="81" t="s">
        <v>10</v>
      </c>
      <c r="I438" s="97"/>
      <c r="J438" s="82"/>
      <c r="K438" s="83"/>
      <c r="L438" s="83"/>
      <c r="M438" s="83"/>
      <c r="N438" s="83"/>
      <c r="O438" s="83"/>
      <c r="P438" s="83"/>
      <c r="Q438" s="83"/>
      <c r="R438" s="83"/>
      <c r="S438" s="83"/>
      <c r="T438" s="83"/>
      <c r="U438" s="83"/>
      <c r="V438" s="83"/>
      <c r="W438" s="83"/>
      <c r="X438" s="83"/>
      <c r="Y438" s="83"/>
      <c r="Z438" s="83"/>
      <c r="AA438" s="83"/>
    </row>
    <row r="439" ht="55.5" customHeight="1">
      <c r="A439" s="79" t="s">
        <v>487</v>
      </c>
      <c r="B439" s="12"/>
      <c r="C439" s="79" t="s">
        <v>250</v>
      </c>
      <c r="D439" s="12"/>
      <c r="E439" s="79" t="s">
        <v>541</v>
      </c>
      <c r="F439" s="79" t="s">
        <v>547</v>
      </c>
      <c r="G439" s="79" t="s">
        <v>537</v>
      </c>
      <c r="H439" s="81" t="s">
        <v>10</v>
      </c>
      <c r="I439" s="97"/>
      <c r="J439" s="82"/>
      <c r="K439" s="83"/>
      <c r="L439" s="83"/>
      <c r="M439" s="83"/>
      <c r="N439" s="83"/>
      <c r="O439" s="83"/>
      <c r="P439" s="83"/>
      <c r="Q439" s="83"/>
      <c r="R439" s="83"/>
      <c r="S439" s="83"/>
      <c r="T439" s="83"/>
      <c r="U439" s="83"/>
      <c r="V439" s="83"/>
      <c r="W439" s="83"/>
      <c r="X439" s="83"/>
      <c r="Y439" s="83"/>
      <c r="Z439" s="83"/>
      <c r="AA439" s="83"/>
    </row>
    <row r="440" ht="55.5" customHeight="1">
      <c r="A440" s="79" t="s">
        <v>548</v>
      </c>
      <c r="B440" s="80"/>
      <c r="C440" s="79" t="s">
        <v>52</v>
      </c>
      <c r="D440" s="80" t="s">
        <v>549</v>
      </c>
      <c r="E440" s="79" t="s">
        <v>550</v>
      </c>
      <c r="F440" s="79" t="s">
        <v>551</v>
      </c>
      <c r="G440" s="79" t="s">
        <v>552</v>
      </c>
      <c r="H440" s="81" t="s">
        <v>10</v>
      </c>
      <c r="I440" s="82"/>
      <c r="J440" s="82"/>
      <c r="K440" s="83"/>
      <c r="L440" s="83"/>
      <c r="M440" s="83"/>
      <c r="N440" s="83"/>
      <c r="O440" s="83"/>
      <c r="P440" s="83"/>
      <c r="Q440" s="83"/>
      <c r="R440" s="83"/>
      <c r="S440" s="83"/>
      <c r="T440" s="83"/>
      <c r="U440" s="83"/>
      <c r="V440" s="83"/>
      <c r="W440" s="83"/>
      <c r="X440" s="83"/>
      <c r="Y440" s="83"/>
      <c r="Z440" s="83"/>
      <c r="AA440" s="83"/>
    </row>
    <row r="441" ht="55.5" customHeight="1">
      <c r="A441" s="79" t="s">
        <v>548</v>
      </c>
      <c r="B441" s="84"/>
      <c r="C441" s="79" t="s">
        <v>55</v>
      </c>
      <c r="D441" s="84"/>
      <c r="E441" s="79" t="s">
        <v>553</v>
      </c>
      <c r="F441" s="79" t="s">
        <v>551</v>
      </c>
      <c r="G441" s="79" t="s">
        <v>554</v>
      </c>
      <c r="H441" s="81" t="s">
        <v>10</v>
      </c>
      <c r="I441" s="85" t="s">
        <v>555</v>
      </c>
      <c r="J441" s="82"/>
      <c r="K441" s="83"/>
      <c r="L441" s="83"/>
      <c r="M441" s="83"/>
      <c r="N441" s="83"/>
      <c r="O441" s="83"/>
      <c r="P441" s="83"/>
      <c r="Q441" s="83"/>
      <c r="R441" s="83"/>
      <c r="S441" s="83"/>
      <c r="T441" s="83"/>
      <c r="U441" s="83"/>
      <c r="V441" s="83"/>
      <c r="W441" s="83"/>
      <c r="X441" s="83"/>
      <c r="Y441" s="83"/>
      <c r="Z441" s="83"/>
      <c r="AA441" s="83"/>
    </row>
    <row r="442" ht="55.5" customHeight="1">
      <c r="A442" s="79" t="s">
        <v>548</v>
      </c>
      <c r="B442" s="84"/>
      <c r="C442" s="79" t="s">
        <v>58</v>
      </c>
      <c r="D442" s="84"/>
      <c r="E442" s="79" t="s">
        <v>556</v>
      </c>
      <c r="F442" s="79" t="s">
        <v>551</v>
      </c>
      <c r="G442" s="79" t="s">
        <v>557</v>
      </c>
      <c r="H442" s="81" t="s">
        <v>10</v>
      </c>
      <c r="I442" s="82"/>
      <c r="J442" s="82"/>
      <c r="K442" s="83"/>
      <c r="L442" s="83"/>
      <c r="M442" s="83"/>
      <c r="N442" s="83"/>
      <c r="O442" s="83"/>
      <c r="P442" s="83"/>
      <c r="Q442" s="83"/>
      <c r="R442" s="83"/>
      <c r="S442" s="83"/>
      <c r="T442" s="83"/>
      <c r="U442" s="83"/>
      <c r="V442" s="83"/>
      <c r="W442" s="83"/>
      <c r="X442" s="83"/>
      <c r="Y442" s="83"/>
      <c r="Z442" s="83"/>
      <c r="AA442" s="83"/>
    </row>
    <row r="443" ht="55.5" customHeight="1">
      <c r="A443" s="79" t="s">
        <v>548</v>
      </c>
      <c r="B443" s="84"/>
      <c r="C443" s="79" t="s">
        <v>62</v>
      </c>
      <c r="D443" s="84"/>
      <c r="E443" s="79" t="s">
        <v>558</v>
      </c>
      <c r="F443" s="79" t="s">
        <v>551</v>
      </c>
      <c r="G443" s="79" t="s">
        <v>557</v>
      </c>
      <c r="H443" s="81" t="s">
        <v>10</v>
      </c>
      <c r="I443" s="82"/>
      <c r="J443" s="82"/>
      <c r="K443" s="83"/>
      <c r="L443" s="83"/>
      <c r="M443" s="83"/>
      <c r="N443" s="83"/>
      <c r="O443" s="83"/>
      <c r="P443" s="83"/>
      <c r="Q443" s="83"/>
      <c r="R443" s="83"/>
      <c r="S443" s="83"/>
      <c r="T443" s="83"/>
      <c r="U443" s="83"/>
      <c r="V443" s="83"/>
      <c r="W443" s="83"/>
      <c r="X443" s="83"/>
      <c r="Y443" s="83"/>
      <c r="Z443" s="83"/>
      <c r="AA443" s="83"/>
    </row>
    <row r="444" ht="55.5" customHeight="1">
      <c r="A444" s="79" t="s">
        <v>548</v>
      </c>
      <c r="B444" s="84"/>
      <c r="C444" s="79" t="s">
        <v>64</v>
      </c>
      <c r="D444" s="84"/>
      <c r="E444" s="79" t="s">
        <v>559</v>
      </c>
      <c r="F444" s="79" t="s">
        <v>551</v>
      </c>
      <c r="G444" s="79" t="s">
        <v>560</v>
      </c>
      <c r="H444" s="81" t="s">
        <v>10</v>
      </c>
      <c r="I444" s="82"/>
      <c r="J444" s="82"/>
      <c r="K444" s="83"/>
      <c r="L444" s="83"/>
      <c r="M444" s="83"/>
      <c r="N444" s="83"/>
      <c r="O444" s="83"/>
      <c r="P444" s="83"/>
      <c r="Q444" s="83"/>
      <c r="R444" s="83"/>
      <c r="S444" s="83"/>
      <c r="T444" s="83"/>
      <c r="U444" s="83"/>
      <c r="V444" s="83"/>
      <c r="W444" s="83"/>
      <c r="X444" s="83"/>
      <c r="Y444" s="83"/>
      <c r="Z444" s="83"/>
      <c r="AA444" s="83"/>
    </row>
    <row r="445" ht="55.5" customHeight="1">
      <c r="A445" s="79" t="s">
        <v>548</v>
      </c>
      <c r="B445" s="84"/>
      <c r="C445" s="79" t="s">
        <v>69</v>
      </c>
      <c r="D445" s="12"/>
      <c r="E445" s="79" t="s">
        <v>561</v>
      </c>
      <c r="F445" s="79" t="s">
        <v>551</v>
      </c>
      <c r="G445" s="79" t="s">
        <v>562</v>
      </c>
      <c r="H445" s="81" t="s">
        <v>10</v>
      </c>
      <c r="I445" s="82"/>
      <c r="J445" s="82"/>
      <c r="K445" s="83"/>
      <c r="L445" s="83"/>
      <c r="M445" s="83"/>
      <c r="N445" s="83"/>
      <c r="O445" s="83"/>
      <c r="P445" s="83"/>
      <c r="Q445" s="83"/>
      <c r="R445" s="83"/>
      <c r="S445" s="83"/>
      <c r="T445" s="83"/>
      <c r="U445" s="83"/>
      <c r="V445" s="83"/>
      <c r="W445" s="83"/>
      <c r="X445" s="83"/>
      <c r="Y445" s="83"/>
      <c r="Z445" s="83"/>
      <c r="AA445" s="83"/>
    </row>
    <row r="446" ht="55.5" customHeight="1">
      <c r="A446" s="79" t="s">
        <v>548</v>
      </c>
      <c r="B446" s="84"/>
      <c r="C446" s="79" t="s">
        <v>72</v>
      </c>
      <c r="D446" s="80" t="s">
        <v>563</v>
      </c>
      <c r="E446" s="79" t="s">
        <v>564</v>
      </c>
      <c r="F446" s="79" t="s">
        <v>565</v>
      </c>
      <c r="G446" s="79" t="s">
        <v>566</v>
      </c>
      <c r="H446" s="81" t="s">
        <v>10</v>
      </c>
      <c r="I446" s="82"/>
      <c r="J446" s="82"/>
      <c r="K446" s="83"/>
      <c r="L446" s="83"/>
      <c r="M446" s="83"/>
      <c r="N446" s="83"/>
      <c r="O446" s="83"/>
      <c r="P446" s="83"/>
      <c r="Q446" s="83"/>
      <c r="R446" s="83"/>
      <c r="S446" s="83"/>
      <c r="T446" s="83"/>
      <c r="U446" s="83"/>
      <c r="V446" s="83"/>
      <c r="W446" s="83"/>
      <c r="X446" s="83"/>
      <c r="Y446" s="83"/>
      <c r="Z446" s="83"/>
      <c r="AA446" s="83"/>
    </row>
    <row r="447" ht="55.5" customHeight="1">
      <c r="A447" s="79" t="s">
        <v>548</v>
      </c>
      <c r="B447" s="84"/>
      <c r="C447" s="79" t="s">
        <v>75</v>
      </c>
      <c r="D447" s="84"/>
      <c r="E447" s="79" t="s">
        <v>567</v>
      </c>
      <c r="F447" s="79" t="s">
        <v>565</v>
      </c>
      <c r="G447" s="79" t="s">
        <v>568</v>
      </c>
      <c r="H447" s="81" t="s">
        <v>10</v>
      </c>
      <c r="I447" s="82"/>
      <c r="J447" s="82"/>
      <c r="K447" s="83"/>
      <c r="L447" s="83"/>
      <c r="M447" s="83"/>
      <c r="N447" s="83"/>
      <c r="O447" s="83"/>
      <c r="P447" s="83"/>
      <c r="Q447" s="83"/>
      <c r="R447" s="83"/>
      <c r="S447" s="83"/>
      <c r="T447" s="83"/>
      <c r="U447" s="83"/>
      <c r="V447" s="83"/>
      <c r="W447" s="83"/>
      <c r="X447" s="83"/>
      <c r="Y447" s="83"/>
      <c r="Z447" s="83"/>
      <c r="AA447" s="83"/>
    </row>
    <row r="448" ht="55.5" customHeight="1">
      <c r="A448" s="79" t="s">
        <v>548</v>
      </c>
      <c r="B448" s="12"/>
      <c r="C448" s="79" t="s">
        <v>79</v>
      </c>
      <c r="D448" s="12"/>
      <c r="E448" s="79" t="s">
        <v>569</v>
      </c>
      <c r="F448" s="79" t="s">
        <v>565</v>
      </c>
      <c r="G448" s="79" t="s">
        <v>568</v>
      </c>
      <c r="H448" s="81" t="s">
        <v>10</v>
      </c>
      <c r="I448" s="104"/>
      <c r="J448" s="82"/>
      <c r="K448" s="83"/>
      <c r="L448" s="83"/>
      <c r="M448" s="83"/>
      <c r="N448" s="83"/>
      <c r="O448" s="83"/>
      <c r="P448" s="83"/>
      <c r="Q448" s="83"/>
      <c r="R448" s="83"/>
      <c r="S448" s="83"/>
      <c r="T448" s="83"/>
      <c r="U448" s="83"/>
      <c r="V448" s="83"/>
      <c r="W448" s="83"/>
      <c r="X448" s="83"/>
      <c r="Y448" s="83"/>
      <c r="Z448" s="83"/>
      <c r="AA448" s="83"/>
    </row>
    <row r="449" ht="55.5" customHeight="1">
      <c r="A449" s="79" t="s">
        <v>570</v>
      </c>
      <c r="B449" s="80" t="s">
        <v>571</v>
      </c>
      <c r="C449" s="79" t="s">
        <v>47</v>
      </c>
      <c r="D449" s="80" t="s">
        <v>572</v>
      </c>
      <c r="E449" s="79" t="s">
        <v>493</v>
      </c>
      <c r="F449" s="79" t="s">
        <v>491</v>
      </c>
      <c r="G449" s="79" t="s">
        <v>494</v>
      </c>
      <c r="H449" s="81" t="s">
        <v>10</v>
      </c>
      <c r="I449" s="95"/>
      <c r="J449" s="82"/>
      <c r="K449" s="83"/>
      <c r="L449" s="83"/>
      <c r="M449" s="83"/>
      <c r="N449" s="83"/>
      <c r="O449" s="83"/>
      <c r="P449" s="83"/>
      <c r="Q449" s="83"/>
      <c r="R449" s="83"/>
      <c r="S449" s="83"/>
      <c r="T449" s="83"/>
      <c r="U449" s="83"/>
      <c r="V449" s="83"/>
      <c r="W449" s="83"/>
      <c r="X449" s="83"/>
      <c r="Y449" s="83"/>
      <c r="Z449" s="83"/>
      <c r="AA449" s="83"/>
    </row>
    <row r="450" ht="55.5" customHeight="1">
      <c r="A450" s="79" t="s">
        <v>570</v>
      </c>
      <c r="B450" s="84"/>
      <c r="C450" s="79" t="s">
        <v>52</v>
      </c>
      <c r="D450" s="84"/>
      <c r="E450" s="79" t="s">
        <v>495</v>
      </c>
      <c r="F450" s="79" t="s">
        <v>573</v>
      </c>
      <c r="G450" s="79" t="s">
        <v>494</v>
      </c>
      <c r="H450" s="81" t="s">
        <v>10</v>
      </c>
      <c r="I450" s="104"/>
      <c r="J450" s="82"/>
      <c r="K450" s="83"/>
      <c r="L450" s="83"/>
      <c r="M450" s="83"/>
      <c r="N450" s="83"/>
      <c r="O450" s="83"/>
      <c r="P450" s="83"/>
      <c r="Q450" s="83"/>
      <c r="R450" s="83"/>
      <c r="S450" s="83"/>
      <c r="T450" s="83"/>
      <c r="U450" s="83"/>
      <c r="V450" s="83"/>
      <c r="W450" s="83"/>
      <c r="X450" s="83"/>
      <c r="Y450" s="83"/>
      <c r="Z450" s="83"/>
      <c r="AA450" s="83"/>
    </row>
    <row r="451" ht="55.5" customHeight="1">
      <c r="A451" s="79" t="s">
        <v>570</v>
      </c>
      <c r="B451" s="84"/>
      <c r="C451" s="79" t="s">
        <v>55</v>
      </c>
      <c r="D451" s="12"/>
      <c r="E451" s="79" t="s">
        <v>496</v>
      </c>
      <c r="F451" s="79" t="s">
        <v>574</v>
      </c>
      <c r="G451" s="79" t="s">
        <v>494</v>
      </c>
      <c r="H451" s="81" t="s">
        <v>10</v>
      </c>
      <c r="I451" s="104"/>
      <c r="J451" s="82"/>
      <c r="K451" s="83"/>
      <c r="L451" s="83"/>
      <c r="M451" s="83"/>
      <c r="N451" s="83"/>
      <c r="O451" s="83"/>
      <c r="P451" s="83"/>
      <c r="Q451" s="83"/>
      <c r="R451" s="83"/>
      <c r="S451" s="83"/>
      <c r="T451" s="83"/>
      <c r="U451" s="83"/>
      <c r="V451" s="83"/>
      <c r="W451" s="83"/>
      <c r="X451" s="83"/>
      <c r="Y451" s="83"/>
      <c r="Z451" s="83"/>
      <c r="AA451" s="83"/>
    </row>
    <row r="452" ht="55.5" customHeight="1">
      <c r="A452" s="79" t="s">
        <v>570</v>
      </c>
      <c r="B452" s="84"/>
      <c r="C452" s="79" t="s">
        <v>58</v>
      </c>
      <c r="D452" s="80" t="s">
        <v>575</v>
      </c>
      <c r="E452" s="79" t="s">
        <v>576</v>
      </c>
      <c r="F452" s="79" t="s">
        <v>577</v>
      </c>
      <c r="G452" s="79" t="s">
        <v>578</v>
      </c>
      <c r="H452" s="81" t="s">
        <v>10</v>
      </c>
      <c r="I452" s="104"/>
      <c r="J452" s="82"/>
      <c r="K452" s="83"/>
      <c r="L452" s="83"/>
      <c r="M452" s="83"/>
      <c r="N452" s="83"/>
      <c r="O452" s="83"/>
      <c r="P452" s="83"/>
      <c r="Q452" s="83"/>
      <c r="R452" s="83"/>
      <c r="S452" s="83"/>
      <c r="T452" s="83"/>
      <c r="U452" s="83"/>
      <c r="V452" s="83"/>
      <c r="W452" s="83"/>
      <c r="X452" s="83"/>
      <c r="Y452" s="83"/>
      <c r="Z452" s="83"/>
      <c r="AA452" s="83"/>
    </row>
    <row r="453" ht="55.5" customHeight="1">
      <c r="A453" s="79" t="s">
        <v>570</v>
      </c>
      <c r="B453" s="84"/>
      <c r="C453" s="79" t="s">
        <v>62</v>
      </c>
      <c r="D453" s="84"/>
      <c r="E453" s="79" t="s">
        <v>579</v>
      </c>
      <c r="F453" s="79" t="s">
        <v>577</v>
      </c>
      <c r="G453" s="79" t="s">
        <v>580</v>
      </c>
      <c r="H453" s="81" t="s">
        <v>10</v>
      </c>
      <c r="I453" s="104"/>
      <c r="J453" s="82"/>
      <c r="K453" s="83"/>
      <c r="L453" s="83"/>
      <c r="M453" s="83"/>
      <c r="N453" s="83"/>
      <c r="O453" s="83"/>
      <c r="P453" s="83"/>
      <c r="Q453" s="83"/>
      <c r="R453" s="83"/>
      <c r="S453" s="83"/>
      <c r="T453" s="83"/>
      <c r="U453" s="83"/>
      <c r="V453" s="83"/>
      <c r="W453" s="83"/>
      <c r="X453" s="83"/>
      <c r="Y453" s="83"/>
      <c r="Z453" s="83"/>
      <c r="AA453" s="83"/>
    </row>
    <row r="454" ht="55.5" customHeight="1">
      <c r="A454" s="79" t="s">
        <v>570</v>
      </c>
      <c r="B454" s="84"/>
      <c r="C454" s="79" t="s">
        <v>64</v>
      </c>
      <c r="D454" s="84"/>
      <c r="E454" s="79" t="s">
        <v>581</v>
      </c>
      <c r="F454" s="79" t="s">
        <v>577</v>
      </c>
      <c r="G454" s="79" t="s">
        <v>582</v>
      </c>
      <c r="H454" s="81" t="s">
        <v>10</v>
      </c>
      <c r="I454" s="104"/>
      <c r="J454" s="82"/>
      <c r="K454" s="83"/>
      <c r="L454" s="83"/>
      <c r="M454" s="83"/>
      <c r="N454" s="83"/>
      <c r="O454" s="83"/>
      <c r="P454" s="83"/>
      <c r="Q454" s="83"/>
      <c r="R454" s="83"/>
      <c r="S454" s="83"/>
      <c r="T454" s="83"/>
      <c r="U454" s="83"/>
      <c r="V454" s="83"/>
      <c r="W454" s="83"/>
      <c r="X454" s="83"/>
      <c r="Y454" s="83"/>
      <c r="Z454" s="83"/>
      <c r="AA454" s="83"/>
    </row>
    <row r="455" ht="55.5" customHeight="1">
      <c r="A455" s="79" t="s">
        <v>570</v>
      </c>
      <c r="B455" s="84"/>
      <c r="C455" s="79" t="s">
        <v>69</v>
      </c>
      <c r="D455" s="84"/>
      <c r="E455" s="79" t="s">
        <v>583</v>
      </c>
      <c r="F455" s="79" t="s">
        <v>577</v>
      </c>
      <c r="G455" s="79" t="s">
        <v>582</v>
      </c>
      <c r="H455" s="81" t="s">
        <v>10</v>
      </c>
      <c r="I455" s="95"/>
      <c r="J455" s="82"/>
      <c r="K455" s="83"/>
      <c r="L455" s="83"/>
      <c r="M455" s="83"/>
      <c r="N455" s="83"/>
      <c r="O455" s="83"/>
      <c r="P455" s="83"/>
      <c r="Q455" s="83"/>
      <c r="R455" s="83"/>
      <c r="S455" s="83"/>
      <c r="T455" s="83"/>
      <c r="U455" s="83"/>
      <c r="V455" s="83"/>
      <c r="W455" s="83"/>
      <c r="X455" s="83"/>
      <c r="Y455" s="83"/>
      <c r="Z455" s="83"/>
      <c r="AA455" s="83"/>
    </row>
    <row r="456" ht="55.5" customHeight="1">
      <c r="A456" s="79" t="s">
        <v>570</v>
      </c>
      <c r="B456" s="84"/>
      <c r="C456" s="79" t="s">
        <v>72</v>
      </c>
      <c r="D456" s="84"/>
      <c r="E456" s="79" t="s">
        <v>584</v>
      </c>
      <c r="F456" s="79" t="s">
        <v>577</v>
      </c>
      <c r="G456" s="79" t="s">
        <v>585</v>
      </c>
      <c r="H456" s="81" t="s">
        <v>10</v>
      </c>
      <c r="I456" s="104"/>
      <c r="J456" s="82"/>
      <c r="K456" s="83"/>
      <c r="L456" s="83"/>
      <c r="M456" s="83"/>
      <c r="N456" s="83"/>
      <c r="O456" s="83"/>
      <c r="P456" s="83"/>
      <c r="Q456" s="83"/>
      <c r="R456" s="83"/>
      <c r="S456" s="83"/>
      <c r="T456" s="83"/>
      <c r="U456" s="83"/>
      <c r="V456" s="83"/>
      <c r="W456" s="83"/>
      <c r="X456" s="83"/>
      <c r="Y456" s="83"/>
      <c r="Z456" s="83"/>
      <c r="AA456" s="83"/>
    </row>
    <row r="457" ht="55.5" customHeight="1">
      <c r="A457" s="79" t="s">
        <v>570</v>
      </c>
      <c r="B457" s="84"/>
      <c r="C457" s="79" t="s">
        <v>75</v>
      </c>
      <c r="D457" s="84"/>
      <c r="E457" s="79" t="s">
        <v>586</v>
      </c>
      <c r="F457" s="79" t="s">
        <v>577</v>
      </c>
      <c r="G457" s="79" t="s">
        <v>587</v>
      </c>
      <c r="H457" s="81" t="s">
        <v>10</v>
      </c>
      <c r="I457" s="104"/>
      <c r="J457" s="82"/>
      <c r="K457" s="83"/>
      <c r="L457" s="83"/>
      <c r="M457" s="83"/>
      <c r="N457" s="83"/>
      <c r="O457" s="83"/>
      <c r="P457" s="83"/>
      <c r="Q457" s="83"/>
      <c r="R457" s="83"/>
      <c r="S457" s="83"/>
      <c r="T457" s="83"/>
      <c r="U457" s="83"/>
      <c r="V457" s="83"/>
      <c r="W457" s="83"/>
      <c r="X457" s="83"/>
      <c r="Y457" s="83"/>
      <c r="Z457" s="83"/>
      <c r="AA457" s="83"/>
    </row>
    <row r="458" ht="55.5" customHeight="1">
      <c r="A458" s="79" t="s">
        <v>570</v>
      </c>
      <c r="B458" s="84"/>
      <c r="C458" s="79" t="s">
        <v>79</v>
      </c>
      <c r="D458" s="84"/>
      <c r="E458" s="79" t="s">
        <v>588</v>
      </c>
      <c r="F458" s="79" t="s">
        <v>589</v>
      </c>
      <c r="G458" s="79" t="s">
        <v>590</v>
      </c>
      <c r="H458" s="81" t="s">
        <v>10</v>
      </c>
      <c r="I458" s="104"/>
      <c r="J458" s="82"/>
      <c r="K458" s="83"/>
      <c r="L458" s="83"/>
      <c r="M458" s="83"/>
      <c r="N458" s="83"/>
      <c r="O458" s="83"/>
      <c r="P458" s="83"/>
      <c r="Q458" s="83"/>
      <c r="R458" s="83"/>
      <c r="S458" s="83"/>
      <c r="T458" s="83"/>
      <c r="U458" s="83"/>
      <c r="V458" s="83"/>
      <c r="W458" s="83"/>
      <c r="X458" s="83"/>
      <c r="Y458" s="83"/>
      <c r="Z458" s="83"/>
      <c r="AA458" s="83"/>
    </row>
    <row r="459" ht="55.5" customHeight="1">
      <c r="A459" s="79" t="s">
        <v>570</v>
      </c>
      <c r="B459" s="84"/>
      <c r="C459" s="79" t="s">
        <v>83</v>
      </c>
      <c r="D459" s="84"/>
      <c r="E459" s="79" t="s">
        <v>591</v>
      </c>
      <c r="F459" s="79" t="s">
        <v>592</v>
      </c>
      <c r="G459" s="79" t="s">
        <v>590</v>
      </c>
      <c r="H459" s="81" t="s">
        <v>10</v>
      </c>
      <c r="I459" s="104"/>
      <c r="J459" s="82"/>
      <c r="K459" s="83"/>
      <c r="L459" s="83"/>
      <c r="M459" s="83"/>
      <c r="N459" s="83"/>
      <c r="O459" s="83"/>
      <c r="P459" s="83"/>
      <c r="Q459" s="83"/>
      <c r="R459" s="83"/>
      <c r="S459" s="83"/>
      <c r="T459" s="83"/>
      <c r="U459" s="83"/>
      <c r="V459" s="83"/>
      <c r="W459" s="83"/>
      <c r="X459" s="83"/>
      <c r="Y459" s="83"/>
      <c r="Z459" s="83"/>
      <c r="AA459" s="83"/>
    </row>
    <row r="460" ht="55.5" customHeight="1">
      <c r="A460" s="79" t="s">
        <v>570</v>
      </c>
      <c r="B460" s="84"/>
      <c r="C460" s="79" t="s">
        <v>86</v>
      </c>
      <c r="D460" s="84"/>
      <c r="E460" s="79" t="s">
        <v>593</v>
      </c>
      <c r="F460" s="79" t="s">
        <v>589</v>
      </c>
      <c r="G460" s="79" t="s">
        <v>590</v>
      </c>
      <c r="H460" s="81" t="s">
        <v>10</v>
      </c>
      <c r="I460" s="104"/>
      <c r="J460" s="82"/>
      <c r="K460" s="83"/>
      <c r="L460" s="83"/>
      <c r="M460" s="83"/>
      <c r="N460" s="83"/>
      <c r="O460" s="83"/>
      <c r="P460" s="83"/>
      <c r="Q460" s="83"/>
      <c r="R460" s="83"/>
      <c r="S460" s="83"/>
      <c r="T460" s="83"/>
      <c r="U460" s="83"/>
      <c r="V460" s="83"/>
      <c r="W460" s="83"/>
      <c r="X460" s="83"/>
      <c r="Y460" s="83"/>
      <c r="Z460" s="83"/>
      <c r="AA460" s="83"/>
    </row>
    <row r="461" ht="55.5" customHeight="1">
      <c r="A461" s="79" t="s">
        <v>570</v>
      </c>
      <c r="B461" s="84"/>
      <c r="C461" s="79" t="s">
        <v>88</v>
      </c>
      <c r="D461" s="12"/>
      <c r="E461" s="79" t="s">
        <v>594</v>
      </c>
      <c r="F461" s="79" t="s">
        <v>592</v>
      </c>
      <c r="G461" s="79" t="s">
        <v>590</v>
      </c>
      <c r="H461" s="81" t="s">
        <v>10</v>
      </c>
      <c r="I461" s="104"/>
      <c r="J461" s="82"/>
      <c r="K461" s="83"/>
      <c r="L461" s="83"/>
      <c r="M461" s="83"/>
      <c r="N461" s="83"/>
      <c r="O461" s="83"/>
      <c r="P461" s="83"/>
      <c r="Q461" s="83"/>
      <c r="R461" s="83"/>
      <c r="S461" s="83"/>
      <c r="T461" s="83"/>
      <c r="U461" s="83"/>
      <c r="V461" s="83"/>
      <c r="W461" s="83"/>
      <c r="X461" s="83"/>
      <c r="Y461" s="83"/>
      <c r="Z461" s="83"/>
      <c r="AA461" s="83"/>
    </row>
    <row r="462" ht="55.5" customHeight="1">
      <c r="A462" s="79" t="s">
        <v>570</v>
      </c>
      <c r="B462" s="84"/>
      <c r="C462" s="79" t="s">
        <v>91</v>
      </c>
      <c r="D462" s="80" t="s">
        <v>535</v>
      </c>
      <c r="E462" s="79" t="s">
        <v>536</v>
      </c>
      <c r="F462" s="79" t="s">
        <v>577</v>
      </c>
      <c r="G462" s="79" t="s">
        <v>537</v>
      </c>
      <c r="H462" s="81" t="s">
        <v>10</v>
      </c>
      <c r="I462" s="95"/>
      <c r="J462" s="82"/>
      <c r="K462" s="83"/>
      <c r="L462" s="83"/>
      <c r="M462" s="83"/>
      <c r="N462" s="83"/>
      <c r="O462" s="83"/>
      <c r="P462" s="83"/>
      <c r="Q462" s="83"/>
      <c r="R462" s="83"/>
      <c r="S462" s="83"/>
      <c r="T462" s="83"/>
      <c r="U462" s="83"/>
      <c r="V462" s="83"/>
      <c r="W462" s="83"/>
      <c r="X462" s="83"/>
      <c r="Y462" s="83"/>
      <c r="Z462" s="83"/>
      <c r="AA462" s="83"/>
    </row>
    <row r="463" ht="55.5" customHeight="1">
      <c r="A463" s="79" t="s">
        <v>570</v>
      </c>
      <c r="B463" s="84"/>
      <c r="C463" s="79" t="s">
        <v>94</v>
      </c>
      <c r="D463" s="84"/>
      <c r="E463" s="79" t="s">
        <v>538</v>
      </c>
      <c r="F463" s="79" t="s">
        <v>577</v>
      </c>
      <c r="G463" s="79" t="s">
        <v>537</v>
      </c>
      <c r="H463" s="81" t="s">
        <v>10</v>
      </c>
      <c r="I463" s="104"/>
      <c r="J463" s="82"/>
      <c r="K463" s="83"/>
      <c r="L463" s="83"/>
      <c r="M463" s="83"/>
      <c r="N463" s="83"/>
      <c r="O463" s="83"/>
      <c r="P463" s="83"/>
      <c r="Q463" s="83"/>
      <c r="R463" s="83"/>
      <c r="S463" s="83"/>
      <c r="T463" s="83"/>
      <c r="U463" s="83"/>
      <c r="V463" s="83"/>
      <c r="W463" s="83"/>
      <c r="X463" s="83"/>
      <c r="Y463" s="83"/>
      <c r="Z463" s="83"/>
      <c r="AA463" s="83"/>
    </row>
    <row r="464" ht="55.5" customHeight="1">
      <c r="A464" s="79" t="s">
        <v>570</v>
      </c>
      <c r="B464" s="84"/>
      <c r="C464" s="79" t="s">
        <v>96</v>
      </c>
      <c r="D464" s="12"/>
      <c r="E464" s="79" t="s">
        <v>539</v>
      </c>
      <c r="F464" s="79" t="s">
        <v>577</v>
      </c>
      <c r="G464" s="79" t="s">
        <v>537</v>
      </c>
      <c r="H464" s="81" t="s">
        <v>10</v>
      </c>
      <c r="I464" s="104"/>
      <c r="J464" s="82"/>
      <c r="K464" s="83"/>
      <c r="L464" s="83"/>
      <c r="M464" s="83"/>
      <c r="N464" s="83"/>
      <c r="O464" s="83"/>
      <c r="P464" s="83"/>
      <c r="Q464" s="83"/>
      <c r="R464" s="83"/>
      <c r="S464" s="83"/>
      <c r="T464" s="83"/>
      <c r="U464" s="83"/>
      <c r="V464" s="83"/>
      <c r="W464" s="83"/>
      <c r="X464" s="83"/>
      <c r="Y464" s="83"/>
      <c r="Z464" s="83"/>
      <c r="AA464" s="83"/>
    </row>
    <row r="465" ht="55.5" customHeight="1">
      <c r="A465" s="79" t="s">
        <v>570</v>
      </c>
      <c r="B465" s="84"/>
      <c r="C465" s="79" t="s">
        <v>98</v>
      </c>
      <c r="D465" s="80" t="s">
        <v>595</v>
      </c>
      <c r="E465" s="79" t="s">
        <v>596</v>
      </c>
      <c r="F465" s="79" t="s">
        <v>597</v>
      </c>
      <c r="G465" s="79" t="s">
        <v>598</v>
      </c>
      <c r="H465" s="81" t="s">
        <v>10</v>
      </c>
      <c r="I465" s="104"/>
      <c r="J465" s="82"/>
      <c r="K465" s="83"/>
      <c r="L465" s="83"/>
      <c r="M465" s="83"/>
      <c r="N465" s="83"/>
      <c r="O465" s="83"/>
      <c r="P465" s="83"/>
      <c r="Q465" s="83"/>
      <c r="R465" s="83"/>
      <c r="S465" s="83"/>
      <c r="T465" s="83"/>
      <c r="U465" s="83"/>
      <c r="V465" s="83"/>
      <c r="W465" s="83"/>
      <c r="X465" s="83"/>
      <c r="Y465" s="83"/>
      <c r="Z465" s="83"/>
      <c r="AA465" s="83"/>
    </row>
    <row r="466" ht="55.5" customHeight="1">
      <c r="A466" s="79" t="s">
        <v>570</v>
      </c>
      <c r="B466" s="84"/>
      <c r="C466" s="79" t="s">
        <v>102</v>
      </c>
      <c r="D466" s="84"/>
      <c r="E466" s="79" t="s">
        <v>579</v>
      </c>
      <c r="F466" s="79" t="s">
        <v>597</v>
      </c>
      <c r="G466" s="79" t="s">
        <v>599</v>
      </c>
      <c r="H466" s="81" t="s">
        <v>10</v>
      </c>
      <c r="I466" s="104"/>
      <c r="J466" s="82"/>
      <c r="K466" s="83"/>
      <c r="L466" s="83"/>
      <c r="M466" s="83"/>
      <c r="N466" s="83"/>
      <c r="O466" s="83"/>
      <c r="P466" s="83"/>
      <c r="Q466" s="83"/>
      <c r="R466" s="83"/>
      <c r="S466" s="83"/>
      <c r="T466" s="83"/>
      <c r="U466" s="83"/>
      <c r="V466" s="83"/>
      <c r="W466" s="83"/>
      <c r="X466" s="83"/>
      <c r="Y466" s="83"/>
      <c r="Z466" s="83"/>
      <c r="AA466" s="83"/>
    </row>
    <row r="467" ht="55.5" customHeight="1">
      <c r="A467" s="79" t="s">
        <v>570</v>
      </c>
      <c r="B467" s="84"/>
      <c r="C467" s="79" t="s">
        <v>105</v>
      </c>
      <c r="D467" s="84"/>
      <c r="E467" s="79" t="s">
        <v>600</v>
      </c>
      <c r="F467" s="79" t="s">
        <v>597</v>
      </c>
      <c r="G467" s="79" t="s">
        <v>582</v>
      </c>
      <c r="H467" s="81" t="s">
        <v>10</v>
      </c>
      <c r="I467" s="104"/>
      <c r="J467" s="82"/>
      <c r="K467" s="83"/>
      <c r="L467" s="83"/>
      <c r="M467" s="83"/>
      <c r="N467" s="83"/>
      <c r="O467" s="83"/>
      <c r="P467" s="83"/>
      <c r="Q467" s="83"/>
      <c r="R467" s="83"/>
      <c r="S467" s="83"/>
      <c r="T467" s="83"/>
      <c r="U467" s="83"/>
      <c r="V467" s="83"/>
      <c r="W467" s="83"/>
      <c r="X467" s="83"/>
      <c r="Y467" s="83"/>
      <c r="Z467" s="83"/>
      <c r="AA467" s="83"/>
    </row>
    <row r="468" ht="55.5" customHeight="1">
      <c r="A468" s="79" t="s">
        <v>570</v>
      </c>
      <c r="B468" s="84"/>
      <c r="C468" s="79" t="s">
        <v>107</v>
      </c>
      <c r="D468" s="84"/>
      <c r="E468" s="79" t="s">
        <v>601</v>
      </c>
      <c r="F468" s="79" t="s">
        <v>597</v>
      </c>
      <c r="G468" s="79" t="s">
        <v>582</v>
      </c>
      <c r="H468" s="81" t="s">
        <v>10</v>
      </c>
      <c r="I468" s="95"/>
      <c r="J468" s="82"/>
      <c r="K468" s="83"/>
      <c r="L468" s="83"/>
      <c r="M468" s="83"/>
      <c r="N468" s="83"/>
      <c r="O468" s="83"/>
      <c r="P468" s="83"/>
      <c r="Q468" s="83"/>
      <c r="R468" s="83"/>
      <c r="S468" s="83"/>
      <c r="T468" s="83"/>
      <c r="U468" s="83"/>
      <c r="V468" s="83"/>
      <c r="W468" s="83"/>
      <c r="X468" s="83"/>
      <c r="Y468" s="83"/>
      <c r="Z468" s="83"/>
      <c r="AA468" s="83"/>
    </row>
    <row r="469" ht="55.5" customHeight="1">
      <c r="A469" s="79" t="s">
        <v>570</v>
      </c>
      <c r="B469" s="84"/>
      <c r="C469" s="79" t="s">
        <v>109</v>
      </c>
      <c r="D469" s="84"/>
      <c r="E469" s="79" t="s">
        <v>602</v>
      </c>
      <c r="F469" s="79" t="s">
        <v>597</v>
      </c>
      <c r="G469" s="79" t="s">
        <v>585</v>
      </c>
      <c r="H469" s="81" t="s">
        <v>10</v>
      </c>
      <c r="I469" s="104"/>
      <c r="J469" s="82"/>
      <c r="K469" s="83"/>
      <c r="L469" s="83"/>
      <c r="M469" s="83"/>
      <c r="N469" s="83"/>
      <c r="O469" s="83"/>
      <c r="P469" s="83"/>
      <c r="Q469" s="83"/>
      <c r="R469" s="83"/>
      <c r="S469" s="83"/>
      <c r="T469" s="83"/>
      <c r="U469" s="83"/>
      <c r="V469" s="83"/>
      <c r="W469" s="83"/>
      <c r="X469" s="83"/>
      <c r="Y469" s="83"/>
      <c r="Z469" s="83"/>
      <c r="AA469" s="83"/>
    </row>
    <row r="470" ht="55.5" customHeight="1">
      <c r="A470" s="79" t="s">
        <v>570</v>
      </c>
      <c r="B470" s="84"/>
      <c r="C470" s="79" t="s">
        <v>111</v>
      </c>
      <c r="D470" s="84"/>
      <c r="E470" s="79" t="s">
        <v>513</v>
      </c>
      <c r="F470" s="79" t="s">
        <v>597</v>
      </c>
      <c r="G470" s="79" t="s">
        <v>514</v>
      </c>
      <c r="H470" s="81" t="s">
        <v>10</v>
      </c>
      <c r="I470" s="104"/>
      <c r="J470" s="82"/>
      <c r="K470" s="83"/>
      <c r="L470" s="83"/>
      <c r="M470" s="83"/>
      <c r="N470" s="83"/>
      <c r="O470" s="83"/>
      <c r="P470" s="83"/>
      <c r="Q470" s="83"/>
      <c r="R470" s="83"/>
      <c r="S470" s="83"/>
      <c r="T470" s="83"/>
      <c r="U470" s="83"/>
      <c r="V470" s="83"/>
      <c r="W470" s="83"/>
      <c r="X470" s="83"/>
      <c r="Y470" s="83"/>
      <c r="Z470" s="83"/>
      <c r="AA470" s="83"/>
    </row>
    <row r="471" ht="55.5" customHeight="1">
      <c r="A471" s="79" t="s">
        <v>570</v>
      </c>
      <c r="B471" s="84"/>
      <c r="C471" s="79" t="s">
        <v>113</v>
      </c>
      <c r="D471" s="84"/>
      <c r="E471" s="79" t="s">
        <v>603</v>
      </c>
      <c r="F471" s="79" t="s">
        <v>597</v>
      </c>
      <c r="G471" s="79" t="s">
        <v>590</v>
      </c>
      <c r="H471" s="81" t="s">
        <v>10</v>
      </c>
      <c r="I471" s="104"/>
      <c r="J471" s="82"/>
      <c r="K471" s="83"/>
      <c r="L471" s="83"/>
      <c r="M471" s="83"/>
      <c r="N471" s="83"/>
      <c r="O471" s="83"/>
      <c r="P471" s="83"/>
      <c r="Q471" s="83"/>
      <c r="R471" s="83"/>
      <c r="S471" s="83"/>
      <c r="T471" s="83"/>
      <c r="U471" s="83"/>
      <c r="V471" s="83"/>
      <c r="W471" s="83"/>
      <c r="X471" s="83"/>
      <c r="Y471" s="83"/>
      <c r="Z471" s="83"/>
      <c r="AA471" s="83"/>
    </row>
    <row r="472" ht="55.5" customHeight="1">
      <c r="A472" s="79" t="s">
        <v>570</v>
      </c>
      <c r="B472" s="84"/>
      <c r="C472" s="79" t="s">
        <v>115</v>
      </c>
      <c r="D472" s="84"/>
      <c r="E472" s="79" t="s">
        <v>604</v>
      </c>
      <c r="F472" s="79" t="s">
        <v>597</v>
      </c>
      <c r="G472" s="79" t="s">
        <v>590</v>
      </c>
      <c r="H472" s="81" t="s">
        <v>10</v>
      </c>
      <c r="I472" s="104"/>
      <c r="J472" s="82"/>
      <c r="K472" s="83"/>
      <c r="L472" s="83"/>
      <c r="M472" s="83"/>
      <c r="N472" s="83"/>
      <c r="O472" s="83"/>
      <c r="P472" s="83"/>
      <c r="Q472" s="83"/>
      <c r="R472" s="83"/>
      <c r="S472" s="83"/>
      <c r="T472" s="83"/>
      <c r="U472" s="83"/>
      <c r="V472" s="83"/>
      <c r="W472" s="83"/>
      <c r="X472" s="83"/>
      <c r="Y472" s="83"/>
      <c r="Z472" s="83"/>
      <c r="AA472" s="83"/>
    </row>
    <row r="473" ht="55.5" customHeight="1">
      <c r="A473" s="79" t="s">
        <v>570</v>
      </c>
      <c r="B473" s="84"/>
      <c r="C473" s="79" t="s">
        <v>117</v>
      </c>
      <c r="D473" s="84"/>
      <c r="E473" s="79" t="s">
        <v>605</v>
      </c>
      <c r="F473" s="79" t="s">
        <v>597</v>
      </c>
      <c r="G473" s="79" t="s">
        <v>590</v>
      </c>
      <c r="H473" s="81" t="s">
        <v>10</v>
      </c>
      <c r="I473" s="104"/>
      <c r="J473" s="82"/>
      <c r="K473" s="83"/>
      <c r="L473" s="83"/>
      <c r="M473" s="83"/>
      <c r="N473" s="83"/>
      <c r="O473" s="83"/>
      <c r="P473" s="83"/>
      <c r="Q473" s="83"/>
      <c r="R473" s="83"/>
      <c r="S473" s="83"/>
      <c r="T473" s="83"/>
      <c r="U473" s="83"/>
      <c r="V473" s="83"/>
      <c r="W473" s="83"/>
      <c r="X473" s="83"/>
      <c r="Y473" s="83"/>
      <c r="Z473" s="83"/>
      <c r="AA473" s="83"/>
    </row>
    <row r="474" ht="55.5" customHeight="1">
      <c r="A474" s="79" t="s">
        <v>570</v>
      </c>
      <c r="B474" s="84"/>
      <c r="C474" s="79" t="s">
        <v>119</v>
      </c>
      <c r="D474" s="12"/>
      <c r="E474" s="79" t="s">
        <v>606</v>
      </c>
      <c r="F474" s="79" t="s">
        <v>597</v>
      </c>
      <c r="G474" s="79" t="s">
        <v>590</v>
      </c>
      <c r="H474" s="81" t="s">
        <v>10</v>
      </c>
      <c r="I474" s="104"/>
      <c r="J474" s="82"/>
      <c r="K474" s="83"/>
      <c r="L474" s="83"/>
      <c r="M474" s="83"/>
      <c r="N474" s="83"/>
      <c r="O474" s="83"/>
      <c r="P474" s="83"/>
      <c r="Q474" s="83"/>
      <c r="R474" s="83"/>
      <c r="S474" s="83"/>
      <c r="T474" s="83"/>
      <c r="U474" s="83"/>
      <c r="V474" s="83"/>
      <c r="W474" s="83"/>
      <c r="X474" s="83"/>
      <c r="Y474" s="83"/>
      <c r="Z474" s="83"/>
      <c r="AA474" s="83"/>
    </row>
    <row r="475" ht="55.5" customHeight="1">
      <c r="A475" s="79" t="s">
        <v>570</v>
      </c>
      <c r="B475" s="84"/>
      <c r="C475" s="79" t="s">
        <v>121</v>
      </c>
      <c r="D475" s="80" t="s">
        <v>535</v>
      </c>
      <c r="E475" s="79" t="s">
        <v>536</v>
      </c>
      <c r="F475" s="79" t="s">
        <v>597</v>
      </c>
      <c r="G475" s="79" t="s">
        <v>537</v>
      </c>
      <c r="H475" s="81" t="s">
        <v>10</v>
      </c>
      <c r="I475" s="95"/>
      <c r="J475" s="82"/>
      <c r="K475" s="83"/>
      <c r="L475" s="83"/>
      <c r="M475" s="83"/>
      <c r="N475" s="83"/>
      <c r="O475" s="83"/>
      <c r="P475" s="83"/>
      <c r="Q475" s="83"/>
      <c r="R475" s="83"/>
      <c r="S475" s="83"/>
      <c r="T475" s="83"/>
      <c r="U475" s="83"/>
      <c r="V475" s="83"/>
      <c r="W475" s="83"/>
      <c r="X475" s="83"/>
      <c r="Y475" s="83"/>
      <c r="Z475" s="83"/>
      <c r="AA475" s="83"/>
    </row>
    <row r="476" ht="55.5" customHeight="1">
      <c r="A476" s="79" t="s">
        <v>570</v>
      </c>
      <c r="B476" s="84"/>
      <c r="C476" s="79" t="s">
        <v>123</v>
      </c>
      <c r="D476" s="84"/>
      <c r="E476" s="79" t="s">
        <v>538</v>
      </c>
      <c r="F476" s="79" t="s">
        <v>597</v>
      </c>
      <c r="G476" s="79" t="s">
        <v>537</v>
      </c>
      <c r="H476" s="81" t="s">
        <v>10</v>
      </c>
      <c r="I476" s="104"/>
      <c r="J476" s="82"/>
      <c r="K476" s="83"/>
      <c r="L476" s="83"/>
      <c r="M476" s="83"/>
      <c r="N476" s="83"/>
      <c r="O476" s="83"/>
      <c r="P476" s="83"/>
      <c r="Q476" s="83"/>
      <c r="R476" s="83"/>
      <c r="S476" s="83"/>
      <c r="T476" s="83"/>
      <c r="U476" s="83"/>
      <c r="V476" s="83"/>
      <c r="W476" s="83"/>
      <c r="X476" s="83"/>
      <c r="Y476" s="83"/>
      <c r="Z476" s="83"/>
      <c r="AA476" s="83"/>
    </row>
    <row r="477" ht="55.5" customHeight="1">
      <c r="A477" s="79" t="s">
        <v>570</v>
      </c>
      <c r="B477" s="84"/>
      <c r="C477" s="79" t="s">
        <v>126</v>
      </c>
      <c r="D477" s="12"/>
      <c r="E477" s="79" t="s">
        <v>539</v>
      </c>
      <c r="F477" s="79" t="s">
        <v>597</v>
      </c>
      <c r="G477" s="79" t="s">
        <v>537</v>
      </c>
      <c r="H477" s="81" t="s">
        <v>10</v>
      </c>
      <c r="I477" s="104"/>
      <c r="J477" s="82"/>
      <c r="K477" s="83"/>
      <c r="L477" s="83"/>
      <c r="M477" s="83"/>
      <c r="N477" s="83"/>
      <c r="O477" s="83"/>
      <c r="P477" s="83"/>
      <c r="Q477" s="83"/>
      <c r="R477" s="83"/>
      <c r="S477" s="83"/>
      <c r="T477" s="83"/>
      <c r="U477" s="83"/>
      <c r="V477" s="83"/>
      <c r="W477" s="83"/>
      <c r="X477" s="83"/>
      <c r="Y477" s="83"/>
      <c r="Z477" s="83"/>
      <c r="AA477" s="83"/>
    </row>
    <row r="478" ht="55.5" customHeight="1">
      <c r="A478" s="79" t="s">
        <v>570</v>
      </c>
      <c r="B478" s="84"/>
      <c r="C478" s="79" t="s">
        <v>129</v>
      </c>
      <c r="D478" s="80" t="s">
        <v>607</v>
      </c>
      <c r="E478" s="79" t="s">
        <v>517</v>
      </c>
      <c r="F478" s="79" t="s">
        <v>608</v>
      </c>
      <c r="G478" s="79" t="s">
        <v>609</v>
      </c>
      <c r="H478" s="81" t="s">
        <v>10</v>
      </c>
      <c r="I478" s="104"/>
      <c r="J478" s="82"/>
      <c r="K478" s="83"/>
      <c r="L478" s="83"/>
      <c r="M478" s="83"/>
      <c r="N478" s="83"/>
      <c r="O478" s="83"/>
      <c r="P478" s="83"/>
      <c r="Q478" s="83"/>
      <c r="R478" s="83"/>
      <c r="S478" s="83"/>
      <c r="T478" s="83"/>
      <c r="U478" s="83"/>
      <c r="V478" s="83"/>
      <c r="W478" s="83"/>
      <c r="X478" s="83"/>
      <c r="Y478" s="83"/>
      <c r="Z478" s="83"/>
      <c r="AA478" s="83"/>
    </row>
    <row r="479" ht="55.5" customHeight="1">
      <c r="A479" s="79" t="s">
        <v>570</v>
      </c>
      <c r="B479" s="84"/>
      <c r="C479" s="79" t="s">
        <v>133</v>
      </c>
      <c r="D479" s="84"/>
      <c r="E479" s="79" t="s">
        <v>519</v>
      </c>
      <c r="F479" s="79" t="s">
        <v>610</v>
      </c>
      <c r="G479" s="79" t="s">
        <v>609</v>
      </c>
      <c r="H479" s="81" t="s">
        <v>10</v>
      </c>
      <c r="I479" s="104"/>
      <c r="J479" s="82"/>
      <c r="K479" s="83"/>
      <c r="L479" s="83"/>
      <c r="M479" s="83"/>
      <c r="N479" s="83"/>
      <c r="O479" s="83"/>
      <c r="P479" s="83"/>
      <c r="Q479" s="83"/>
      <c r="R479" s="83"/>
      <c r="S479" s="83"/>
      <c r="T479" s="83"/>
      <c r="U479" s="83"/>
      <c r="V479" s="83"/>
      <c r="W479" s="83"/>
      <c r="X479" s="83"/>
      <c r="Y479" s="83"/>
      <c r="Z479" s="83"/>
      <c r="AA479" s="83"/>
    </row>
    <row r="480" ht="55.5" customHeight="1">
      <c r="A480" s="79" t="s">
        <v>570</v>
      </c>
      <c r="B480" s="84"/>
      <c r="C480" s="79" t="s">
        <v>136</v>
      </c>
      <c r="D480" s="84"/>
      <c r="E480" s="79" t="s">
        <v>611</v>
      </c>
      <c r="F480" s="79" t="s">
        <v>608</v>
      </c>
      <c r="G480" s="79" t="s">
        <v>609</v>
      </c>
      <c r="H480" s="81" t="s">
        <v>10</v>
      </c>
      <c r="I480" s="104"/>
      <c r="J480" s="82"/>
      <c r="K480" s="83"/>
      <c r="L480" s="83"/>
      <c r="M480" s="83"/>
      <c r="N480" s="83"/>
      <c r="O480" s="83"/>
      <c r="P480" s="83"/>
      <c r="Q480" s="83"/>
      <c r="R480" s="83"/>
      <c r="S480" s="83"/>
      <c r="T480" s="83"/>
      <c r="U480" s="83"/>
      <c r="V480" s="83"/>
      <c r="W480" s="83"/>
      <c r="X480" s="83"/>
      <c r="Y480" s="83"/>
      <c r="Z480" s="83"/>
      <c r="AA480" s="83"/>
    </row>
    <row r="481" ht="55.5" customHeight="1">
      <c r="A481" s="79" t="s">
        <v>570</v>
      </c>
      <c r="B481" s="84"/>
      <c r="C481" s="79" t="s">
        <v>139</v>
      </c>
      <c r="D481" s="84"/>
      <c r="E481" s="79" t="s">
        <v>612</v>
      </c>
      <c r="F481" s="79" t="s">
        <v>610</v>
      </c>
      <c r="G481" s="79" t="s">
        <v>609</v>
      </c>
      <c r="H481" s="81" t="s">
        <v>10</v>
      </c>
      <c r="I481" s="104"/>
      <c r="J481" s="82"/>
      <c r="K481" s="83"/>
      <c r="L481" s="83"/>
      <c r="M481" s="83"/>
      <c r="N481" s="83"/>
      <c r="O481" s="83"/>
      <c r="P481" s="83"/>
      <c r="Q481" s="83"/>
      <c r="R481" s="83"/>
      <c r="S481" s="83"/>
      <c r="T481" s="83"/>
      <c r="U481" s="83"/>
      <c r="V481" s="83"/>
      <c r="W481" s="83"/>
      <c r="X481" s="83"/>
      <c r="Y481" s="83"/>
      <c r="Z481" s="83"/>
      <c r="AA481" s="83"/>
    </row>
    <row r="482" ht="55.5" customHeight="1">
      <c r="A482" s="79" t="s">
        <v>570</v>
      </c>
      <c r="B482" s="84"/>
      <c r="C482" s="79" t="s">
        <v>144</v>
      </c>
      <c r="D482" s="84"/>
      <c r="E482" s="79" t="s">
        <v>613</v>
      </c>
      <c r="F482" s="79" t="s">
        <v>614</v>
      </c>
      <c r="G482" s="79" t="s">
        <v>609</v>
      </c>
      <c r="H482" s="81" t="s">
        <v>10</v>
      </c>
      <c r="I482" s="104"/>
      <c r="J482" s="82"/>
      <c r="K482" s="83"/>
      <c r="L482" s="83"/>
      <c r="M482" s="83"/>
      <c r="N482" s="83"/>
      <c r="O482" s="83"/>
      <c r="P482" s="83"/>
      <c r="Q482" s="83"/>
      <c r="R482" s="83"/>
      <c r="S482" s="83"/>
      <c r="T482" s="83"/>
      <c r="U482" s="83"/>
      <c r="V482" s="83"/>
      <c r="W482" s="83"/>
      <c r="X482" s="83"/>
      <c r="Y482" s="83"/>
      <c r="Z482" s="83"/>
      <c r="AA482" s="83"/>
    </row>
    <row r="483" ht="55.5" customHeight="1">
      <c r="A483" s="79" t="s">
        <v>570</v>
      </c>
      <c r="B483" s="84"/>
      <c r="C483" s="79" t="s">
        <v>148</v>
      </c>
      <c r="D483" s="12"/>
      <c r="E483" s="79" t="s">
        <v>615</v>
      </c>
      <c r="F483" s="79" t="s">
        <v>614</v>
      </c>
      <c r="G483" s="79" t="s">
        <v>609</v>
      </c>
      <c r="H483" s="81" t="s">
        <v>10</v>
      </c>
      <c r="I483" s="104"/>
      <c r="J483" s="82"/>
      <c r="K483" s="83"/>
      <c r="L483" s="83"/>
      <c r="M483" s="83"/>
      <c r="N483" s="83"/>
      <c r="O483" s="83"/>
      <c r="P483" s="83"/>
      <c r="Q483" s="83"/>
      <c r="R483" s="83"/>
      <c r="S483" s="83"/>
      <c r="T483" s="83"/>
      <c r="U483" s="83"/>
      <c r="V483" s="83"/>
      <c r="W483" s="83"/>
      <c r="X483" s="83"/>
      <c r="Y483" s="83"/>
      <c r="Z483" s="83"/>
      <c r="AA483" s="83"/>
    </row>
    <row r="484" ht="55.5" customHeight="1">
      <c r="A484" s="79" t="s">
        <v>570</v>
      </c>
      <c r="B484" s="84"/>
      <c r="C484" s="79" t="s">
        <v>151</v>
      </c>
      <c r="D484" s="80" t="s">
        <v>616</v>
      </c>
      <c r="E484" s="79" t="s">
        <v>517</v>
      </c>
      <c r="F484" s="79" t="s">
        <v>610</v>
      </c>
      <c r="G484" s="79" t="s">
        <v>617</v>
      </c>
      <c r="H484" s="81" t="s">
        <v>10</v>
      </c>
      <c r="I484" s="104"/>
      <c r="J484" s="82"/>
      <c r="K484" s="83"/>
      <c r="L484" s="83"/>
      <c r="M484" s="83"/>
      <c r="N484" s="83"/>
      <c r="O484" s="83"/>
      <c r="P484" s="83"/>
      <c r="Q484" s="83"/>
      <c r="R484" s="83"/>
      <c r="S484" s="83"/>
      <c r="T484" s="83"/>
      <c r="U484" s="83"/>
      <c r="V484" s="83"/>
      <c r="W484" s="83"/>
      <c r="X484" s="83"/>
      <c r="Y484" s="83"/>
      <c r="Z484" s="83"/>
      <c r="AA484" s="83"/>
    </row>
    <row r="485" ht="55.5" customHeight="1">
      <c r="A485" s="79" t="s">
        <v>570</v>
      </c>
      <c r="B485" s="84"/>
      <c r="C485" s="79" t="s">
        <v>154</v>
      </c>
      <c r="D485" s="84"/>
      <c r="E485" s="79" t="s">
        <v>519</v>
      </c>
      <c r="F485" s="79" t="s">
        <v>610</v>
      </c>
      <c r="G485" s="79" t="s">
        <v>617</v>
      </c>
      <c r="H485" s="81" t="s">
        <v>10</v>
      </c>
      <c r="I485" s="104"/>
      <c r="J485" s="82"/>
      <c r="K485" s="83"/>
      <c r="L485" s="83"/>
      <c r="M485" s="83"/>
      <c r="N485" s="83"/>
      <c r="O485" s="83"/>
      <c r="P485" s="83"/>
      <c r="Q485" s="83"/>
      <c r="R485" s="83"/>
      <c r="S485" s="83"/>
      <c r="T485" s="83"/>
      <c r="U485" s="83"/>
      <c r="V485" s="83"/>
      <c r="W485" s="83"/>
      <c r="X485" s="83"/>
      <c r="Y485" s="83"/>
      <c r="Z485" s="83"/>
      <c r="AA485" s="83"/>
    </row>
    <row r="486" ht="55.5" customHeight="1">
      <c r="A486" s="79" t="s">
        <v>570</v>
      </c>
      <c r="B486" s="84"/>
      <c r="C486" s="79" t="s">
        <v>158</v>
      </c>
      <c r="D486" s="84"/>
      <c r="E486" s="79" t="s">
        <v>611</v>
      </c>
      <c r="F486" s="79" t="s">
        <v>610</v>
      </c>
      <c r="G486" s="79" t="s">
        <v>617</v>
      </c>
      <c r="H486" s="81" t="s">
        <v>10</v>
      </c>
      <c r="I486" s="104"/>
      <c r="J486" s="82"/>
      <c r="K486" s="83"/>
      <c r="L486" s="83"/>
      <c r="M486" s="83"/>
      <c r="N486" s="83"/>
      <c r="O486" s="83"/>
      <c r="P486" s="83"/>
      <c r="Q486" s="83"/>
      <c r="R486" s="83"/>
      <c r="S486" s="83"/>
      <c r="T486" s="83"/>
      <c r="U486" s="83"/>
      <c r="V486" s="83"/>
      <c r="W486" s="83"/>
      <c r="X486" s="83"/>
      <c r="Y486" s="83"/>
      <c r="Z486" s="83"/>
      <c r="AA486" s="83"/>
    </row>
    <row r="487" ht="55.5" customHeight="1">
      <c r="A487" s="79" t="s">
        <v>570</v>
      </c>
      <c r="B487" s="84"/>
      <c r="C487" s="79" t="s">
        <v>162</v>
      </c>
      <c r="D487" s="84"/>
      <c r="E487" s="79" t="s">
        <v>612</v>
      </c>
      <c r="F487" s="79" t="s">
        <v>610</v>
      </c>
      <c r="G487" s="79" t="s">
        <v>617</v>
      </c>
      <c r="H487" s="81" t="s">
        <v>10</v>
      </c>
      <c r="I487" s="104"/>
      <c r="J487" s="82"/>
      <c r="K487" s="83"/>
      <c r="L487" s="83"/>
      <c r="M487" s="83"/>
      <c r="N487" s="83"/>
      <c r="O487" s="83"/>
      <c r="P487" s="83"/>
      <c r="Q487" s="83"/>
      <c r="R487" s="83"/>
      <c r="S487" s="83"/>
      <c r="T487" s="83"/>
      <c r="U487" s="83"/>
      <c r="V487" s="83"/>
      <c r="W487" s="83"/>
      <c r="X487" s="83"/>
      <c r="Y487" s="83"/>
      <c r="Z487" s="83"/>
      <c r="AA487" s="83"/>
    </row>
    <row r="488" ht="55.5" customHeight="1">
      <c r="A488" s="79" t="s">
        <v>570</v>
      </c>
      <c r="B488" s="84"/>
      <c r="C488" s="79" t="s">
        <v>165</v>
      </c>
      <c r="D488" s="84"/>
      <c r="E488" s="79" t="s">
        <v>618</v>
      </c>
      <c r="F488" s="79" t="s">
        <v>610</v>
      </c>
      <c r="G488" s="79" t="s">
        <v>617</v>
      </c>
      <c r="H488" s="81" t="s">
        <v>10</v>
      </c>
      <c r="I488" s="105"/>
      <c r="J488" s="82"/>
      <c r="K488" s="83"/>
      <c r="L488" s="83"/>
      <c r="M488" s="83"/>
      <c r="N488" s="83"/>
      <c r="O488" s="83"/>
      <c r="P488" s="83"/>
      <c r="Q488" s="83"/>
      <c r="R488" s="83"/>
      <c r="S488" s="83"/>
      <c r="T488" s="83"/>
      <c r="U488" s="83"/>
      <c r="V488" s="83"/>
      <c r="W488" s="83"/>
      <c r="X488" s="83"/>
      <c r="Y488" s="83"/>
      <c r="Z488" s="83"/>
      <c r="AA488" s="83"/>
    </row>
    <row r="489" ht="55.5" customHeight="1">
      <c r="A489" s="79" t="s">
        <v>570</v>
      </c>
      <c r="B489" s="84"/>
      <c r="C489" s="79" t="s">
        <v>167</v>
      </c>
      <c r="D489" s="12"/>
      <c r="E489" s="79" t="s">
        <v>619</v>
      </c>
      <c r="F489" s="79" t="s">
        <v>610</v>
      </c>
      <c r="G489" s="79" t="s">
        <v>617</v>
      </c>
      <c r="H489" s="81" t="s">
        <v>10</v>
      </c>
      <c r="I489" s="104"/>
      <c r="J489" s="82"/>
      <c r="K489" s="83"/>
      <c r="L489" s="83"/>
      <c r="M489" s="83"/>
      <c r="N489" s="83"/>
      <c r="O489" s="83"/>
      <c r="P489" s="83"/>
      <c r="Q489" s="83"/>
      <c r="R489" s="83"/>
      <c r="S489" s="83"/>
      <c r="T489" s="83"/>
      <c r="U489" s="83"/>
      <c r="V489" s="83"/>
      <c r="W489" s="83"/>
      <c r="X489" s="83"/>
      <c r="Y489" s="83"/>
      <c r="Z489" s="83"/>
      <c r="AA489" s="83"/>
    </row>
    <row r="490" ht="55.5" customHeight="1">
      <c r="A490" s="79" t="s">
        <v>570</v>
      </c>
      <c r="B490" s="84"/>
      <c r="C490" s="79" t="s">
        <v>169</v>
      </c>
      <c r="D490" s="79" t="s">
        <v>620</v>
      </c>
      <c r="E490" s="79" t="s">
        <v>621</v>
      </c>
      <c r="F490" s="79" t="s">
        <v>610</v>
      </c>
      <c r="G490" s="79" t="s">
        <v>622</v>
      </c>
      <c r="H490" s="81" t="s">
        <v>10</v>
      </c>
      <c r="I490" s="104"/>
      <c r="J490" s="82"/>
      <c r="K490" s="83"/>
      <c r="L490" s="83"/>
      <c r="M490" s="83"/>
      <c r="N490" s="83"/>
      <c r="O490" s="83"/>
      <c r="P490" s="83"/>
      <c r="Q490" s="83"/>
      <c r="R490" s="83"/>
      <c r="S490" s="83"/>
      <c r="T490" s="83"/>
      <c r="U490" s="83"/>
      <c r="V490" s="83"/>
      <c r="W490" s="83"/>
      <c r="X490" s="83"/>
      <c r="Y490" s="83"/>
      <c r="Z490" s="83"/>
      <c r="AA490" s="83"/>
    </row>
    <row r="491" ht="55.5" customHeight="1">
      <c r="A491" s="79" t="s">
        <v>570</v>
      </c>
      <c r="B491" s="84"/>
      <c r="C491" s="79" t="s">
        <v>171</v>
      </c>
      <c r="D491" s="79" t="s">
        <v>623</v>
      </c>
      <c r="E491" s="79" t="s">
        <v>624</v>
      </c>
      <c r="F491" s="79" t="s">
        <v>610</v>
      </c>
      <c r="G491" s="79" t="s">
        <v>625</v>
      </c>
      <c r="H491" s="81" t="s">
        <v>10</v>
      </c>
      <c r="I491" s="105"/>
      <c r="J491" s="82"/>
      <c r="K491" s="83"/>
      <c r="L491" s="83"/>
      <c r="M491" s="83"/>
      <c r="N491" s="83"/>
      <c r="O491" s="83"/>
      <c r="P491" s="83"/>
      <c r="Q491" s="83"/>
      <c r="R491" s="83"/>
      <c r="S491" s="83"/>
      <c r="T491" s="83"/>
      <c r="U491" s="83"/>
      <c r="V491" s="83"/>
      <c r="W491" s="83"/>
      <c r="X491" s="83"/>
      <c r="Y491" s="83"/>
      <c r="Z491" s="83"/>
      <c r="AA491" s="83"/>
    </row>
    <row r="492" ht="55.5" customHeight="1">
      <c r="A492" s="79" t="s">
        <v>570</v>
      </c>
      <c r="B492" s="84"/>
      <c r="C492" s="79" t="s">
        <v>173</v>
      </c>
      <c r="D492" s="80" t="s">
        <v>626</v>
      </c>
      <c r="E492" s="79" t="s">
        <v>627</v>
      </c>
      <c r="F492" s="79" t="s">
        <v>628</v>
      </c>
      <c r="G492" s="79" t="s">
        <v>629</v>
      </c>
      <c r="H492" s="81" t="s">
        <v>10</v>
      </c>
      <c r="I492" s="105"/>
      <c r="J492" s="82"/>
      <c r="K492" s="83"/>
      <c r="L492" s="83"/>
      <c r="M492" s="83"/>
      <c r="N492" s="83"/>
      <c r="O492" s="83"/>
      <c r="P492" s="83"/>
      <c r="Q492" s="83"/>
      <c r="R492" s="83"/>
      <c r="S492" s="83"/>
      <c r="T492" s="83"/>
      <c r="U492" s="83"/>
      <c r="V492" s="83"/>
      <c r="W492" s="83"/>
      <c r="X492" s="83"/>
      <c r="Y492" s="83"/>
      <c r="Z492" s="83"/>
      <c r="AA492" s="83"/>
    </row>
    <row r="493" ht="55.5" customHeight="1">
      <c r="A493" s="79" t="s">
        <v>570</v>
      </c>
      <c r="B493" s="84"/>
      <c r="C493" s="79" t="s">
        <v>244</v>
      </c>
      <c r="D493" s="84"/>
      <c r="E493" s="79" t="s">
        <v>630</v>
      </c>
      <c r="F493" s="79" t="s">
        <v>631</v>
      </c>
      <c r="G493" s="79" t="s">
        <v>629</v>
      </c>
      <c r="H493" s="81" t="s">
        <v>10</v>
      </c>
      <c r="I493" s="105"/>
      <c r="J493" s="82"/>
      <c r="K493" s="83"/>
      <c r="L493" s="83"/>
      <c r="M493" s="83"/>
      <c r="N493" s="83"/>
      <c r="O493" s="83"/>
      <c r="P493" s="83"/>
      <c r="Q493" s="83"/>
      <c r="R493" s="83"/>
      <c r="S493" s="83"/>
      <c r="T493" s="83"/>
      <c r="U493" s="83"/>
      <c r="V493" s="83"/>
      <c r="W493" s="83"/>
      <c r="X493" s="83"/>
      <c r="Y493" s="83"/>
      <c r="Z493" s="83"/>
      <c r="AA493" s="83"/>
    </row>
    <row r="494" ht="55.5" customHeight="1">
      <c r="A494" s="79" t="s">
        <v>570</v>
      </c>
      <c r="B494" s="84"/>
      <c r="C494" s="79" t="s">
        <v>177</v>
      </c>
      <c r="D494" s="84"/>
      <c r="E494" s="79" t="s">
        <v>543</v>
      </c>
      <c r="F494" s="79" t="s">
        <v>544</v>
      </c>
      <c r="G494" s="79" t="s">
        <v>537</v>
      </c>
      <c r="H494" s="81" t="s">
        <v>10</v>
      </c>
      <c r="I494" s="85"/>
      <c r="J494" s="82"/>
      <c r="K494" s="83"/>
      <c r="L494" s="83"/>
      <c r="M494" s="83"/>
      <c r="N494" s="83"/>
      <c r="O494" s="83"/>
      <c r="P494" s="83"/>
      <c r="Q494" s="83"/>
      <c r="R494" s="83"/>
      <c r="S494" s="83"/>
      <c r="T494" s="83"/>
      <c r="U494" s="83"/>
      <c r="V494" s="83"/>
      <c r="W494" s="83"/>
      <c r="X494" s="83"/>
      <c r="Y494" s="83"/>
      <c r="Z494" s="83"/>
      <c r="AA494" s="83"/>
    </row>
    <row r="495" ht="55.5" customHeight="1">
      <c r="A495" s="79" t="s">
        <v>570</v>
      </c>
      <c r="B495" s="12"/>
      <c r="C495" s="79" t="s">
        <v>179</v>
      </c>
      <c r="D495" s="12"/>
      <c r="E495" s="79" t="s">
        <v>545</v>
      </c>
      <c r="F495" s="79" t="s">
        <v>546</v>
      </c>
      <c r="G495" s="79" t="s">
        <v>537</v>
      </c>
      <c r="H495" s="81" t="s">
        <v>10</v>
      </c>
      <c r="I495" s="85"/>
      <c r="J495" s="82"/>
      <c r="K495" s="83"/>
      <c r="L495" s="83"/>
      <c r="M495" s="83"/>
      <c r="N495" s="83"/>
      <c r="O495" s="83"/>
      <c r="P495" s="83"/>
      <c r="Q495" s="83"/>
      <c r="R495" s="83"/>
      <c r="S495" s="83"/>
      <c r="T495" s="83"/>
      <c r="U495" s="83"/>
      <c r="V495" s="83"/>
      <c r="W495" s="83"/>
      <c r="X495" s="83"/>
      <c r="Y495" s="83"/>
      <c r="Z495" s="83"/>
      <c r="AA495" s="83"/>
    </row>
    <row r="496" ht="55.5" customHeight="1">
      <c r="A496" s="79" t="s">
        <v>632</v>
      </c>
      <c r="B496" s="80" t="s">
        <v>633</v>
      </c>
      <c r="C496" s="79" t="s">
        <v>634</v>
      </c>
      <c r="D496" s="80" t="s">
        <v>300</v>
      </c>
      <c r="E496" s="79" t="s">
        <v>635</v>
      </c>
      <c r="F496" s="79" t="s">
        <v>636</v>
      </c>
      <c r="G496" s="79" t="s">
        <v>637</v>
      </c>
      <c r="H496" s="81" t="s">
        <v>10</v>
      </c>
      <c r="I496" s="85"/>
      <c r="J496" s="82"/>
      <c r="K496" s="83"/>
      <c r="L496" s="83"/>
      <c r="M496" s="83"/>
      <c r="N496" s="83"/>
      <c r="O496" s="83"/>
      <c r="P496" s="83"/>
      <c r="Q496" s="83"/>
      <c r="R496" s="83"/>
      <c r="S496" s="83"/>
      <c r="T496" s="83"/>
      <c r="U496" s="83"/>
      <c r="V496" s="83"/>
      <c r="W496" s="83"/>
      <c r="X496" s="83"/>
      <c r="Y496" s="83"/>
      <c r="Z496" s="83"/>
      <c r="AA496" s="83"/>
    </row>
    <row r="497" ht="55.5" customHeight="1">
      <c r="A497" s="79" t="s">
        <v>632</v>
      </c>
      <c r="B497" s="84"/>
      <c r="C497" s="79" t="s">
        <v>638</v>
      </c>
      <c r="D497" s="84"/>
      <c r="E497" s="79" t="s">
        <v>639</v>
      </c>
      <c r="F497" s="79" t="s">
        <v>636</v>
      </c>
      <c r="G497" s="79" t="s">
        <v>640</v>
      </c>
      <c r="H497" s="81" t="s">
        <v>10</v>
      </c>
      <c r="I497" s="85"/>
      <c r="J497" s="82"/>
      <c r="K497" s="83"/>
      <c r="L497" s="83"/>
      <c r="M497" s="83"/>
      <c r="N497" s="83"/>
      <c r="O497" s="83"/>
      <c r="P497" s="83"/>
      <c r="Q497" s="83"/>
      <c r="R497" s="83"/>
      <c r="S497" s="83"/>
      <c r="T497" s="83"/>
      <c r="U497" s="83"/>
      <c r="V497" s="83"/>
      <c r="W497" s="83"/>
      <c r="X497" s="83"/>
      <c r="Y497" s="83"/>
      <c r="Z497" s="83"/>
      <c r="AA497" s="83"/>
    </row>
    <row r="498" ht="55.5" customHeight="1">
      <c r="A498" s="79" t="s">
        <v>632</v>
      </c>
      <c r="B498" s="84"/>
      <c r="C498" s="79" t="s">
        <v>641</v>
      </c>
      <c r="D498" s="84"/>
      <c r="E498" s="79" t="s">
        <v>642</v>
      </c>
      <c r="F498" s="79" t="s">
        <v>636</v>
      </c>
      <c r="G498" s="79" t="s">
        <v>643</v>
      </c>
      <c r="H498" s="81" t="s">
        <v>10</v>
      </c>
      <c r="I498" s="85"/>
      <c r="J498" s="82"/>
      <c r="K498" s="83"/>
      <c r="L498" s="83"/>
      <c r="M498" s="83"/>
      <c r="N498" s="83"/>
      <c r="O498" s="83"/>
      <c r="P498" s="83"/>
      <c r="Q498" s="83"/>
      <c r="R498" s="83"/>
      <c r="S498" s="83"/>
      <c r="T498" s="83"/>
      <c r="U498" s="83"/>
      <c r="V498" s="83"/>
      <c r="W498" s="83"/>
      <c r="X498" s="83"/>
      <c r="Y498" s="83"/>
      <c r="Z498" s="83"/>
      <c r="AA498" s="83"/>
    </row>
    <row r="499" ht="55.5" customHeight="1">
      <c r="A499" s="79" t="s">
        <v>632</v>
      </c>
      <c r="B499" s="84"/>
      <c r="C499" s="79" t="s">
        <v>644</v>
      </c>
      <c r="D499" s="84"/>
      <c r="E499" s="79" t="s">
        <v>645</v>
      </c>
      <c r="F499" s="79" t="s">
        <v>636</v>
      </c>
      <c r="G499" s="79" t="s">
        <v>646</v>
      </c>
      <c r="H499" s="81" t="s">
        <v>10</v>
      </c>
      <c r="I499" s="85"/>
      <c r="J499" s="82"/>
      <c r="K499" s="83"/>
      <c r="L499" s="83"/>
      <c r="M499" s="83"/>
      <c r="N499" s="83"/>
      <c r="O499" s="83"/>
      <c r="P499" s="83"/>
      <c r="Q499" s="83"/>
      <c r="R499" s="83"/>
      <c r="S499" s="83"/>
      <c r="T499" s="83"/>
      <c r="U499" s="83"/>
      <c r="V499" s="83"/>
      <c r="W499" s="83"/>
      <c r="X499" s="83"/>
      <c r="Y499" s="83"/>
      <c r="Z499" s="83"/>
      <c r="AA499" s="83"/>
    </row>
    <row r="500" ht="55.5" customHeight="1">
      <c r="A500" s="79" t="s">
        <v>632</v>
      </c>
      <c r="B500" s="84"/>
      <c r="C500" s="79" t="s">
        <v>647</v>
      </c>
      <c r="D500" s="84"/>
      <c r="E500" s="79" t="s">
        <v>648</v>
      </c>
      <c r="F500" s="79" t="s">
        <v>649</v>
      </c>
      <c r="G500" s="79" t="s">
        <v>646</v>
      </c>
      <c r="H500" s="81" t="s">
        <v>10</v>
      </c>
      <c r="I500" s="85"/>
      <c r="J500" s="82"/>
      <c r="K500" s="83"/>
      <c r="L500" s="83"/>
      <c r="M500" s="83"/>
      <c r="N500" s="83"/>
      <c r="O500" s="83"/>
      <c r="P500" s="83"/>
      <c r="Q500" s="83"/>
      <c r="R500" s="83"/>
      <c r="S500" s="83"/>
      <c r="T500" s="83"/>
      <c r="U500" s="83"/>
      <c r="V500" s="83"/>
      <c r="W500" s="83"/>
      <c r="X500" s="83"/>
      <c r="Y500" s="83"/>
      <c r="Z500" s="83"/>
      <c r="AA500" s="83"/>
    </row>
    <row r="501" ht="55.5" customHeight="1">
      <c r="A501" s="79" t="s">
        <v>632</v>
      </c>
      <c r="B501" s="84"/>
      <c r="C501" s="79" t="s">
        <v>650</v>
      </c>
      <c r="D501" s="12"/>
      <c r="E501" s="79" t="s">
        <v>651</v>
      </c>
      <c r="F501" s="79" t="s">
        <v>652</v>
      </c>
      <c r="G501" s="79" t="s">
        <v>646</v>
      </c>
      <c r="H501" s="81" t="s">
        <v>10</v>
      </c>
      <c r="I501" s="85"/>
      <c r="J501" s="82"/>
      <c r="K501" s="83"/>
      <c r="L501" s="83"/>
      <c r="M501" s="83"/>
      <c r="N501" s="83"/>
      <c r="O501" s="83"/>
      <c r="P501" s="83"/>
      <c r="Q501" s="83"/>
      <c r="R501" s="83"/>
      <c r="S501" s="83"/>
      <c r="T501" s="83"/>
      <c r="U501" s="83"/>
      <c r="V501" s="83"/>
      <c r="W501" s="83"/>
      <c r="X501" s="83"/>
      <c r="Y501" s="83"/>
      <c r="Z501" s="83"/>
      <c r="AA501" s="83"/>
    </row>
    <row r="502" ht="55.5" customHeight="1">
      <c r="A502" s="79" t="s">
        <v>632</v>
      </c>
      <c r="B502" s="84"/>
      <c r="C502" s="79" t="s">
        <v>653</v>
      </c>
      <c r="D502" s="80" t="s">
        <v>535</v>
      </c>
      <c r="E502" s="79" t="s">
        <v>536</v>
      </c>
      <c r="F502" s="79" t="s">
        <v>344</v>
      </c>
      <c r="G502" s="79" t="s">
        <v>537</v>
      </c>
      <c r="H502" s="81" t="s">
        <v>10</v>
      </c>
      <c r="I502" s="85"/>
      <c r="J502" s="82"/>
      <c r="K502" s="83"/>
      <c r="L502" s="83"/>
      <c r="M502" s="83"/>
      <c r="N502" s="83"/>
      <c r="O502" s="83"/>
      <c r="P502" s="83"/>
      <c r="Q502" s="83"/>
      <c r="R502" s="83"/>
      <c r="S502" s="83"/>
      <c r="T502" s="83"/>
      <c r="U502" s="83"/>
      <c r="V502" s="83"/>
      <c r="W502" s="83"/>
      <c r="X502" s="83"/>
      <c r="Y502" s="83"/>
      <c r="Z502" s="83"/>
      <c r="AA502" s="83"/>
    </row>
    <row r="503" ht="55.5" customHeight="1">
      <c r="A503" s="79" t="s">
        <v>632</v>
      </c>
      <c r="B503" s="84"/>
      <c r="C503" s="79" t="s">
        <v>654</v>
      </c>
      <c r="D503" s="12"/>
      <c r="E503" s="79" t="s">
        <v>538</v>
      </c>
      <c r="F503" s="79" t="s">
        <v>344</v>
      </c>
      <c r="G503" s="79" t="s">
        <v>537</v>
      </c>
      <c r="H503" s="81" t="s">
        <v>10</v>
      </c>
      <c r="I503" s="85"/>
      <c r="J503" s="82"/>
      <c r="K503" s="83"/>
      <c r="L503" s="83"/>
      <c r="M503" s="83"/>
      <c r="N503" s="83"/>
      <c r="O503" s="83"/>
      <c r="P503" s="83"/>
      <c r="Q503" s="83"/>
      <c r="R503" s="83"/>
      <c r="S503" s="83"/>
      <c r="T503" s="83"/>
      <c r="U503" s="83"/>
      <c r="V503" s="83"/>
      <c r="W503" s="83"/>
      <c r="X503" s="83"/>
      <c r="Y503" s="83"/>
      <c r="Z503" s="83"/>
      <c r="AA503" s="83"/>
    </row>
    <row r="504" ht="55.5" customHeight="1">
      <c r="A504" s="79" t="s">
        <v>632</v>
      </c>
      <c r="B504" s="84"/>
      <c r="C504" s="79" t="s">
        <v>655</v>
      </c>
      <c r="D504" s="80" t="s">
        <v>656</v>
      </c>
      <c r="E504" s="79" t="s">
        <v>517</v>
      </c>
      <c r="F504" s="79" t="s">
        <v>344</v>
      </c>
      <c r="G504" s="79" t="s">
        <v>609</v>
      </c>
      <c r="H504" s="81" t="s">
        <v>10</v>
      </c>
      <c r="I504" s="85"/>
      <c r="J504" s="82"/>
      <c r="K504" s="83"/>
      <c r="L504" s="83"/>
      <c r="M504" s="83"/>
      <c r="N504" s="83"/>
      <c r="O504" s="83"/>
      <c r="P504" s="83"/>
      <c r="Q504" s="83"/>
      <c r="R504" s="83"/>
      <c r="S504" s="83"/>
      <c r="T504" s="83"/>
      <c r="U504" s="83"/>
      <c r="V504" s="83"/>
      <c r="W504" s="83"/>
      <c r="X504" s="83"/>
      <c r="Y504" s="83"/>
      <c r="Z504" s="83"/>
      <c r="AA504" s="83"/>
    </row>
    <row r="505" ht="55.5" customHeight="1">
      <c r="A505" s="79" t="s">
        <v>632</v>
      </c>
      <c r="B505" s="84"/>
      <c r="C505" s="79" t="s">
        <v>657</v>
      </c>
      <c r="D505" s="84"/>
      <c r="E505" s="79" t="s">
        <v>519</v>
      </c>
      <c r="F505" s="79" t="s">
        <v>344</v>
      </c>
      <c r="G505" s="79" t="s">
        <v>609</v>
      </c>
      <c r="H505" s="81" t="s">
        <v>10</v>
      </c>
      <c r="I505" s="85"/>
      <c r="J505" s="82"/>
      <c r="K505" s="83"/>
      <c r="L505" s="83"/>
      <c r="M505" s="83"/>
      <c r="N505" s="83"/>
      <c r="O505" s="83"/>
      <c r="P505" s="83"/>
      <c r="Q505" s="83"/>
      <c r="R505" s="83"/>
      <c r="S505" s="83"/>
      <c r="T505" s="83"/>
      <c r="U505" s="83"/>
      <c r="V505" s="83"/>
      <c r="W505" s="83"/>
      <c r="X505" s="83"/>
      <c r="Y505" s="83"/>
      <c r="Z505" s="83"/>
      <c r="AA505" s="83"/>
    </row>
    <row r="506" ht="55.5" customHeight="1">
      <c r="A506" s="79" t="s">
        <v>632</v>
      </c>
      <c r="B506" s="84"/>
      <c r="C506" s="79" t="s">
        <v>658</v>
      </c>
      <c r="D506" s="84"/>
      <c r="E506" s="79" t="s">
        <v>611</v>
      </c>
      <c r="F506" s="79" t="s">
        <v>344</v>
      </c>
      <c r="G506" s="79" t="s">
        <v>609</v>
      </c>
      <c r="H506" s="81" t="s">
        <v>10</v>
      </c>
      <c r="I506" s="85"/>
      <c r="J506" s="82"/>
      <c r="K506" s="83"/>
      <c r="L506" s="83"/>
      <c r="M506" s="83"/>
      <c r="N506" s="83"/>
      <c r="O506" s="83"/>
      <c r="P506" s="83"/>
      <c r="Q506" s="83"/>
      <c r="R506" s="83"/>
      <c r="S506" s="83"/>
      <c r="T506" s="83"/>
      <c r="U506" s="83"/>
      <c r="V506" s="83"/>
      <c r="W506" s="83"/>
      <c r="X506" s="83"/>
      <c r="Y506" s="83"/>
      <c r="Z506" s="83"/>
      <c r="AA506" s="83"/>
    </row>
    <row r="507" ht="55.5" customHeight="1">
      <c r="A507" s="79" t="s">
        <v>632</v>
      </c>
      <c r="B507" s="84"/>
      <c r="C507" s="79" t="s">
        <v>659</v>
      </c>
      <c r="D507" s="84"/>
      <c r="E507" s="79" t="s">
        <v>612</v>
      </c>
      <c r="F507" s="79" t="s">
        <v>344</v>
      </c>
      <c r="G507" s="79" t="s">
        <v>609</v>
      </c>
      <c r="H507" s="81" t="s">
        <v>10</v>
      </c>
      <c r="I507" s="85"/>
      <c r="J507" s="82"/>
      <c r="K507" s="83"/>
      <c r="L507" s="83"/>
      <c r="M507" s="83"/>
      <c r="N507" s="83"/>
      <c r="O507" s="83"/>
      <c r="P507" s="83"/>
      <c r="Q507" s="83"/>
      <c r="R507" s="83"/>
      <c r="S507" s="83"/>
      <c r="T507" s="83"/>
      <c r="U507" s="83"/>
      <c r="V507" s="83"/>
      <c r="W507" s="83"/>
      <c r="X507" s="83"/>
      <c r="Y507" s="83"/>
      <c r="Z507" s="83"/>
      <c r="AA507" s="83"/>
    </row>
    <row r="508" ht="55.5" customHeight="1">
      <c r="A508" s="79" t="s">
        <v>632</v>
      </c>
      <c r="B508" s="84"/>
      <c r="C508" s="79" t="s">
        <v>660</v>
      </c>
      <c r="D508" s="84"/>
      <c r="E508" s="79" t="s">
        <v>613</v>
      </c>
      <c r="F508" s="79" t="s">
        <v>344</v>
      </c>
      <c r="G508" s="79" t="s">
        <v>609</v>
      </c>
      <c r="H508" s="81" t="s">
        <v>10</v>
      </c>
      <c r="I508" s="85"/>
      <c r="J508" s="82"/>
      <c r="K508" s="83"/>
      <c r="L508" s="83"/>
      <c r="M508" s="83"/>
      <c r="N508" s="83"/>
      <c r="O508" s="83"/>
      <c r="P508" s="83"/>
      <c r="Q508" s="83"/>
      <c r="R508" s="83"/>
      <c r="S508" s="83"/>
      <c r="T508" s="83"/>
      <c r="U508" s="83"/>
      <c r="V508" s="83"/>
      <c r="W508" s="83"/>
      <c r="X508" s="83"/>
      <c r="Y508" s="83"/>
      <c r="Z508" s="83"/>
      <c r="AA508" s="83"/>
    </row>
    <row r="509" ht="55.5" customHeight="1">
      <c r="A509" s="79" t="s">
        <v>632</v>
      </c>
      <c r="B509" s="84"/>
      <c r="C509" s="79" t="s">
        <v>661</v>
      </c>
      <c r="D509" s="12"/>
      <c r="E509" s="79" t="s">
        <v>615</v>
      </c>
      <c r="F509" s="79" t="s">
        <v>344</v>
      </c>
      <c r="G509" s="79" t="s">
        <v>609</v>
      </c>
      <c r="H509" s="81" t="s">
        <v>10</v>
      </c>
      <c r="I509" s="85"/>
      <c r="J509" s="82"/>
      <c r="K509" s="83"/>
      <c r="L509" s="83"/>
      <c r="M509" s="83"/>
      <c r="N509" s="83"/>
      <c r="O509" s="83"/>
      <c r="P509" s="83"/>
      <c r="Q509" s="83"/>
      <c r="R509" s="83"/>
      <c r="S509" s="83"/>
      <c r="T509" s="83"/>
      <c r="U509" s="83"/>
      <c r="V509" s="83"/>
      <c r="W509" s="83"/>
      <c r="X509" s="83"/>
      <c r="Y509" s="83"/>
      <c r="Z509" s="83"/>
      <c r="AA509" s="83"/>
    </row>
    <row r="510" ht="55.5" customHeight="1">
      <c r="A510" s="79" t="s">
        <v>632</v>
      </c>
      <c r="B510" s="84"/>
      <c r="C510" s="79" t="s">
        <v>662</v>
      </c>
      <c r="D510" s="80" t="s">
        <v>663</v>
      </c>
      <c r="E510" s="79" t="s">
        <v>517</v>
      </c>
      <c r="F510" s="79" t="s">
        <v>344</v>
      </c>
      <c r="G510" s="79" t="s">
        <v>617</v>
      </c>
      <c r="H510" s="81" t="s">
        <v>10</v>
      </c>
      <c r="I510" s="85"/>
      <c r="J510" s="82"/>
      <c r="K510" s="83"/>
      <c r="L510" s="83"/>
      <c r="M510" s="83"/>
      <c r="N510" s="83"/>
      <c r="O510" s="83"/>
      <c r="P510" s="83"/>
      <c r="Q510" s="83"/>
      <c r="R510" s="83"/>
      <c r="S510" s="83"/>
      <c r="T510" s="83"/>
      <c r="U510" s="83"/>
      <c r="V510" s="83"/>
      <c r="W510" s="83"/>
      <c r="X510" s="83"/>
      <c r="Y510" s="83"/>
      <c r="Z510" s="83"/>
      <c r="AA510" s="83"/>
    </row>
    <row r="511" ht="55.5" customHeight="1">
      <c r="A511" s="79" t="s">
        <v>632</v>
      </c>
      <c r="B511" s="84"/>
      <c r="C511" s="79" t="s">
        <v>664</v>
      </c>
      <c r="D511" s="84"/>
      <c r="E511" s="79" t="s">
        <v>519</v>
      </c>
      <c r="F511" s="79" t="s">
        <v>344</v>
      </c>
      <c r="G511" s="79" t="s">
        <v>617</v>
      </c>
      <c r="H511" s="81" t="s">
        <v>10</v>
      </c>
      <c r="I511" s="85"/>
      <c r="J511" s="82"/>
      <c r="K511" s="83"/>
      <c r="L511" s="83"/>
      <c r="M511" s="83"/>
      <c r="N511" s="83"/>
      <c r="O511" s="83"/>
      <c r="P511" s="83"/>
      <c r="Q511" s="83"/>
      <c r="R511" s="83"/>
      <c r="S511" s="83"/>
      <c r="T511" s="83"/>
      <c r="U511" s="83"/>
      <c r="V511" s="83"/>
      <c r="W511" s="83"/>
      <c r="X511" s="83"/>
      <c r="Y511" s="83"/>
      <c r="Z511" s="83"/>
      <c r="AA511" s="83"/>
    </row>
    <row r="512" ht="55.5" customHeight="1">
      <c r="A512" s="79" t="s">
        <v>632</v>
      </c>
      <c r="B512" s="84"/>
      <c r="C512" s="79" t="s">
        <v>665</v>
      </c>
      <c r="D512" s="84"/>
      <c r="E512" s="79" t="s">
        <v>611</v>
      </c>
      <c r="F512" s="79" t="s">
        <v>344</v>
      </c>
      <c r="G512" s="79" t="s">
        <v>617</v>
      </c>
      <c r="H512" s="81" t="s">
        <v>10</v>
      </c>
      <c r="I512" s="85"/>
      <c r="J512" s="82"/>
      <c r="K512" s="83"/>
      <c r="L512" s="83"/>
      <c r="M512" s="83"/>
      <c r="N512" s="83"/>
      <c r="O512" s="83"/>
      <c r="P512" s="83"/>
      <c r="Q512" s="83"/>
      <c r="R512" s="83"/>
      <c r="S512" s="83"/>
      <c r="T512" s="83"/>
      <c r="U512" s="83"/>
      <c r="V512" s="83"/>
      <c r="W512" s="83"/>
      <c r="X512" s="83"/>
      <c r="Y512" s="83"/>
      <c r="Z512" s="83"/>
      <c r="AA512" s="83"/>
    </row>
    <row r="513" ht="55.5" customHeight="1">
      <c r="A513" s="79" t="s">
        <v>632</v>
      </c>
      <c r="B513" s="84"/>
      <c r="C513" s="79" t="s">
        <v>666</v>
      </c>
      <c r="D513" s="84"/>
      <c r="E513" s="79" t="s">
        <v>612</v>
      </c>
      <c r="F513" s="79" t="s">
        <v>344</v>
      </c>
      <c r="G513" s="79" t="s">
        <v>617</v>
      </c>
      <c r="H513" s="81" t="s">
        <v>10</v>
      </c>
      <c r="I513" s="85"/>
      <c r="J513" s="82"/>
      <c r="K513" s="83"/>
      <c r="L513" s="83"/>
      <c r="M513" s="83"/>
      <c r="N513" s="83"/>
      <c r="O513" s="83"/>
      <c r="P513" s="83"/>
      <c r="Q513" s="83"/>
      <c r="R513" s="83"/>
      <c r="S513" s="83"/>
      <c r="T513" s="83"/>
      <c r="U513" s="83"/>
      <c r="V513" s="83"/>
      <c r="W513" s="83"/>
      <c r="X513" s="83"/>
      <c r="Y513" s="83"/>
      <c r="Z513" s="83"/>
      <c r="AA513" s="83"/>
    </row>
    <row r="514" ht="55.5" customHeight="1">
      <c r="A514" s="79" t="s">
        <v>632</v>
      </c>
      <c r="B514" s="84"/>
      <c r="C514" s="79" t="s">
        <v>667</v>
      </c>
      <c r="D514" s="84"/>
      <c r="E514" s="79" t="s">
        <v>618</v>
      </c>
      <c r="F514" s="79" t="s">
        <v>344</v>
      </c>
      <c r="G514" s="79" t="s">
        <v>617</v>
      </c>
      <c r="H514" s="81" t="s">
        <v>10</v>
      </c>
      <c r="I514" s="85"/>
      <c r="J514" s="82"/>
      <c r="K514" s="83"/>
      <c r="L514" s="83"/>
      <c r="M514" s="83"/>
      <c r="N514" s="83"/>
      <c r="O514" s="83"/>
      <c r="P514" s="83"/>
      <c r="Q514" s="83"/>
      <c r="R514" s="83"/>
      <c r="S514" s="83"/>
      <c r="T514" s="83"/>
      <c r="U514" s="83"/>
      <c r="V514" s="83"/>
      <c r="W514" s="83"/>
      <c r="X514" s="83"/>
      <c r="Y514" s="83"/>
      <c r="Z514" s="83"/>
      <c r="AA514" s="83"/>
    </row>
    <row r="515" ht="55.5" customHeight="1">
      <c r="A515" s="79" t="s">
        <v>632</v>
      </c>
      <c r="B515" s="84"/>
      <c r="C515" s="79" t="s">
        <v>668</v>
      </c>
      <c r="D515" s="12"/>
      <c r="E515" s="79" t="s">
        <v>619</v>
      </c>
      <c r="F515" s="79" t="s">
        <v>344</v>
      </c>
      <c r="G515" s="79" t="s">
        <v>617</v>
      </c>
      <c r="H515" s="81" t="s">
        <v>10</v>
      </c>
      <c r="I515" s="85"/>
      <c r="J515" s="82"/>
      <c r="K515" s="83"/>
      <c r="L515" s="83"/>
      <c r="M515" s="83"/>
      <c r="N515" s="83"/>
      <c r="O515" s="83"/>
      <c r="P515" s="83"/>
      <c r="Q515" s="83"/>
      <c r="R515" s="83"/>
      <c r="S515" s="83"/>
      <c r="T515" s="83"/>
      <c r="U515" s="83"/>
      <c r="V515" s="83"/>
      <c r="W515" s="83"/>
      <c r="X515" s="83"/>
      <c r="Y515" s="83"/>
      <c r="Z515" s="83"/>
      <c r="AA515" s="83"/>
    </row>
    <row r="516" ht="55.5" customHeight="1">
      <c r="A516" s="79" t="s">
        <v>632</v>
      </c>
      <c r="B516" s="84"/>
      <c r="C516" s="79" t="s">
        <v>669</v>
      </c>
      <c r="D516" s="80" t="s">
        <v>670</v>
      </c>
      <c r="E516" s="79" t="s">
        <v>671</v>
      </c>
      <c r="F516" s="79" t="s">
        <v>344</v>
      </c>
      <c r="G516" s="106" t="s">
        <v>672</v>
      </c>
      <c r="H516" s="81" t="s">
        <v>10</v>
      </c>
      <c r="I516" s="85"/>
      <c r="J516" s="82"/>
      <c r="K516" s="83"/>
      <c r="L516" s="83"/>
      <c r="M516" s="83"/>
      <c r="N516" s="83"/>
      <c r="O516" s="83"/>
      <c r="P516" s="83"/>
      <c r="Q516" s="83"/>
      <c r="R516" s="83"/>
      <c r="S516" s="83"/>
      <c r="T516" s="83"/>
      <c r="U516" s="83"/>
      <c r="V516" s="83"/>
      <c r="W516" s="83"/>
      <c r="X516" s="83"/>
      <c r="Y516" s="83"/>
      <c r="Z516" s="83"/>
      <c r="AA516" s="83"/>
    </row>
    <row r="517" ht="55.5" customHeight="1">
      <c r="A517" s="79" t="s">
        <v>632</v>
      </c>
      <c r="B517" s="84"/>
      <c r="C517" s="79" t="s">
        <v>673</v>
      </c>
      <c r="D517" s="84"/>
      <c r="E517" s="79" t="s">
        <v>674</v>
      </c>
      <c r="F517" s="79" t="s">
        <v>344</v>
      </c>
      <c r="G517" s="106" t="s">
        <v>675</v>
      </c>
      <c r="H517" s="81" t="s">
        <v>10</v>
      </c>
      <c r="I517" s="85"/>
      <c r="J517" s="95"/>
      <c r="K517" s="83"/>
      <c r="L517" s="83"/>
      <c r="M517" s="83"/>
      <c r="N517" s="83"/>
      <c r="O517" s="83"/>
      <c r="P517" s="83"/>
      <c r="Q517" s="83"/>
      <c r="R517" s="83"/>
      <c r="S517" s="83"/>
      <c r="T517" s="83"/>
      <c r="U517" s="83"/>
      <c r="V517" s="83"/>
      <c r="W517" s="83"/>
      <c r="X517" s="83"/>
      <c r="Y517" s="83"/>
      <c r="Z517" s="83"/>
      <c r="AA517" s="83"/>
    </row>
    <row r="518" ht="55.5" customHeight="1">
      <c r="A518" s="79" t="s">
        <v>632</v>
      </c>
      <c r="B518" s="84"/>
      <c r="C518" s="79" t="s">
        <v>676</v>
      </c>
      <c r="D518" s="84"/>
      <c r="E518" s="79" t="s">
        <v>677</v>
      </c>
      <c r="F518" s="79" t="s">
        <v>344</v>
      </c>
      <c r="G518" s="106" t="s">
        <v>678</v>
      </c>
      <c r="H518" s="81" t="s">
        <v>10</v>
      </c>
      <c r="I518" s="85"/>
      <c r="J518" s="95"/>
      <c r="K518" s="83"/>
      <c r="L518" s="83"/>
      <c r="M518" s="83"/>
      <c r="N518" s="83"/>
      <c r="O518" s="83"/>
      <c r="P518" s="83"/>
      <c r="Q518" s="83"/>
      <c r="R518" s="83"/>
      <c r="S518" s="83"/>
      <c r="T518" s="83"/>
      <c r="U518" s="83"/>
      <c r="V518" s="83"/>
      <c r="W518" s="83"/>
      <c r="X518" s="83"/>
      <c r="Y518" s="83"/>
      <c r="Z518" s="83"/>
      <c r="AA518" s="83"/>
    </row>
    <row r="519" ht="55.5" customHeight="1">
      <c r="A519" s="79" t="s">
        <v>632</v>
      </c>
      <c r="B519" s="84"/>
      <c r="C519" s="79" t="s">
        <v>679</v>
      </c>
      <c r="D519" s="84"/>
      <c r="E519" s="79" t="s">
        <v>680</v>
      </c>
      <c r="F519" s="79" t="s">
        <v>344</v>
      </c>
      <c r="G519" s="79" t="s">
        <v>681</v>
      </c>
      <c r="H519" s="81" t="s">
        <v>10</v>
      </c>
      <c r="I519" s="85"/>
      <c r="J519" s="95"/>
      <c r="K519" s="83"/>
      <c r="L519" s="83"/>
      <c r="M519" s="83"/>
      <c r="N519" s="83"/>
      <c r="O519" s="83"/>
      <c r="P519" s="83"/>
      <c r="Q519" s="83"/>
      <c r="R519" s="83"/>
      <c r="S519" s="83"/>
      <c r="T519" s="83"/>
      <c r="U519" s="83"/>
      <c r="V519" s="83"/>
      <c r="W519" s="83"/>
      <c r="X519" s="83"/>
      <c r="Y519" s="83"/>
      <c r="Z519" s="83"/>
      <c r="AA519" s="83"/>
    </row>
    <row r="520" ht="55.5" customHeight="1">
      <c r="A520" s="79" t="s">
        <v>632</v>
      </c>
      <c r="B520" s="84"/>
      <c r="C520" s="79" t="s">
        <v>682</v>
      </c>
      <c r="D520" s="84"/>
      <c r="E520" s="79" t="s">
        <v>683</v>
      </c>
      <c r="F520" s="79" t="s">
        <v>344</v>
      </c>
      <c r="G520" s="79" t="s">
        <v>681</v>
      </c>
      <c r="H520" s="81" t="s">
        <v>10</v>
      </c>
      <c r="I520" s="82"/>
      <c r="J520" s="82"/>
      <c r="K520" s="83"/>
      <c r="L520" s="83"/>
      <c r="M520" s="83"/>
      <c r="N520" s="83"/>
      <c r="O520" s="83"/>
      <c r="P520" s="83"/>
      <c r="Q520" s="83"/>
      <c r="R520" s="83"/>
      <c r="S520" s="83"/>
      <c r="T520" s="83"/>
      <c r="U520" s="83"/>
      <c r="V520" s="83"/>
      <c r="W520" s="83"/>
      <c r="X520" s="83"/>
      <c r="Y520" s="83"/>
      <c r="Z520" s="83"/>
      <c r="AA520" s="83"/>
    </row>
    <row r="521" ht="55.5" customHeight="1">
      <c r="A521" s="79" t="s">
        <v>632</v>
      </c>
      <c r="B521" s="12"/>
      <c r="C521" s="79" t="s">
        <v>684</v>
      </c>
      <c r="D521" s="12"/>
      <c r="E521" s="79" t="s">
        <v>685</v>
      </c>
      <c r="F521" s="79" t="s">
        <v>344</v>
      </c>
      <c r="G521" s="79" t="s">
        <v>681</v>
      </c>
      <c r="H521" s="81" t="s">
        <v>10</v>
      </c>
      <c r="I521" s="82"/>
      <c r="J521" s="82"/>
      <c r="K521" s="83"/>
      <c r="L521" s="83"/>
      <c r="M521" s="83"/>
      <c r="N521" s="83"/>
      <c r="O521" s="83"/>
      <c r="P521" s="83"/>
      <c r="Q521" s="83"/>
      <c r="R521" s="83"/>
      <c r="S521" s="83"/>
      <c r="T521" s="83"/>
      <c r="U521" s="83"/>
      <c r="V521" s="83"/>
      <c r="W521" s="83"/>
      <c r="X521" s="83"/>
      <c r="Y521" s="83"/>
      <c r="Z521" s="83"/>
      <c r="AA521" s="83"/>
    </row>
    <row r="522" ht="55.5" customHeight="1">
      <c r="A522" s="79" t="s">
        <v>686</v>
      </c>
      <c r="B522" s="80" t="s">
        <v>687</v>
      </c>
      <c r="C522" s="79" t="s">
        <v>47</v>
      </c>
      <c r="D522" s="107"/>
      <c r="E522" s="79" t="s">
        <v>688</v>
      </c>
      <c r="F522" s="79" t="s">
        <v>689</v>
      </c>
      <c r="G522" s="79" t="s">
        <v>690</v>
      </c>
      <c r="H522" s="81" t="s">
        <v>10</v>
      </c>
      <c r="I522" s="82"/>
      <c r="J522" s="82"/>
      <c r="K522" s="83"/>
      <c r="L522" s="83"/>
      <c r="M522" s="83"/>
      <c r="N522" s="83"/>
      <c r="O522" s="83"/>
      <c r="P522" s="83"/>
      <c r="Q522" s="83"/>
      <c r="R522" s="83"/>
      <c r="S522" s="83"/>
      <c r="T522" s="83"/>
      <c r="U522" s="83"/>
      <c r="V522" s="83"/>
      <c r="W522" s="83"/>
      <c r="X522" s="83"/>
      <c r="Y522" s="83"/>
      <c r="Z522" s="83"/>
      <c r="AA522" s="83"/>
    </row>
    <row r="523" ht="55.5" customHeight="1">
      <c r="A523" s="79" t="s">
        <v>686</v>
      </c>
      <c r="B523" s="84"/>
      <c r="C523" s="79" t="s">
        <v>52</v>
      </c>
      <c r="D523" s="78"/>
      <c r="E523" s="79" t="s">
        <v>691</v>
      </c>
      <c r="F523" s="79" t="s">
        <v>689</v>
      </c>
      <c r="G523" s="79" t="s">
        <v>692</v>
      </c>
      <c r="H523" s="81" t="s">
        <v>10</v>
      </c>
      <c r="I523" s="82"/>
      <c r="J523" s="82"/>
      <c r="K523" s="83"/>
      <c r="L523" s="83"/>
      <c r="M523" s="83"/>
      <c r="N523" s="83"/>
      <c r="O523" s="83"/>
      <c r="P523" s="83"/>
      <c r="Q523" s="83"/>
      <c r="R523" s="83"/>
      <c r="S523" s="83"/>
      <c r="T523" s="83"/>
      <c r="U523" s="83"/>
      <c r="V523" s="83"/>
      <c r="W523" s="83"/>
      <c r="X523" s="83"/>
      <c r="Y523" s="83"/>
      <c r="Z523" s="83"/>
      <c r="AA523" s="83"/>
    </row>
    <row r="524" ht="55.5" customHeight="1">
      <c r="A524" s="79" t="s">
        <v>686</v>
      </c>
      <c r="B524" s="84"/>
      <c r="C524" s="79" t="s">
        <v>55</v>
      </c>
      <c r="D524" s="78"/>
      <c r="E524" s="79" t="s">
        <v>693</v>
      </c>
      <c r="F524" s="79" t="s">
        <v>694</v>
      </c>
      <c r="G524" s="79" t="s">
        <v>695</v>
      </c>
      <c r="H524" s="81" t="s">
        <v>10</v>
      </c>
      <c r="I524" s="82"/>
      <c r="J524" s="82"/>
      <c r="K524" s="83"/>
      <c r="L524" s="83"/>
      <c r="M524" s="83"/>
      <c r="N524" s="83"/>
      <c r="O524" s="83"/>
      <c r="P524" s="83"/>
      <c r="Q524" s="83"/>
      <c r="R524" s="83"/>
      <c r="S524" s="83"/>
      <c r="T524" s="83"/>
      <c r="U524" s="83"/>
      <c r="V524" s="83"/>
      <c r="W524" s="83"/>
      <c r="X524" s="83"/>
      <c r="Y524" s="83"/>
      <c r="Z524" s="83"/>
      <c r="AA524" s="83"/>
    </row>
    <row r="525" ht="55.5" customHeight="1">
      <c r="A525" s="79" t="s">
        <v>686</v>
      </c>
      <c r="B525" s="84"/>
      <c r="C525" s="79" t="s">
        <v>58</v>
      </c>
      <c r="D525" s="94"/>
      <c r="E525" s="79" t="s">
        <v>696</v>
      </c>
      <c r="F525" s="79" t="s">
        <v>689</v>
      </c>
      <c r="G525" s="79" t="s">
        <v>697</v>
      </c>
      <c r="H525" s="81" t="s">
        <v>10</v>
      </c>
      <c r="I525" s="82"/>
      <c r="J525" s="82"/>
      <c r="K525" s="83"/>
      <c r="L525" s="83"/>
      <c r="M525" s="83"/>
      <c r="N525" s="83"/>
      <c r="O525" s="83"/>
      <c r="P525" s="83"/>
      <c r="Q525" s="83"/>
      <c r="R525" s="83"/>
      <c r="S525" s="83"/>
      <c r="T525" s="83"/>
      <c r="U525" s="83"/>
      <c r="V525" s="83"/>
      <c r="W525" s="83"/>
      <c r="X525" s="83"/>
      <c r="Y525" s="83"/>
      <c r="Z525" s="83"/>
      <c r="AA525" s="83"/>
    </row>
    <row r="526" ht="55.5" customHeight="1">
      <c r="A526" s="79" t="s">
        <v>686</v>
      </c>
      <c r="B526" s="12"/>
      <c r="C526" s="79" t="s">
        <v>62</v>
      </c>
      <c r="D526" s="94"/>
      <c r="E526" s="79" t="s">
        <v>698</v>
      </c>
      <c r="F526" s="79" t="s">
        <v>689</v>
      </c>
      <c r="G526" s="79" t="s">
        <v>699</v>
      </c>
      <c r="H526" s="81" t="s">
        <v>10</v>
      </c>
      <c r="I526" s="82"/>
      <c r="J526" s="82"/>
      <c r="K526" s="83"/>
      <c r="L526" s="83"/>
      <c r="M526" s="83"/>
      <c r="N526" s="83"/>
      <c r="O526" s="83"/>
      <c r="P526" s="83"/>
      <c r="Q526" s="83"/>
      <c r="R526" s="83"/>
      <c r="S526" s="83"/>
      <c r="T526" s="83"/>
      <c r="U526" s="83"/>
      <c r="V526" s="83"/>
      <c r="W526" s="83"/>
      <c r="X526" s="83"/>
      <c r="Y526" s="83"/>
      <c r="Z526" s="83"/>
      <c r="AA526" s="83"/>
    </row>
    <row r="527" ht="55.5" customHeight="1">
      <c r="A527" s="79" t="s">
        <v>700</v>
      </c>
      <c r="B527" s="80" t="s">
        <v>701</v>
      </c>
      <c r="C527" s="79" t="s">
        <v>634</v>
      </c>
      <c r="D527" s="80" t="s">
        <v>702</v>
      </c>
      <c r="E527" s="79" t="s">
        <v>703</v>
      </c>
      <c r="F527" s="79" t="s">
        <v>704</v>
      </c>
      <c r="G527" s="106" t="s">
        <v>705</v>
      </c>
      <c r="H527" s="81" t="s">
        <v>10</v>
      </c>
      <c r="I527" s="82"/>
      <c r="J527" s="82"/>
      <c r="K527" s="83"/>
      <c r="L527" s="83"/>
      <c r="M527" s="83"/>
      <c r="N527" s="83"/>
      <c r="O527" s="83"/>
      <c r="P527" s="83"/>
      <c r="Q527" s="83"/>
      <c r="R527" s="83"/>
      <c r="S527" s="83"/>
      <c r="T527" s="83"/>
      <c r="U527" s="83"/>
      <c r="V527" s="83"/>
      <c r="W527" s="83"/>
      <c r="X527" s="83"/>
      <c r="Y527" s="83"/>
      <c r="Z527" s="83"/>
      <c r="AA527" s="83"/>
    </row>
    <row r="528" ht="55.5" customHeight="1">
      <c r="A528" s="79" t="s">
        <v>700</v>
      </c>
      <c r="B528" s="84"/>
      <c r="C528" s="79" t="s">
        <v>638</v>
      </c>
      <c r="D528" s="12"/>
      <c r="E528" s="79" t="s">
        <v>706</v>
      </c>
      <c r="F528" s="79" t="s">
        <v>704</v>
      </c>
      <c r="G528" s="79" t="s">
        <v>707</v>
      </c>
      <c r="H528" s="81" t="s">
        <v>10</v>
      </c>
      <c r="I528" s="82"/>
      <c r="J528" s="82"/>
      <c r="K528" s="83"/>
      <c r="L528" s="83"/>
      <c r="M528" s="83"/>
      <c r="N528" s="83"/>
      <c r="O528" s="83"/>
      <c r="P528" s="83"/>
      <c r="Q528" s="83"/>
      <c r="R528" s="83"/>
      <c r="S528" s="83"/>
      <c r="T528" s="83"/>
      <c r="U528" s="83"/>
      <c r="V528" s="83"/>
      <c r="W528" s="83"/>
      <c r="X528" s="83"/>
      <c r="Y528" s="83"/>
      <c r="Z528" s="83"/>
      <c r="AA528" s="83"/>
    </row>
    <row r="529" ht="55.5" customHeight="1">
      <c r="A529" s="79" t="s">
        <v>700</v>
      </c>
      <c r="B529" s="84"/>
      <c r="C529" s="79" t="s">
        <v>641</v>
      </c>
      <c r="D529" s="80" t="s">
        <v>708</v>
      </c>
      <c r="E529" s="79" t="s">
        <v>709</v>
      </c>
      <c r="F529" s="79" t="s">
        <v>704</v>
      </c>
      <c r="G529" s="79" t="s">
        <v>710</v>
      </c>
      <c r="H529" s="81" t="s">
        <v>10</v>
      </c>
      <c r="I529" s="82"/>
      <c r="J529" s="82"/>
      <c r="K529" s="83"/>
      <c r="L529" s="83"/>
      <c r="M529" s="83"/>
      <c r="N529" s="83"/>
      <c r="O529" s="83"/>
      <c r="P529" s="83"/>
      <c r="Q529" s="83"/>
      <c r="R529" s="83"/>
      <c r="S529" s="83"/>
      <c r="T529" s="83"/>
      <c r="U529" s="83"/>
      <c r="V529" s="83"/>
      <c r="W529" s="83"/>
      <c r="X529" s="83"/>
      <c r="Y529" s="83"/>
      <c r="Z529" s="83"/>
      <c r="AA529" s="83"/>
    </row>
    <row r="530" ht="55.5" customHeight="1">
      <c r="A530" s="79" t="s">
        <v>700</v>
      </c>
      <c r="B530" s="84"/>
      <c r="C530" s="79" t="s">
        <v>644</v>
      </c>
      <c r="D530" s="12"/>
      <c r="E530" s="79" t="s">
        <v>711</v>
      </c>
      <c r="F530" s="79" t="s">
        <v>704</v>
      </c>
      <c r="G530" s="79" t="s">
        <v>712</v>
      </c>
      <c r="H530" s="81" t="s">
        <v>10</v>
      </c>
      <c r="I530" s="82"/>
      <c r="J530" s="82"/>
      <c r="K530" s="83"/>
      <c r="L530" s="83"/>
      <c r="M530" s="83"/>
      <c r="N530" s="83"/>
      <c r="O530" s="83"/>
      <c r="P530" s="83"/>
      <c r="Q530" s="83"/>
      <c r="R530" s="83"/>
      <c r="S530" s="83"/>
      <c r="T530" s="83"/>
      <c r="U530" s="83"/>
      <c r="V530" s="83"/>
      <c r="W530" s="83"/>
      <c r="X530" s="83"/>
      <c r="Y530" s="83"/>
      <c r="Z530" s="83"/>
      <c r="AA530" s="83"/>
    </row>
    <row r="531" ht="55.5" customHeight="1">
      <c r="A531" s="79" t="s">
        <v>700</v>
      </c>
      <c r="B531" s="84"/>
      <c r="C531" s="79" t="s">
        <v>647</v>
      </c>
      <c r="D531" s="80" t="s">
        <v>713</v>
      </c>
      <c r="E531" s="79" t="s">
        <v>709</v>
      </c>
      <c r="F531" s="79" t="s">
        <v>704</v>
      </c>
      <c r="G531" s="79" t="s">
        <v>710</v>
      </c>
      <c r="H531" s="81" t="s">
        <v>10</v>
      </c>
      <c r="I531" s="85"/>
      <c r="J531" s="82"/>
      <c r="K531" s="83"/>
      <c r="L531" s="83"/>
      <c r="M531" s="83"/>
      <c r="N531" s="83"/>
      <c r="O531" s="83"/>
      <c r="P531" s="83"/>
      <c r="Q531" s="83"/>
      <c r="R531" s="83"/>
      <c r="S531" s="83"/>
      <c r="T531" s="83"/>
      <c r="U531" s="83"/>
      <c r="V531" s="83"/>
      <c r="W531" s="83"/>
      <c r="X531" s="83"/>
      <c r="Y531" s="83"/>
      <c r="Z531" s="83"/>
      <c r="AA531" s="83"/>
    </row>
    <row r="532" ht="55.5" customHeight="1">
      <c r="A532" s="79" t="s">
        <v>700</v>
      </c>
      <c r="B532" s="84"/>
      <c r="C532" s="79" t="s">
        <v>650</v>
      </c>
      <c r="D532" s="12"/>
      <c r="E532" s="79" t="s">
        <v>711</v>
      </c>
      <c r="F532" s="79" t="s">
        <v>704</v>
      </c>
      <c r="G532" s="79" t="s">
        <v>712</v>
      </c>
      <c r="H532" s="81" t="s">
        <v>10</v>
      </c>
      <c r="I532" s="85"/>
      <c r="J532" s="82"/>
      <c r="K532" s="83"/>
      <c r="L532" s="83"/>
      <c r="M532" s="83"/>
      <c r="N532" s="83"/>
      <c r="O532" s="83"/>
      <c r="P532" s="83"/>
      <c r="Q532" s="83"/>
      <c r="R532" s="83"/>
      <c r="S532" s="83"/>
      <c r="T532" s="83"/>
      <c r="U532" s="83"/>
      <c r="V532" s="83"/>
      <c r="W532" s="83"/>
      <c r="X532" s="83"/>
      <c r="Y532" s="83"/>
      <c r="Z532" s="83"/>
      <c r="AA532" s="83"/>
    </row>
    <row r="533" ht="55.5" customHeight="1">
      <c r="A533" s="79" t="s">
        <v>700</v>
      </c>
      <c r="B533" s="84"/>
      <c r="C533" s="79" t="s">
        <v>653</v>
      </c>
      <c r="D533" s="80" t="s">
        <v>714</v>
      </c>
      <c r="E533" s="79" t="s">
        <v>709</v>
      </c>
      <c r="F533" s="79" t="s">
        <v>704</v>
      </c>
      <c r="G533" s="79" t="s">
        <v>715</v>
      </c>
      <c r="H533" s="81" t="s">
        <v>10</v>
      </c>
      <c r="I533" s="82"/>
      <c r="J533" s="82"/>
      <c r="K533" s="83"/>
      <c r="L533" s="83"/>
      <c r="M533" s="83"/>
      <c r="N533" s="83"/>
      <c r="O533" s="83"/>
      <c r="P533" s="83"/>
      <c r="Q533" s="83"/>
      <c r="R533" s="83"/>
      <c r="S533" s="83"/>
      <c r="T533" s="83"/>
      <c r="U533" s="83"/>
      <c r="V533" s="83"/>
      <c r="W533" s="83"/>
      <c r="X533" s="83"/>
      <c r="Y533" s="83"/>
      <c r="Z533" s="83"/>
      <c r="AA533" s="83"/>
    </row>
    <row r="534" ht="55.5" customHeight="1">
      <c r="A534" s="79" t="s">
        <v>700</v>
      </c>
      <c r="B534" s="84"/>
      <c r="C534" s="79" t="s">
        <v>654</v>
      </c>
      <c r="D534" s="12"/>
      <c r="E534" s="79" t="s">
        <v>711</v>
      </c>
      <c r="F534" s="79" t="s">
        <v>704</v>
      </c>
      <c r="G534" s="79" t="s">
        <v>712</v>
      </c>
      <c r="H534" s="81" t="s">
        <v>10</v>
      </c>
      <c r="I534" s="82"/>
      <c r="J534" s="82"/>
      <c r="K534" s="83"/>
      <c r="L534" s="83"/>
      <c r="M534" s="83"/>
      <c r="N534" s="83"/>
      <c r="O534" s="83"/>
      <c r="P534" s="83"/>
      <c r="Q534" s="83"/>
      <c r="R534" s="83"/>
      <c r="S534" s="83"/>
      <c r="T534" s="83"/>
      <c r="U534" s="83"/>
      <c r="V534" s="83"/>
      <c r="W534" s="83"/>
      <c r="X534" s="83"/>
      <c r="Y534" s="83"/>
      <c r="Z534" s="83"/>
      <c r="AA534" s="83"/>
    </row>
    <row r="535" ht="55.5" customHeight="1">
      <c r="A535" s="79" t="s">
        <v>700</v>
      </c>
      <c r="B535" s="84"/>
      <c r="C535" s="79" t="s">
        <v>655</v>
      </c>
      <c r="D535" s="80" t="s">
        <v>716</v>
      </c>
      <c r="E535" s="79" t="s">
        <v>709</v>
      </c>
      <c r="F535" s="79" t="s">
        <v>717</v>
      </c>
      <c r="G535" s="79" t="s">
        <v>718</v>
      </c>
      <c r="H535" s="81" t="s">
        <v>10</v>
      </c>
      <c r="I535" s="82"/>
      <c r="J535" s="82"/>
      <c r="K535" s="83"/>
      <c r="L535" s="83"/>
      <c r="M535" s="83"/>
      <c r="N535" s="83"/>
      <c r="O535" s="83"/>
      <c r="P535" s="83"/>
      <c r="Q535" s="83"/>
      <c r="R535" s="83"/>
      <c r="S535" s="83"/>
      <c r="T535" s="83"/>
      <c r="U535" s="83"/>
      <c r="V535" s="83"/>
      <c r="W535" s="83"/>
      <c r="X535" s="83"/>
      <c r="Y535" s="83"/>
      <c r="Z535" s="83"/>
      <c r="AA535" s="83"/>
    </row>
    <row r="536" ht="55.5" customHeight="1">
      <c r="A536" s="79" t="s">
        <v>700</v>
      </c>
      <c r="B536" s="84"/>
      <c r="C536" s="79" t="s">
        <v>657</v>
      </c>
      <c r="D536" s="12"/>
      <c r="E536" s="79" t="s">
        <v>711</v>
      </c>
      <c r="F536" s="79" t="s">
        <v>717</v>
      </c>
      <c r="G536" s="79" t="s">
        <v>718</v>
      </c>
      <c r="H536" s="81" t="s">
        <v>10</v>
      </c>
      <c r="I536" s="82"/>
      <c r="J536" s="82"/>
      <c r="K536" s="83"/>
      <c r="L536" s="83"/>
      <c r="M536" s="83"/>
      <c r="N536" s="83"/>
      <c r="O536" s="83"/>
      <c r="P536" s="83"/>
      <c r="Q536" s="83"/>
      <c r="R536" s="83"/>
      <c r="S536" s="83"/>
      <c r="T536" s="83"/>
      <c r="U536" s="83"/>
      <c r="V536" s="83"/>
      <c r="W536" s="83"/>
      <c r="X536" s="83"/>
      <c r="Y536" s="83"/>
      <c r="Z536" s="83"/>
      <c r="AA536" s="83"/>
    </row>
    <row r="537" ht="55.5" customHeight="1">
      <c r="A537" s="79" t="s">
        <v>700</v>
      </c>
      <c r="B537" s="84"/>
      <c r="C537" s="79" t="s">
        <v>658</v>
      </c>
      <c r="D537" s="80" t="s">
        <v>719</v>
      </c>
      <c r="E537" s="79" t="s">
        <v>709</v>
      </c>
      <c r="F537" s="79" t="s">
        <v>717</v>
      </c>
      <c r="G537" s="79" t="s">
        <v>718</v>
      </c>
      <c r="H537" s="81" t="s">
        <v>10</v>
      </c>
      <c r="I537" s="82"/>
      <c r="J537" s="82"/>
      <c r="K537" s="83"/>
      <c r="L537" s="83"/>
      <c r="M537" s="83"/>
      <c r="N537" s="83"/>
      <c r="O537" s="83"/>
      <c r="P537" s="83"/>
      <c r="Q537" s="83"/>
      <c r="R537" s="83"/>
      <c r="S537" s="83"/>
      <c r="T537" s="83"/>
      <c r="U537" s="83"/>
      <c r="V537" s="83"/>
      <c r="W537" s="83"/>
      <c r="X537" s="83"/>
      <c r="Y537" s="83"/>
      <c r="Z537" s="83"/>
      <c r="AA537" s="83"/>
    </row>
    <row r="538" ht="55.5" customHeight="1">
      <c r="A538" s="79" t="s">
        <v>700</v>
      </c>
      <c r="B538" s="12"/>
      <c r="C538" s="79" t="s">
        <v>659</v>
      </c>
      <c r="D538" s="12"/>
      <c r="E538" s="79" t="s">
        <v>711</v>
      </c>
      <c r="F538" s="79" t="s">
        <v>717</v>
      </c>
      <c r="G538" s="79" t="s">
        <v>718</v>
      </c>
      <c r="H538" s="81" t="s">
        <v>10</v>
      </c>
      <c r="I538" s="82"/>
      <c r="J538" s="82"/>
      <c r="K538" s="83"/>
      <c r="L538" s="83"/>
      <c r="M538" s="83"/>
      <c r="N538" s="83"/>
      <c r="O538" s="83"/>
      <c r="P538" s="83"/>
      <c r="Q538" s="83"/>
      <c r="R538" s="83"/>
      <c r="S538" s="83"/>
      <c r="T538" s="83"/>
      <c r="U538" s="83"/>
      <c r="V538" s="83"/>
      <c r="W538" s="83"/>
      <c r="X538" s="83"/>
      <c r="Y538" s="83"/>
      <c r="Z538" s="83"/>
      <c r="AA538" s="83"/>
    </row>
    <row r="539" ht="55.5" customHeight="1">
      <c r="A539" s="79" t="s">
        <v>720</v>
      </c>
      <c r="B539" s="80" t="s">
        <v>721</v>
      </c>
      <c r="C539" s="79" t="s">
        <v>47</v>
      </c>
      <c r="D539" s="80" t="s">
        <v>489</v>
      </c>
      <c r="E539" s="79" t="s">
        <v>493</v>
      </c>
      <c r="F539" s="79" t="s">
        <v>491</v>
      </c>
      <c r="G539" s="79" t="s">
        <v>722</v>
      </c>
      <c r="H539" s="81" t="s">
        <v>10</v>
      </c>
      <c r="I539" s="82"/>
      <c r="J539" s="82"/>
      <c r="K539" s="83"/>
      <c r="L539" s="83"/>
      <c r="M539" s="83"/>
      <c r="N539" s="83"/>
      <c r="O539" s="83"/>
      <c r="P539" s="83"/>
      <c r="Q539" s="83"/>
      <c r="R539" s="83"/>
      <c r="S539" s="83"/>
      <c r="T539" s="83"/>
      <c r="U539" s="83"/>
      <c r="V539" s="83"/>
      <c r="W539" s="83"/>
      <c r="X539" s="83"/>
      <c r="Y539" s="83"/>
      <c r="Z539" s="83"/>
      <c r="AA539" s="83"/>
    </row>
    <row r="540" ht="55.5" customHeight="1">
      <c r="A540" s="79" t="s">
        <v>720</v>
      </c>
      <c r="B540" s="84"/>
      <c r="C540" s="79" t="s">
        <v>52</v>
      </c>
      <c r="D540" s="84"/>
      <c r="E540" s="79" t="s">
        <v>495</v>
      </c>
      <c r="F540" s="79" t="s">
        <v>491</v>
      </c>
      <c r="G540" s="79" t="s">
        <v>722</v>
      </c>
      <c r="H540" s="81" t="s">
        <v>10</v>
      </c>
      <c r="I540" s="82"/>
      <c r="J540" s="82"/>
      <c r="K540" s="83"/>
      <c r="L540" s="83"/>
      <c r="M540" s="83"/>
      <c r="N540" s="83"/>
      <c r="O540" s="83"/>
      <c r="P540" s="83"/>
      <c r="Q540" s="83"/>
      <c r="R540" s="83"/>
      <c r="S540" s="83"/>
      <c r="T540" s="83"/>
      <c r="U540" s="83"/>
      <c r="V540" s="83"/>
      <c r="W540" s="83"/>
      <c r="X540" s="83"/>
      <c r="Y540" s="83"/>
      <c r="Z540" s="83"/>
      <c r="AA540" s="83"/>
    </row>
    <row r="541" ht="55.5" customHeight="1">
      <c r="A541" s="79" t="s">
        <v>720</v>
      </c>
      <c r="B541" s="84"/>
      <c r="C541" s="79" t="s">
        <v>55</v>
      </c>
      <c r="D541" s="12"/>
      <c r="E541" s="79" t="s">
        <v>496</v>
      </c>
      <c r="F541" s="79" t="s">
        <v>491</v>
      </c>
      <c r="G541" s="79" t="s">
        <v>722</v>
      </c>
      <c r="H541" s="81" t="s">
        <v>10</v>
      </c>
      <c r="I541" s="82"/>
      <c r="J541" s="82"/>
      <c r="K541" s="83"/>
      <c r="L541" s="83"/>
      <c r="M541" s="83"/>
      <c r="N541" s="83"/>
      <c r="O541" s="83"/>
      <c r="P541" s="83"/>
      <c r="Q541" s="83"/>
      <c r="R541" s="83"/>
      <c r="S541" s="83"/>
      <c r="T541" s="83"/>
      <c r="U541" s="83"/>
      <c r="V541" s="83"/>
      <c r="W541" s="83"/>
      <c r="X541" s="83"/>
      <c r="Y541" s="83"/>
      <c r="Z541" s="83"/>
      <c r="AA541" s="83"/>
    </row>
    <row r="542" ht="55.5" customHeight="1">
      <c r="A542" s="79" t="s">
        <v>720</v>
      </c>
      <c r="B542" s="84"/>
      <c r="C542" s="79" t="s">
        <v>58</v>
      </c>
      <c r="D542" s="80" t="s">
        <v>723</v>
      </c>
      <c r="E542" s="79" t="s">
        <v>724</v>
      </c>
      <c r="F542" s="79" t="s">
        <v>725</v>
      </c>
      <c r="G542" s="79" t="s">
        <v>726</v>
      </c>
      <c r="H542" s="81" t="s">
        <v>10</v>
      </c>
      <c r="I542" s="82"/>
      <c r="J542" s="82"/>
      <c r="K542" s="83"/>
      <c r="L542" s="83"/>
      <c r="M542" s="83"/>
      <c r="N542" s="83"/>
      <c r="O542" s="83"/>
      <c r="P542" s="83"/>
      <c r="Q542" s="83"/>
      <c r="R542" s="83"/>
      <c r="S542" s="83"/>
      <c r="T542" s="83"/>
      <c r="U542" s="83"/>
      <c r="V542" s="83"/>
      <c r="W542" s="83"/>
      <c r="X542" s="83"/>
      <c r="Y542" s="83"/>
      <c r="Z542" s="83"/>
      <c r="AA542" s="83"/>
    </row>
    <row r="543" ht="55.5" customHeight="1">
      <c r="A543" s="79" t="s">
        <v>720</v>
      </c>
      <c r="B543" s="84"/>
      <c r="C543" s="79" t="s">
        <v>62</v>
      </c>
      <c r="D543" s="84"/>
      <c r="E543" s="79" t="s">
        <v>727</v>
      </c>
      <c r="F543" s="79" t="s">
        <v>725</v>
      </c>
      <c r="G543" s="106" t="s">
        <v>728</v>
      </c>
      <c r="H543" s="81" t="s">
        <v>10</v>
      </c>
      <c r="I543" s="82"/>
      <c r="J543" s="82"/>
      <c r="K543" s="83"/>
      <c r="L543" s="83"/>
      <c r="M543" s="83"/>
      <c r="N543" s="83"/>
      <c r="O543" s="83"/>
      <c r="P543" s="83"/>
      <c r="Q543" s="83"/>
      <c r="R543" s="83"/>
      <c r="S543" s="83"/>
      <c r="T543" s="83"/>
      <c r="U543" s="83"/>
      <c r="V543" s="83"/>
      <c r="W543" s="83"/>
      <c r="X543" s="83"/>
      <c r="Y543" s="83"/>
      <c r="Z543" s="83"/>
      <c r="AA543" s="83"/>
    </row>
    <row r="544" ht="55.5" customHeight="1">
      <c r="A544" s="79" t="s">
        <v>720</v>
      </c>
      <c r="B544" s="84"/>
      <c r="C544" s="79" t="s">
        <v>64</v>
      </c>
      <c r="D544" s="84"/>
      <c r="E544" s="79" t="s">
        <v>517</v>
      </c>
      <c r="F544" s="79" t="s">
        <v>729</v>
      </c>
      <c r="G544" s="79" t="s">
        <v>726</v>
      </c>
      <c r="H544" s="81" t="s">
        <v>10</v>
      </c>
      <c r="I544" s="82"/>
      <c r="J544" s="82"/>
      <c r="K544" s="83"/>
      <c r="L544" s="83"/>
      <c r="M544" s="83"/>
      <c r="N544" s="83"/>
      <c r="O544" s="83"/>
      <c r="P544" s="83"/>
      <c r="Q544" s="83"/>
      <c r="R544" s="83"/>
      <c r="S544" s="83"/>
      <c r="T544" s="83"/>
      <c r="U544" s="83"/>
      <c r="V544" s="83"/>
      <c r="W544" s="83"/>
      <c r="X544" s="83"/>
      <c r="Y544" s="83"/>
      <c r="Z544" s="83"/>
      <c r="AA544" s="83"/>
    </row>
    <row r="545" ht="55.5" customHeight="1">
      <c r="A545" s="79" t="s">
        <v>720</v>
      </c>
      <c r="B545" s="84"/>
      <c r="C545" s="79" t="s">
        <v>69</v>
      </c>
      <c r="D545" s="84"/>
      <c r="E545" s="79" t="s">
        <v>519</v>
      </c>
      <c r="F545" s="79" t="s">
        <v>730</v>
      </c>
      <c r="G545" s="79" t="s">
        <v>726</v>
      </c>
      <c r="H545" s="81" t="s">
        <v>10</v>
      </c>
      <c r="I545" s="82"/>
      <c r="J545" s="82"/>
      <c r="K545" s="83"/>
      <c r="L545" s="83"/>
      <c r="M545" s="83"/>
      <c r="N545" s="83"/>
      <c r="O545" s="83"/>
      <c r="P545" s="83"/>
      <c r="Q545" s="83"/>
      <c r="R545" s="83"/>
      <c r="S545" s="83"/>
      <c r="T545" s="83"/>
      <c r="U545" s="83"/>
      <c r="V545" s="83"/>
      <c r="W545" s="83"/>
      <c r="X545" s="83"/>
      <c r="Y545" s="83"/>
      <c r="Z545" s="83"/>
      <c r="AA545" s="83"/>
    </row>
    <row r="546" ht="55.5" customHeight="1">
      <c r="A546" s="79" t="s">
        <v>720</v>
      </c>
      <c r="B546" s="84"/>
      <c r="C546" s="79" t="s">
        <v>72</v>
      </c>
      <c r="D546" s="84"/>
      <c r="E546" s="79" t="s">
        <v>731</v>
      </c>
      <c r="F546" s="79" t="s">
        <v>729</v>
      </c>
      <c r="G546" s="79" t="s">
        <v>732</v>
      </c>
      <c r="H546" s="81" t="s">
        <v>10</v>
      </c>
      <c r="I546" s="82"/>
      <c r="J546" s="82"/>
      <c r="K546" s="83"/>
      <c r="L546" s="83"/>
      <c r="M546" s="83"/>
      <c r="N546" s="83"/>
      <c r="O546" s="83"/>
      <c r="P546" s="83"/>
      <c r="Q546" s="83"/>
      <c r="R546" s="83"/>
      <c r="S546" s="83"/>
      <c r="T546" s="83"/>
      <c r="U546" s="83"/>
      <c r="V546" s="83"/>
      <c r="W546" s="83"/>
      <c r="X546" s="83"/>
      <c r="Y546" s="83"/>
      <c r="Z546" s="83"/>
      <c r="AA546" s="83"/>
    </row>
    <row r="547" ht="55.5" customHeight="1">
      <c r="A547" s="79" t="s">
        <v>720</v>
      </c>
      <c r="B547" s="84"/>
      <c r="C547" s="79" t="s">
        <v>75</v>
      </c>
      <c r="D547" s="12"/>
      <c r="E547" s="79" t="s">
        <v>733</v>
      </c>
      <c r="F547" s="79" t="s">
        <v>730</v>
      </c>
      <c r="G547" s="79" t="s">
        <v>732</v>
      </c>
      <c r="H547" s="81" t="s">
        <v>10</v>
      </c>
      <c r="I547" s="85"/>
      <c r="J547" s="82"/>
      <c r="K547" s="83"/>
      <c r="L547" s="83"/>
      <c r="M547" s="83"/>
      <c r="N547" s="83"/>
      <c r="O547" s="83"/>
      <c r="P547" s="83"/>
      <c r="Q547" s="83"/>
      <c r="R547" s="83"/>
      <c r="S547" s="83"/>
      <c r="T547" s="83"/>
      <c r="U547" s="83"/>
      <c r="V547" s="83"/>
      <c r="W547" s="83"/>
      <c r="X547" s="83"/>
      <c r="Y547" s="83"/>
      <c r="Z547" s="83"/>
      <c r="AA547" s="83"/>
    </row>
    <row r="548" ht="55.5" customHeight="1">
      <c r="A548" s="79" t="s">
        <v>720</v>
      </c>
      <c r="B548" s="84"/>
      <c r="C548" s="79" t="s">
        <v>79</v>
      </c>
      <c r="D548" s="80" t="s">
        <v>734</v>
      </c>
      <c r="E548" s="79" t="s">
        <v>735</v>
      </c>
      <c r="F548" s="79" t="s">
        <v>725</v>
      </c>
      <c r="G548" s="79" t="s">
        <v>736</v>
      </c>
      <c r="H548" s="81" t="s">
        <v>10</v>
      </c>
      <c r="I548" s="82"/>
      <c r="J548" s="82"/>
      <c r="K548" s="83"/>
      <c r="L548" s="83"/>
      <c r="M548" s="83"/>
      <c r="N548" s="83"/>
      <c r="O548" s="83"/>
      <c r="P548" s="83"/>
      <c r="Q548" s="83"/>
      <c r="R548" s="83"/>
      <c r="S548" s="83"/>
      <c r="T548" s="83"/>
      <c r="U548" s="83"/>
      <c r="V548" s="83"/>
      <c r="W548" s="83"/>
      <c r="X548" s="83"/>
      <c r="Y548" s="83"/>
      <c r="Z548" s="83"/>
      <c r="AA548" s="83"/>
    </row>
    <row r="549" ht="55.5" customHeight="1">
      <c r="A549" s="79" t="s">
        <v>720</v>
      </c>
      <c r="B549" s="84"/>
      <c r="C549" s="79" t="s">
        <v>83</v>
      </c>
      <c r="D549" s="84"/>
      <c r="E549" s="79" t="s">
        <v>737</v>
      </c>
      <c r="F549" s="79" t="s">
        <v>725</v>
      </c>
      <c r="G549" s="106" t="s">
        <v>738</v>
      </c>
      <c r="H549" s="81" t="s">
        <v>10</v>
      </c>
      <c r="I549" s="82"/>
      <c r="J549" s="82"/>
      <c r="K549" s="83"/>
      <c r="L549" s="83"/>
      <c r="M549" s="83"/>
      <c r="N549" s="83"/>
      <c r="O549" s="83"/>
      <c r="P549" s="83"/>
      <c r="Q549" s="83"/>
      <c r="R549" s="83"/>
      <c r="S549" s="83"/>
      <c r="T549" s="83"/>
      <c r="U549" s="83"/>
      <c r="V549" s="83"/>
      <c r="W549" s="83"/>
      <c r="X549" s="83"/>
      <c r="Y549" s="83"/>
      <c r="Z549" s="83"/>
      <c r="AA549" s="83"/>
    </row>
    <row r="550" ht="55.5" customHeight="1">
      <c r="A550" s="79" t="s">
        <v>720</v>
      </c>
      <c r="B550" s="84"/>
      <c r="C550" s="79" t="s">
        <v>86</v>
      </c>
      <c r="D550" s="84"/>
      <c r="E550" s="79" t="s">
        <v>739</v>
      </c>
      <c r="F550" s="79" t="s">
        <v>729</v>
      </c>
      <c r="G550" s="79" t="s">
        <v>736</v>
      </c>
      <c r="H550" s="81" t="s">
        <v>10</v>
      </c>
      <c r="I550" s="82"/>
      <c r="J550" s="82"/>
      <c r="K550" s="83"/>
      <c r="L550" s="83"/>
      <c r="M550" s="83"/>
      <c r="N550" s="83"/>
      <c r="O550" s="83"/>
      <c r="P550" s="83"/>
      <c r="Q550" s="83"/>
      <c r="R550" s="83"/>
      <c r="S550" s="83"/>
      <c r="T550" s="83"/>
      <c r="U550" s="83"/>
      <c r="V550" s="83"/>
      <c r="W550" s="83"/>
      <c r="X550" s="83"/>
      <c r="Y550" s="83"/>
      <c r="Z550" s="83"/>
      <c r="AA550" s="83"/>
    </row>
    <row r="551" ht="55.5" customHeight="1">
      <c r="A551" s="79" t="s">
        <v>720</v>
      </c>
      <c r="B551" s="84"/>
      <c r="C551" s="79" t="s">
        <v>88</v>
      </c>
      <c r="D551" s="84"/>
      <c r="E551" s="79" t="s">
        <v>740</v>
      </c>
      <c r="F551" s="79" t="s">
        <v>730</v>
      </c>
      <c r="G551" s="79" t="s">
        <v>736</v>
      </c>
      <c r="H551" s="81" t="s">
        <v>10</v>
      </c>
      <c r="I551" s="82"/>
      <c r="J551" s="82"/>
      <c r="K551" s="83"/>
      <c r="L551" s="83"/>
      <c r="M551" s="83"/>
      <c r="N551" s="83"/>
      <c r="O551" s="83"/>
      <c r="P551" s="83"/>
      <c r="Q551" s="83"/>
      <c r="R551" s="83"/>
      <c r="S551" s="83"/>
      <c r="T551" s="83"/>
      <c r="U551" s="83"/>
      <c r="V551" s="83"/>
      <c r="W551" s="83"/>
      <c r="X551" s="83"/>
      <c r="Y551" s="83"/>
      <c r="Z551" s="83"/>
      <c r="AA551" s="83"/>
    </row>
    <row r="552" ht="55.5" customHeight="1">
      <c r="A552" s="79" t="s">
        <v>720</v>
      </c>
      <c r="B552" s="84"/>
      <c r="C552" s="79" t="s">
        <v>91</v>
      </c>
      <c r="D552" s="84"/>
      <c r="E552" s="79" t="s">
        <v>741</v>
      </c>
      <c r="F552" s="79" t="s">
        <v>729</v>
      </c>
      <c r="G552" s="79" t="s">
        <v>742</v>
      </c>
      <c r="H552" s="81" t="s">
        <v>10</v>
      </c>
      <c r="I552" s="85"/>
      <c r="J552" s="82"/>
      <c r="K552" s="83"/>
      <c r="L552" s="83"/>
      <c r="M552" s="83"/>
      <c r="N552" s="83"/>
      <c r="O552" s="83"/>
      <c r="P552" s="83"/>
      <c r="Q552" s="83"/>
      <c r="R552" s="83"/>
      <c r="S552" s="83"/>
      <c r="T552" s="83"/>
      <c r="U552" s="83"/>
      <c r="V552" s="83"/>
      <c r="W552" s="83"/>
      <c r="X552" s="83"/>
      <c r="Y552" s="83"/>
      <c r="Z552" s="83"/>
      <c r="AA552" s="83"/>
    </row>
    <row r="553" ht="55.5" customHeight="1">
      <c r="A553" s="79" t="s">
        <v>720</v>
      </c>
      <c r="B553" s="84"/>
      <c r="C553" s="79" t="s">
        <v>94</v>
      </c>
      <c r="D553" s="84"/>
      <c r="E553" s="79" t="s">
        <v>743</v>
      </c>
      <c r="F553" s="79" t="s">
        <v>730</v>
      </c>
      <c r="G553" s="79" t="s">
        <v>742</v>
      </c>
      <c r="H553" s="81" t="s">
        <v>10</v>
      </c>
      <c r="I553" s="82"/>
      <c r="J553" s="82"/>
      <c r="K553" s="83"/>
      <c r="L553" s="83"/>
      <c r="M553" s="83"/>
      <c r="N553" s="83"/>
      <c r="O553" s="83"/>
      <c r="P553" s="83"/>
      <c r="Q553" s="83"/>
      <c r="R553" s="83"/>
      <c r="S553" s="83"/>
      <c r="T553" s="83"/>
      <c r="U553" s="83"/>
      <c r="V553" s="83"/>
      <c r="W553" s="83"/>
      <c r="X553" s="83"/>
      <c r="Y553" s="83"/>
      <c r="Z553" s="83"/>
      <c r="AA553" s="83"/>
    </row>
    <row r="554" ht="55.5" customHeight="1">
      <c r="A554" s="79" t="s">
        <v>720</v>
      </c>
      <c r="B554" s="84"/>
      <c r="C554" s="79" t="s">
        <v>96</v>
      </c>
      <c r="D554" s="12"/>
      <c r="E554" s="79" t="s">
        <v>744</v>
      </c>
      <c r="F554" s="79" t="s">
        <v>730</v>
      </c>
      <c r="G554" s="106" t="s">
        <v>745</v>
      </c>
      <c r="H554" s="81" t="s">
        <v>10</v>
      </c>
      <c r="I554" s="82"/>
      <c r="J554" s="82"/>
      <c r="K554" s="83"/>
      <c r="L554" s="83"/>
      <c r="M554" s="83"/>
      <c r="N554" s="83"/>
      <c r="O554" s="83"/>
      <c r="P554" s="83"/>
      <c r="Q554" s="83"/>
      <c r="R554" s="83"/>
      <c r="S554" s="83"/>
      <c r="T554" s="83"/>
      <c r="U554" s="83"/>
      <c r="V554" s="83"/>
      <c r="W554" s="83"/>
      <c r="X554" s="83"/>
      <c r="Y554" s="83"/>
      <c r="Z554" s="83"/>
      <c r="AA554" s="83"/>
    </row>
    <row r="555" ht="55.5" customHeight="1">
      <c r="A555" s="79" t="s">
        <v>720</v>
      </c>
      <c r="B555" s="84"/>
      <c r="C555" s="79" t="s">
        <v>98</v>
      </c>
      <c r="D555" s="80" t="s">
        <v>746</v>
      </c>
      <c r="E555" s="79" t="s">
        <v>747</v>
      </c>
      <c r="F555" s="79" t="s">
        <v>730</v>
      </c>
      <c r="G555" s="79" t="s">
        <v>748</v>
      </c>
      <c r="H555" s="81" t="s">
        <v>10</v>
      </c>
      <c r="I555" s="82"/>
      <c r="J555" s="82"/>
      <c r="K555" s="83"/>
      <c r="L555" s="83"/>
      <c r="M555" s="83"/>
      <c r="N555" s="83"/>
      <c r="O555" s="83"/>
      <c r="P555" s="83"/>
      <c r="Q555" s="83"/>
      <c r="R555" s="83"/>
      <c r="S555" s="83"/>
      <c r="T555" s="83"/>
      <c r="U555" s="83"/>
      <c r="V555" s="83"/>
      <c r="W555" s="83"/>
      <c r="X555" s="83"/>
      <c r="Y555" s="83"/>
      <c r="Z555" s="83"/>
      <c r="AA555" s="83"/>
    </row>
    <row r="556" ht="55.5" customHeight="1">
      <c r="A556" s="79" t="s">
        <v>720</v>
      </c>
      <c r="B556" s="84"/>
      <c r="C556" s="79" t="s">
        <v>102</v>
      </c>
      <c r="D556" s="12"/>
      <c r="E556" s="79" t="s">
        <v>749</v>
      </c>
      <c r="F556" s="79" t="s">
        <v>730</v>
      </c>
      <c r="G556" s="106" t="s">
        <v>750</v>
      </c>
      <c r="H556" s="81" t="s">
        <v>10</v>
      </c>
      <c r="I556" s="82"/>
      <c r="J556" s="82"/>
      <c r="K556" s="83"/>
      <c r="L556" s="83"/>
      <c r="M556" s="83"/>
      <c r="N556" s="83"/>
      <c r="O556" s="83"/>
      <c r="P556" s="83"/>
      <c r="Q556" s="83"/>
      <c r="R556" s="83"/>
      <c r="S556" s="83"/>
      <c r="T556" s="83"/>
      <c r="U556" s="83"/>
      <c r="V556" s="83"/>
      <c r="W556" s="83"/>
      <c r="X556" s="83"/>
      <c r="Y556" s="83"/>
      <c r="Z556" s="83"/>
      <c r="AA556" s="83"/>
    </row>
    <row r="557" ht="55.5" customHeight="1">
      <c r="A557" s="79" t="s">
        <v>720</v>
      </c>
      <c r="B557" s="84"/>
      <c r="C557" s="79" t="s">
        <v>105</v>
      </c>
      <c r="D557" s="78"/>
      <c r="E557" s="79" t="s">
        <v>751</v>
      </c>
      <c r="F557" s="79" t="s">
        <v>730</v>
      </c>
      <c r="G557" s="79" t="s">
        <v>752</v>
      </c>
      <c r="H557" s="81" t="s">
        <v>10</v>
      </c>
      <c r="I557" s="82"/>
      <c r="J557" s="82"/>
      <c r="K557" s="83"/>
      <c r="L557" s="83"/>
      <c r="M557" s="83"/>
      <c r="N557" s="83"/>
      <c r="O557" s="83"/>
      <c r="P557" s="83"/>
      <c r="Q557" s="83"/>
      <c r="R557" s="83"/>
      <c r="S557" s="83"/>
      <c r="T557" s="83"/>
      <c r="U557" s="83"/>
      <c r="V557" s="83"/>
      <c r="W557" s="83"/>
      <c r="X557" s="83"/>
      <c r="Y557" s="83"/>
      <c r="Z557" s="83"/>
      <c r="AA557" s="83"/>
    </row>
    <row r="558" ht="55.5" customHeight="1">
      <c r="A558" s="79" t="s">
        <v>720</v>
      </c>
      <c r="B558" s="84"/>
      <c r="C558" s="79" t="s">
        <v>107</v>
      </c>
      <c r="D558" s="94"/>
      <c r="E558" s="79" t="s">
        <v>753</v>
      </c>
      <c r="F558" s="79" t="s">
        <v>730</v>
      </c>
      <c r="G558" s="79" t="s">
        <v>754</v>
      </c>
      <c r="H558" s="81" t="s">
        <v>10</v>
      </c>
      <c r="I558" s="82"/>
      <c r="J558" s="82"/>
      <c r="K558" s="83"/>
      <c r="L558" s="83"/>
      <c r="M558" s="83"/>
      <c r="N558" s="83"/>
      <c r="O558" s="83"/>
      <c r="P558" s="83"/>
      <c r="Q558" s="83"/>
      <c r="R558" s="83"/>
      <c r="S558" s="83"/>
      <c r="T558" s="83"/>
      <c r="U558" s="83"/>
      <c r="V558" s="83"/>
      <c r="W558" s="83"/>
      <c r="X558" s="83"/>
      <c r="Y558" s="83"/>
      <c r="Z558" s="83"/>
      <c r="AA558" s="83"/>
    </row>
    <row r="559" ht="55.5" customHeight="1">
      <c r="A559" s="79" t="s">
        <v>720</v>
      </c>
      <c r="B559" s="84"/>
      <c r="C559" s="79" t="s">
        <v>109</v>
      </c>
      <c r="D559" s="94"/>
      <c r="E559" s="79" t="s">
        <v>755</v>
      </c>
      <c r="F559" s="79" t="s">
        <v>730</v>
      </c>
      <c r="G559" s="79" t="s">
        <v>756</v>
      </c>
      <c r="H559" s="81" t="s">
        <v>10</v>
      </c>
      <c r="I559" s="82"/>
      <c r="J559" s="82"/>
      <c r="K559" s="83"/>
      <c r="L559" s="83"/>
      <c r="M559" s="83"/>
      <c r="N559" s="83"/>
      <c r="O559" s="83"/>
      <c r="P559" s="83"/>
      <c r="Q559" s="83"/>
      <c r="R559" s="83"/>
      <c r="S559" s="83"/>
      <c r="T559" s="83"/>
      <c r="U559" s="83"/>
      <c r="V559" s="83"/>
      <c r="W559" s="83"/>
      <c r="X559" s="83"/>
      <c r="Y559" s="83"/>
      <c r="Z559" s="83"/>
      <c r="AA559" s="83"/>
    </row>
    <row r="560" ht="55.5" customHeight="1">
      <c r="A560" s="79" t="s">
        <v>720</v>
      </c>
      <c r="B560" s="84"/>
      <c r="C560" s="79" t="s">
        <v>111</v>
      </c>
      <c r="D560" s="80" t="s">
        <v>99</v>
      </c>
      <c r="E560" s="79" t="s">
        <v>100</v>
      </c>
      <c r="F560" s="79" t="s">
        <v>725</v>
      </c>
      <c r="G560" s="79" t="s">
        <v>359</v>
      </c>
      <c r="H560" s="81" t="s">
        <v>10</v>
      </c>
      <c r="I560" s="82"/>
      <c r="J560" s="82"/>
      <c r="K560" s="83"/>
      <c r="L560" s="83"/>
      <c r="M560" s="83"/>
      <c r="N560" s="83"/>
      <c r="O560" s="83"/>
      <c r="P560" s="83"/>
      <c r="Q560" s="83"/>
      <c r="R560" s="83"/>
      <c r="S560" s="83"/>
      <c r="T560" s="83"/>
      <c r="U560" s="83"/>
      <c r="V560" s="83"/>
      <c r="W560" s="83"/>
      <c r="X560" s="83"/>
      <c r="Y560" s="83"/>
      <c r="Z560" s="83"/>
      <c r="AA560" s="83"/>
    </row>
    <row r="561" ht="55.5" customHeight="1">
      <c r="A561" s="79" t="s">
        <v>720</v>
      </c>
      <c r="B561" s="84"/>
      <c r="C561" s="79" t="s">
        <v>113</v>
      </c>
      <c r="D561" s="84"/>
      <c r="E561" s="79" t="s">
        <v>757</v>
      </c>
      <c r="F561" s="79" t="s">
        <v>725</v>
      </c>
      <c r="G561" s="79" t="s">
        <v>361</v>
      </c>
      <c r="H561" s="81" t="s">
        <v>10</v>
      </c>
      <c r="I561" s="82"/>
      <c r="J561" s="82"/>
      <c r="K561" s="83"/>
      <c r="L561" s="83"/>
      <c r="M561" s="83"/>
      <c r="N561" s="83"/>
      <c r="O561" s="83"/>
      <c r="P561" s="83"/>
      <c r="Q561" s="83"/>
      <c r="R561" s="83"/>
      <c r="S561" s="83"/>
      <c r="T561" s="83"/>
      <c r="U561" s="83"/>
      <c r="V561" s="83"/>
      <c r="W561" s="83"/>
      <c r="X561" s="83"/>
      <c r="Y561" s="83"/>
      <c r="Z561" s="83"/>
      <c r="AA561" s="83"/>
    </row>
    <row r="562" ht="55.5" customHeight="1">
      <c r="A562" s="79" t="s">
        <v>720</v>
      </c>
      <c r="B562" s="84"/>
      <c r="C562" s="79" t="s">
        <v>115</v>
      </c>
      <c r="D562" s="84"/>
      <c r="E562" s="79" t="s">
        <v>362</v>
      </c>
      <c r="F562" s="79" t="s">
        <v>725</v>
      </c>
      <c r="G562" s="79" t="s">
        <v>104</v>
      </c>
      <c r="H562" s="81" t="s">
        <v>10</v>
      </c>
      <c r="I562" s="82"/>
      <c r="J562" s="82"/>
      <c r="K562" s="83"/>
      <c r="L562" s="83"/>
      <c r="M562" s="83"/>
      <c r="N562" s="83"/>
      <c r="O562" s="83"/>
      <c r="P562" s="83"/>
      <c r="Q562" s="83"/>
      <c r="R562" s="83"/>
      <c r="S562" s="83"/>
      <c r="T562" s="83"/>
      <c r="U562" s="83"/>
      <c r="V562" s="83"/>
      <c r="W562" s="83"/>
      <c r="X562" s="83"/>
      <c r="Y562" s="83"/>
      <c r="Z562" s="83"/>
      <c r="AA562" s="83"/>
    </row>
    <row r="563" ht="55.5" customHeight="1">
      <c r="A563" s="79" t="s">
        <v>720</v>
      </c>
      <c r="B563" s="84"/>
      <c r="C563" s="79" t="s">
        <v>117</v>
      </c>
      <c r="D563" s="84"/>
      <c r="E563" s="79" t="s">
        <v>363</v>
      </c>
      <c r="F563" s="79" t="s">
        <v>725</v>
      </c>
      <c r="G563" s="79" t="s">
        <v>361</v>
      </c>
      <c r="H563" s="81" t="s">
        <v>10</v>
      </c>
      <c r="I563" s="82"/>
      <c r="J563" s="82"/>
      <c r="K563" s="83"/>
      <c r="L563" s="83"/>
      <c r="M563" s="83"/>
      <c r="N563" s="83"/>
      <c r="O563" s="83"/>
      <c r="P563" s="83"/>
      <c r="Q563" s="83"/>
      <c r="R563" s="83"/>
      <c r="S563" s="83"/>
      <c r="T563" s="83"/>
      <c r="U563" s="83"/>
      <c r="V563" s="83"/>
      <c r="W563" s="83"/>
      <c r="X563" s="83"/>
      <c r="Y563" s="83"/>
      <c r="Z563" s="83"/>
      <c r="AA563" s="83"/>
    </row>
    <row r="564" ht="55.5" customHeight="1">
      <c r="A564" s="79" t="s">
        <v>720</v>
      </c>
      <c r="B564" s="84"/>
      <c r="C564" s="79" t="s">
        <v>119</v>
      </c>
      <c r="D564" s="84"/>
      <c r="E564" s="79" t="s">
        <v>364</v>
      </c>
      <c r="F564" s="79" t="s">
        <v>725</v>
      </c>
      <c r="G564" s="79" t="s">
        <v>361</v>
      </c>
      <c r="H564" s="81" t="s">
        <v>10</v>
      </c>
      <c r="I564" s="82"/>
      <c r="J564" s="82"/>
      <c r="K564" s="83"/>
      <c r="L564" s="83"/>
      <c r="M564" s="83"/>
      <c r="N564" s="83"/>
      <c r="O564" s="83"/>
      <c r="P564" s="83"/>
      <c r="Q564" s="83"/>
      <c r="R564" s="83"/>
      <c r="S564" s="83"/>
      <c r="T564" s="83"/>
      <c r="U564" s="83"/>
      <c r="V564" s="83"/>
      <c r="W564" s="83"/>
      <c r="X564" s="83"/>
      <c r="Y564" s="83"/>
      <c r="Z564" s="83"/>
      <c r="AA564" s="83"/>
    </row>
    <row r="565" ht="55.5" customHeight="1">
      <c r="A565" s="79" t="s">
        <v>720</v>
      </c>
      <c r="B565" s="84"/>
      <c r="C565" s="79" t="s">
        <v>121</v>
      </c>
      <c r="D565" s="84"/>
      <c r="E565" s="79" t="s">
        <v>365</v>
      </c>
      <c r="F565" s="79" t="s">
        <v>725</v>
      </c>
      <c r="G565" s="79" t="s">
        <v>361</v>
      </c>
      <c r="H565" s="81" t="s">
        <v>10</v>
      </c>
      <c r="I565" s="82"/>
      <c r="J565" s="82"/>
      <c r="K565" s="83"/>
      <c r="L565" s="83"/>
      <c r="M565" s="83"/>
      <c r="N565" s="83"/>
      <c r="O565" s="83"/>
      <c r="P565" s="83"/>
      <c r="Q565" s="83"/>
      <c r="R565" s="83"/>
      <c r="S565" s="83"/>
      <c r="T565" s="83"/>
      <c r="U565" s="83"/>
      <c r="V565" s="83"/>
      <c r="W565" s="83"/>
      <c r="X565" s="83"/>
      <c r="Y565" s="83"/>
      <c r="Z565" s="83"/>
      <c r="AA565" s="83"/>
    </row>
    <row r="566" ht="55.5" customHeight="1">
      <c r="A566" s="79" t="s">
        <v>720</v>
      </c>
      <c r="B566" s="84"/>
      <c r="C566" s="79" t="s">
        <v>123</v>
      </c>
      <c r="D566" s="84"/>
      <c r="E566" s="79" t="s">
        <v>366</v>
      </c>
      <c r="F566" s="79" t="s">
        <v>725</v>
      </c>
      <c r="G566" s="79" t="s">
        <v>359</v>
      </c>
      <c r="H566" s="81" t="s">
        <v>10</v>
      </c>
      <c r="I566" s="82"/>
      <c r="J566" s="82"/>
      <c r="K566" s="83"/>
      <c r="L566" s="83"/>
      <c r="M566" s="83"/>
      <c r="N566" s="83"/>
      <c r="O566" s="83"/>
      <c r="P566" s="83"/>
      <c r="Q566" s="83"/>
      <c r="R566" s="83"/>
      <c r="S566" s="83"/>
      <c r="T566" s="83"/>
      <c r="U566" s="83"/>
      <c r="V566" s="83"/>
      <c r="W566" s="83"/>
      <c r="X566" s="83"/>
      <c r="Y566" s="83"/>
      <c r="Z566" s="83"/>
      <c r="AA566" s="83"/>
    </row>
    <row r="567" ht="55.5" customHeight="1">
      <c r="A567" s="79" t="s">
        <v>720</v>
      </c>
      <c r="B567" s="84"/>
      <c r="C567" s="79" t="s">
        <v>126</v>
      </c>
      <c r="D567" s="84"/>
      <c r="E567" s="79" t="s">
        <v>367</v>
      </c>
      <c r="F567" s="79" t="s">
        <v>725</v>
      </c>
      <c r="G567" s="79" t="s">
        <v>359</v>
      </c>
      <c r="H567" s="81" t="s">
        <v>10</v>
      </c>
      <c r="I567" s="82"/>
      <c r="J567" s="82"/>
      <c r="K567" s="83"/>
      <c r="L567" s="83"/>
      <c r="M567" s="83"/>
      <c r="N567" s="83"/>
      <c r="O567" s="83"/>
      <c r="P567" s="83"/>
      <c r="Q567" s="83"/>
      <c r="R567" s="83"/>
      <c r="S567" s="83"/>
      <c r="T567" s="83"/>
      <c r="U567" s="83"/>
      <c r="V567" s="83"/>
      <c r="W567" s="83"/>
      <c r="X567" s="83"/>
      <c r="Y567" s="83"/>
      <c r="Z567" s="83"/>
      <c r="AA567" s="83"/>
    </row>
    <row r="568" ht="55.5" customHeight="1">
      <c r="A568" s="79" t="s">
        <v>720</v>
      </c>
      <c r="B568" s="84"/>
      <c r="C568" s="79" t="s">
        <v>129</v>
      </c>
      <c r="D568" s="84"/>
      <c r="E568" s="79" t="s">
        <v>368</v>
      </c>
      <c r="F568" s="79" t="s">
        <v>725</v>
      </c>
      <c r="G568" s="79" t="s">
        <v>359</v>
      </c>
      <c r="H568" s="81" t="s">
        <v>10</v>
      </c>
      <c r="I568" s="82"/>
      <c r="J568" s="82"/>
      <c r="K568" s="83"/>
      <c r="L568" s="83"/>
      <c r="M568" s="83"/>
      <c r="N568" s="83"/>
      <c r="O568" s="83"/>
      <c r="P568" s="83"/>
      <c r="Q568" s="83"/>
      <c r="R568" s="83"/>
      <c r="S568" s="83"/>
      <c r="T568" s="83"/>
      <c r="U568" s="83"/>
      <c r="V568" s="83"/>
      <c r="W568" s="83"/>
      <c r="X568" s="83"/>
      <c r="Y568" s="83"/>
      <c r="Z568" s="83"/>
      <c r="AA568" s="83"/>
    </row>
    <row r="569" ht="55.5" customHeight="1">
      <c r="A569" s="79" t="s">
        <v>720</v>
      </c>
      <c r="B569" s="84"/>
      <c r="C569" s="79" t="s">
        <v>133</v>
      </c>
      <c r="D569" s="84"/>
      <c r="E569" s="79" t="s">
        <v>369</v>
      </c>
      <c r="F569" s="79" t="s">
        <v>725</v>
      </c>
      <c r="G569" s="79" t="s">
        <v>361</v>
      </c>
      <c r="H569" s="81" t="s">
        <v>10</v>
      </c>
      <c r="I569" s="85"/>
      <c r="J569" s="82"/>
      <c r="K569" s="83"/>
      <c r="L569" s="83"/>
      <c r="M569" s="83"/>
      <c r="N569" s="83"/>
      <c r="O569" s="83"/>
      <c r="P569" s="83"/>
      <c r="Q569" s="83"/>
      <c r="R569" s="83"/>
      <c r="S569" s="83"/>
      <c r="T569" s="83"/>
      <c r="U569" s="83"/>
      <c r="V569" s="83"/>
      <c r="W569" s="83"/>
      <c r="X569" s="83"/>
      <c r="Y569" s="83"/>
      <c r="Z569" s="83"/>
      <c r="AA569" s="83"/>
    </row>
    <row r="570" ht="55.5" customHeight="1">
      <c r="A570" s="79" t="s">
        <v>720</v>
      </c>
      <c r="B570" s="84"/>
      <c r="C570" s="79" t="s">
        <v>136</v>
      </c>
      <c r="D570" s="12"/>
      <c r="E570" s="79" t="s">
        <v>370</v>
      </c>
      <c r="F570" s="79" t="s">
        <v>725</v>
      </c>
      <c r="G570" s="79" t="s">
        <v>361</v>
      </c>
      <c r="H570" s="81" t="s">
        <v>10</v>
      </c>
      <c r="I570" s="85"/>
      <c r="J570" s="82"/>
      <c r="K570" s="83"/>
      <c r="L570" s="83"/>
      <c r="M570" s="83"/>
      <c r="N570" s="83"/>
      <c r="O570" s="83"/>
      <c r="P570" s="83"/>
      <c r="Q570" s="83"/>
      <c r="R570" s="83"/>
      <c r="S570" s="83"/>
      <c r="T570" s="83"/>
      <c r="U570" s="83"/>
      <c r="V570" s="83"/>
      <c r="W570" s="83"/>
      <c r="X570" s="83"/>
      <c r="Y570" s="83"/>
      <c r="Z570" s="83"/>
      <c r="AA570" s="83"/>
    </row>
    <row r="571" ht="55.5" customHeight="1">
      <c r="A571" s="79" t="s">
        <v>720</v>
      </c>
      <c r="B571" s="84"/>
      <c r="C571" s="79" t="s">
        <v>139</v>
      </c>
      <c r="D571" s="80" t="s">
        <v>758</v>
      </c>
      <c r="E571" s="79" t="s">
        <v>541</v>
      </c>
      <c r="F571" s="79" t="s">
        <v>542</v>
      </c>
      <c r="G571" s="79" t="s">
        <v>537</v>
      </c>
      <c r="H571" s="81" t="s">
        <v>10</v>
      </c>
      <c r="I571" s="85"/>
      <c r="J571" s="82"/>
      <c r="K571" s="83"/>
      <c r="L571" s="83"/>
      <c r="M571" s="83"/>
      <c r="N571" s="83"/>
      <c r="O571" s="83"/>
      <c r="P571" s="83"/>
      <c r="Q571" s="83"/>
      <c r="R571" s="83"/>
      <c r="S571" s="83"/>
      <c r="T571" s="83"/>
      <c r="U571" s="83"/>
      <c r="V571" s="83"/>
      <c r="W571" s="83"/>
      <c r="X571" s="83"/>
      <c r="Y571" s="83"/>
      <c r="Z571" s="83"/>
      <c r="AA571" s="83"/>
    </row>
    <row r="572" ht="55.5" customHeight="1">
      <c r="A572" s="79" t="s">
        <v>720</v>
      </c>
      <c r="B572" s="84"/>
      <c r="C572" s="79" t="s">
        <v>144</v>
      </c>
      <c r="D572" s="84"/>
      <c r="E572" s="79" t="s">
        <v>543</v>
      </c>
      <c r="F572" s="79" t="s">
        <v>544</v>
      </c>
      <c r="G572" s="79" t="s">
        <v>537</v>
      </c>
      <c r="H572" s="81" t="s">
        <v>10</v>
      </c>
      <c r="I572" s="85"/>
      <c r="J572" s="82"/>
      <c r="K572" s="83"/>
      <c r="L572" s="83"/>
      <c r="M572" s="83"/>
      <c r="N572" s="83"/>
      <c r="O572" s="83"/>
      <c r="P572" s="83"/>
      <c r="Q572" s="83"/>
      <c r="R572" s="83"/>
      <c r="S572" s="83"/>
      <c r="T572" s="83"/>
      <c r="U572" s="83"/>
      <c r="V572" s="83"/>
      <c r="W572" s="83"/>
      <c r="X572" s="83"/>
      <c r="Y572" s="83"/>
      <c r="Z572" s="83"/>
      <c r="AA572" s="83"/>
    </row>
    <row r="573" ht="55.5" customHeight="1">
      <c r="A573" s="79" t="s">
        <v>720</v>
      </c>
      <c r="B573" s="84"/>
      <c r="C573" s="79" t="s">
        <v>148</v>
      </c>
      <c r="D573" s="84"/>
      <c r="E573" s="79" t="s">
        <v>545</v>
      </c>
      <c r="F573" s="79" t="s">
        <v>546</v>
      </c>
      <c r="G573" s="79" t="s">
        <v>537</v>
      </c>
      <c r="H573" s="81" t="s">
        <v>10</v>
      </c>
      <c r="I573" s="82"/>
      <c r="J573" s="82"/>
      <c r="K573" s="83"/>
      <c r="L573" s="83"/>
      <c r="M573" s="83"/>
      <c r="N573" s="83"/>
      <c r="O573" s="83"/>
      <c r="P573" s="83"/>
      <c r="Q573" s="83"/>
      <c r="R573" s="83"/>
      <c r="S573" s="83"/>
      <c r="T573" s="83"/>
      <c r="U573" s="83"/>
      <c r="V573" s="83"/>
      <c r="W573" s="83"/>
      <c r="X573" s="83"/>
      <c r="Y573" s="83"/>
      <c r="Z573" s="83"/>
      <c r="AA573" s="83"/>
    </row>
    <row r="574" ht="55.5" customHeight="1">
      <c r="A574" s="79" t="s">
        <v>720</v>
      </c>
      <c r="B574" s="84"/>
      <c r="C574" s="79" t="s">
        <v>151</v>
      </c>
      <c r="D574" s="12"/>
      <c r="E574" s="79" t="s">
        <v>541</v>
      </c>
      <c r="F574" s="79" t="s">
        <v>547</v>
      </c>
      <c r="G574" s="79" t="s">
        <v>537</v>
      </c>
      <c r="H574" s="81" t="s">
        <v>10</v>
      </c>
      <c r="I574" s="85"/>
      <c r="J574" s="82"/>
      <c r="K574" s="83"/>
      <c r="L574" s="83"/>
      <c r="M574" s="83"/>
      <c r="N574" s="83"/>
      <c r="O574" s="83"/>
      <c r="P574" s="83"/>
      <c r="Q574" s="83"/>
      <c r="R574" s="83"/>
      <c r="S574" s="83"/>
      <c r="T574" s="83"/>
      <c r="U574" s="83"/>
      <c r="V574" s="83"/>
      <c r="W574" s="83"/>
      <c r="X574" s="83"/>
      <c r="Y574" s="83"/>
      <c r="Z574" s="83"/>
      <c r="AA574" s="83"/>
    </row>
    <row r="575" ht="55.5" customHeight="1">
      <c r="A575" s="79" t="s">
        <v>720</v>
      </c>
      <c r="B575" s="12"/>
      <c r="C575" s="79" t="s">
        <v>154</v>
      </c>
      <c r="D575" s="79" t="s">
        <v>759</v>
      </c>
      <c r="E575" s="79" t="s">
        <v>760</v>
      </c>
      <c r="F575" s="79" t="s">
        <v>725</v>
      </c>
      <c r="G575" s="79" t="s">
        <v>537</v>
      </c>
      <c r="H575" s="81" t="s">
        <v>10</v>
      </c>
      <c r="I575" s="85"/>
      <c r="J575" s="82"/>
      <c r="K575" s="83"/>
      <c r="L575" s="83"/>
      <c r="M575" s="83"/>
      <c r="N575" s="83"/>
      <c r="O575" s="83"/>
      <c r="P575" s="83"/>
      <c r="Q575" s="83"/>
      <c r="R575" s="83"/>
      <c r="S575" s="83"/>
      <c r="T575" s="83"/>
      <c r="U575" s="83"/>
      <c r="V575" s="83"/>
      <c r="W575" s="83"/>
      <c r="X575" s="83"/>
      <c r="Y575" s="83"/>
      <c r="Z575" s="83"/>
      <c r="AA575" s="83"/>
    </row>
    <row r="576" ht="55.5" customHeight="1">
      <c r="A576" s="79" t="s">
        <v>761</v>
      </c>
      <c r="B576" s="80" t="s">
        <v>762</v>
      </c>
      <c r="C576" s="79" t="s">
        <v>634</v>
      </c>
      <c r="D576" s="79" t="s">
        <v>763</v>
      </c>
      <c r="E576" s="79" t="s">
        <v>764</v>
      </c>
      <c r="F576" s="79" t="s">
        <v>344</v>
      </c>
      <c r="G576" s="79" t="s">
        <v>765</v>
      </c>
      <c r="H576" s="81" t="s">
        <v>10</v>
      </c>
      <c r="I576" s="85"/>
      <c r="J576" s="82"/>
      <c r="K576" s="83"/>
      <c r="L576" s="83"/>
      <c r="M576" s="83"/>
      <c r="N576" s="83"/>
      <c r="O576" s="83"/>
      <c r="P576" s="83"/>
      <c r="Q576" s="83"/>
      <c r="R576" s="83"/>
      <c r="S576" s="83"/>
      <c r="T576" s="83"/>
      <c r="U576" s="83"/>
      <c r="V576" s="83"/>
      <c r="W576" s="83"/>
      <c r="X576" s="83"/>
      <c r="Y576" s="83"/>
      <c r="Z576" s="83"/>
      <c r="AA576" s="83"/>
    </row>
    <row r="577" ht="55.5" customHeight="1">
      <c r="A577" s="79" t="s">
        <v>761</v>
      </c>
      <c r="B577" s="84"/>
      <c r="C577" s="79" t="s">
        <v>638</v>
      </c>
      <c r="D577" s="79" t="s">
        <v>766</v>
      </c>
      <c r="E577" s="79" t="s">
        <v>767</v>
      </c>
      <c r="F577" s="79" t="s">
        <v>344</v>
      </c>
      <c r="G577" s="79" t="s">
        <v>768</v>
      </c>
      <c r="H577" s="81" t="s">
        <v>10</v>
      </c>
      <c r="I577" s="85"/>
      <c r="J577" s="82"/>
      <c r="K577" s="83"/>
      <c r="L577" s="83"/>
      <c r="M577" s="83"/>
      <c r="N577" s="83"/>
      <c r="O577" s="83"/>
      <c r="P577" s="83"/>
      <c r="Q577" s="83"/>
      <c r="R577" s="83"/>
      <c r="S577" s="83"/>
      <c r="T577" s="83"/>
      <c r="U577" s="83"/>
      <c r="V577" s="83"/>
      <c r="W577" s="83"/>
      <c r="X577" s="83"/>
      <c r="Y577" s="83"/>
      <c r="Z577" s="83"/>
      <c r="AA577" s="83"/>
    </row>
    <row r="578" ht="55.5" customHeight="1">
      <c r="A578" s="79" t="s">
        <v>761</v>
      </c>
      <c r="B578" s="84"/>
      <c r="C578" s="79" t="s">
        <v>641</v>
      </c>
      <c r="D578" s="79" t="s">
        <v>769</v>
      </c>
      <c r="E578" s="79" t="s">
        <v>770</v>
      </c>
      <c r="F578" s="79" t="s">
        <v>344</v>
      </c>
      <c r="G578" s="79" t="s">
        <v>771</v>
      </c>
      <c r="H578" s="81" t="s">
        <v>10</v>
      </c>
      <c r="I578" s="85"/>
      <c r="J578" s="82"/>
      <c r="K578" s="83"/>
      <c r="L578" s="83"/>
      <c r="M578" s="83"/>
      <c r="N578" s="83"/>
      <c r="O578" s="83"/>
      <c r="P578" s="83"/>
      <c r="Q578" s="83"/>
      <c r="R578" s="83"/>
      <c r="S578" s="83"/>
      <c r="T578" s="83"/>
      <c r="U578" s="83"/>
      <c r="V578" s="83"/>
      <c r="W578" s="83"/>
      <c r="X578" s="83"/>
      <c r="Y578" s="83"/>
      <c r="Z578" s="83"/>
      <c r="AA578" s="83"/>
    </row>
    <row r="579" ht="55.5" customHeight="1">
      <c r="A579" s="79" t="s">
        <v>761</v>
      </c>
      <c r="B579" s="84"/>
      <c r="C579" s="79" t="s">
        <v>644</v>
      </c>
      <c r="D579" s="80" t="s">
        <v>772</v>
      </c>
      <c r="E579" s="79" t="s">
        <v>773</v>
      </c>
      <c r="F579" s="79" t="s">
        <v>344</v>
      </c>
      <c r="G579" s="106" t="s">
        <v>774</v>
      </c>
      <c r="H579" s="81" t="s">
        <v>10</v>
      </c>
      <c r="I579" s="85"/>
      <c r="J579" s="82"/>
      <c r="K579" s="83"/>
      <c r="L579" s="83"/>
      <c r="M579" s="83"/>
      <c r="N579" s="83"/>
      <c r="O579" s="83"/>
      <c r="P579" s="83"/>
      <c r="Q579" s="83"/>
      <c r="R579" s="83"/>
      <c r="S579" s="83"/>
      <c r="T579" s="83"/>
      <c r="U579" s="83"/>
      <c r="V579" s="83"/>
      <c r="W579" s="83"/>
      <c r="X579" s="83"/>
      <c r="Y579" s="83"/>
      <c r="Z579" s="83"/>
      <c r="AA579" s="83"/>
    </row>
    <row r="580" ht="55.5" customHeight="1">
      <c r="A580" s="79" t="s">
        <v>761</v>
      </c>
      <c r="B580" s="84"/>
      <c r="C580" s="79" t="s">
        <v>647</v>
      </c>
      <c r="D580" s="84"/>
      <c r="E580" s="79" t="s">
        <v>775</v>
      </c>
      <c r="F580" s="79" t="s">
        <v>344</v>
      </c>
      <c r="G580" s="79" t="s">
        <v>776</v>
      </c>
      <c r="H580" s="81" t="s">
        <v>10</v>
      </c>
      <c r="I580" s="85"/>
      <c r="J580" s="82"/>
      <c r="K580" s="83"/>
      <c r="L580" s="83"/>
      <c r="M580" s="83"/>
      <c r="N580" s="83"/>
      <c r="O580" s="83"/>
      <c r="P580" s="83"/>
      <c r="Q580" s="83"/>
      <c r="R580" s="83"/>
      <c r="S580" s="83"/>
      <c r="T580" s="83"/>
      <c r="U580" s="83"/>
      <c r="V580" s="83"/>
      <c r="W580" s="83"/>
      <c r="X580" s="83"/>
      <c r="Y580" s="83"/>
      <c r="Z580" s="83"/>
      <c r="AA580" s="83"/>
    </row>
    <row r="581" ht="55.5" customHeight="1">
      <c r="A581" s="79" t="s">
        <v>761</v>
      </c>
      <c r="B581" s="84"/>
      <c r="C581" s="79" t="s">
        <v>650</v>
      </c>
      <c r="D581" s="84"/>
      <c r="E581" s="79" t="s">
        <v>777</v>
      </c>
      <c r="F581" s="79" t="s">
        <v>344</v>
      </c>
      <c r="G581" s="106" t="s">
        <v>778</v>
      </c>
      <c r="H581" s="81" t="s">
        <v>10</v>
      </c>
      <c r="I581" s="85"/>
      <c r="J581" s="82"/>
      <c r="K581" s="83"/>
      <c r="L581" s="83"/>
      <c r="M581" s="83"/>
      <c r="N581" s="83"/>
      <c r="O581" s="83"/>
      <c r="P581" s="83"/>
      <c r="Q581" s="83"/>
      <c r="R581" s="83"/>
      <c r="S581" s="83"/>
      <c r="T581" s="83"/>
      <c r="U581" s="83"/>
      <c r="V581" s="83"/>
      <c r="W581" s="83"/>
      <c r="X581" s="83"/>
      <c r="Y581" s="83"/>
      <c r="Z581" s="83"/>
      <c r="AA581" s="83"/>
    </row>
    <row r="582" ht="55.5" customHeight="1">
      <c r="A582" s="79" t="s">
        <v>761</v>
      </c>
      <c r="B582" s="84"/>
      <c r="C582" s="79" t="s">
        <v>653</v>
      </c>
      <c r="D582" s="84"/>
      <c r="E582" s="79" t="s">
        <v>779</v>
      </c>
      <c r="F582" s="79" t="s">
        <v>344</v>
      </c>
      <c r="G582" s="79" t="s">
        <v>780</v>
      </c>
      <c r="H582" s="81" t="s">
        <v>10</v>
      </c>
      <c r="I582" s="85"/>
      <c r="J582" s="82"/>
      <c r="K582" s="83"/>
      <c r="L582" s="83"/>
      <c r="M582" s="83"/>
      <c r="N582" s="83"/>
      <c r="O582" s="83"/>
      <c r="P582" s="83"/>
      <c r="Q582" s="83"/>
      <c r="R582" s="83"/>
      <c r="S582" s="83"/>
      <c r="T582" s="83"/>
      <c r="U582" s="83"/>
      <c r="V582" s="83"/>
      <c r="W582" s="83"/>
      <c r="X582" s="83"/>
      <c r="Y582" s="83"/>
      <c r="Z582" s="83"/>
      <c r="AA582" s="83"/>
    </row>
    <row r="583" ht="55.5" customHeight="1">
      <c r="A583" s="79" t="s">
        <v>761</v>
      </c>
      <c r="B583" s="84"/>
      <c r="C583" s="79" t="s">
        <v>654</v>
      </c>
      <c r="D583" s="84"/>
      <c r="E583" s="79" t="s">
        <v>781</v>
      </c>
      <c r="F583" s="79" t="s">
        <v>344</v>
      </c>
      <c r="G583" s="106" t="s">
        <v>782</v>
      </c>
      <c r="H583" s="81" t="s">
        <v>10</v>
      </c>
      <c r="I583" s="85"/>
      <c r="J583" s="82"/>
      <c r="K583" s="83"/>
      <c r="L583" s="83"/>
      <c r="M583" s="83"/>
      <c r="N583" s="83"/>
      <c r="O583" s="83"/>
      <c r="P583" s="83"/>
      <c r="Q583" s="83"/>
      <c r="R583" s="83"/>
      <c r="S583" s="83"/>
      <c r="T583" s="83"/>
      <c r="U583" s="83"/>
      <c r="V583" s="83"/>
      <c r="W583" s="83"/>
      <c r="X583" s="83"/>
      <c r="Y583" s="83"/>
      <c r="Z583" s="83"/>
      <c r="AA583" s="83"/>
    </row>
    <row r="584" ht="55.5" customHeight="1">
      <c r="A584" s="79" t="s">
        <v>761</v>
      </c>
      <c r="B584" s="84"/>
      <c r="C584" s="79" t="s">
        <v>655</v>
      </c>
      <c r="D584" s="12"/>
      <c r="E584" s="79" t="s">
        <v>783</v>
      </c>
      <c r="F584" s="79" t="s">
        <v>344</v>
      </c>
      <c r="G584" s="79" t="s">
        <v>784</v>
      </c>
      <c r="H584" s="81" t="s">
        <v>10</v>
      </c>
      <c r="I584" s="85"/>
      <c r="J584" s="82"/>
      <c r="K584" s="83"/>
      <c r="L584" s="83"/>
      <c r="M584" s="83"/>
      <c r="N584" s="83"/>
      <c r="O584" s="83"/>
      <c r="P584" s="83"/>
      <c r="Q584" s="83"/>
      <c r="R584" s="83"/>
      <c r="S584" s="83"/>
      <c r="T584" s="83"/>
      <c r="U584" s="83"/>
      <c r="V584" s="83"/>
      <c r="W584" s="83"/>
      <c r="X584" s="83"/>
      <c r="Y584" s="83"/>
      <c r="Z584" s="83"/>
      <c r="AA584" s="83"/>
    </row>
    <row r="585" ht="55.5" customHeight="1">
      <c r="A585" s="79" t="s">
        <v>761</v>
      </c>
      <c r="B585" s="84"/>
      <c r="C585" s="79" t="s">
        <v>657</v>
      </c>
      <c r="D585" s="79" t="s">
        <v>785</v>
      </c>
      <c r="E585" s="79" t="s">
        <v>783</v>
      </c>
      <c r="F585" s="79" t="s">
        <v>344</v>
      </c>
      <c r="G585" s="106" t="s">
        <v>786</v>
      </c>
      <c r="H585" s="81" t="s">
        <v>10</v>
      </c>
      <c r="I585" s="85"/>
      <c r="J585" s="82"/>
      <c r="K585" s="83"/>
      <c r="L585" s="83"/>
      <c r="M585" s="83"/>
      <c r="N585" s="83"/>
      <c r="O585" s="83"/>
      <c r="P585" s="83"/>
      <c r="Q585" s="83"/>
      <c r="R585" s="83"/>
      <c r="S585" s="83"/>
      <c r="T585" s="83"/>
      <c r="U585" s="83"/>
      <c r="V585" s="83"/>
      <c r="W585" s="83"/>
      <c r="X585" s="83"/>
      <c r="Y585" s="83"/>
      <c r="Z585" s="83"/>
      <c r="AA585" s="83"/>
    </row>
    <row r="586" ht="55.5" customHeight="1">
      <c r="A586" s="79" t="s">
        <v>761</v>
      </c>
      <c r="B586" s="84"/>
      <c r="C586" s="79" t="s">
        <v>658</v>
      </c>
      <c r="D586" s="80" t="s">
        <v>787</v>
      </c>
      <c r="E586" s="79" t="s">
        <v>788</v>
      </c>
      <c r="F586" s="79" t="s">
        <v>789</v>
      </c>
      <c r="G586" s="79" t="s">
        <v>790</v>
      </c>
      <c r="H586" s="81" t="s">
        <v>10</v>
      </c>
      <c r="I586" s="85" t="s">
        <v>791</v>
      </c>
      <c r="J586" s="82"/>
      <c r="K586" s="83"/>
      <c r="L586" s="83"/>
      <c r="M586" s="83"/>
      <c r="N586" s="83"/>
      <c r="O586" s="83"/>
      <c r="P586" s="83"/>
      <c r="Q586" s="83"/>
      <c r="R586" s="83"/>
      <c r="S586" s="83"/>
      <c r="T586" s="83"/>
      <c r="U586" s="83"/>
      <c r="V586" s="83"/>
      <c r="W586" s="83"/>
      <c r="X586" s="83"/>
      <c r="Y586" s="83"/>
      <c r="Z586" s="83"/>
      <c r="AA586" s="83"/>
    </row>
    <row r="587" ht="55.5" customHeight="1">
      <c r="A587" s="79" t="s">
        <v>761</v>
      </c>
      <c r="B587" s="12"/>
      <c r="C587" s="79" t="s">
        <v>659</v>
      </c>
      <c r="D587" s="12"/>
      <c r="E587" s="79" t="s">
        <v>792</v>
      </c>
      <c r="F587" s="79" t="s">
        <v>789</v>
      </c>
      <c r="G587" s="79" t="s">
        <v>793</v>
      </c>
      <c r="H587" s="81" t="s">
        <v>10</v>
      </c>
      <c r="I587" s="85" t="s">
        <v>791</v>
      </c>
      <c r="J587" s="82"/>
      <c r="K587" s="83"/>
      <c r="L587" s="83"/>
      <c r="M587" s="83"/>
      <c r="N587" s="83"/>
      <c r="O587" s="83"/>
      <c r="P587" s="83"/>
      <c r="Q587" s="83"/>
      <c r="R587" s="83"/>
      <c r="S587" s="83"/>
      <c r="T587" s="83"/>
      <c r="U587" s="83"/>
      <c r="V587" s="83"/>
      <c r="W587" s="83"/>
      <c r="X587" s="83"/>
      <c r="Y587" s="83"/>
      <c r="Z587" s="83"/>
      <c r="AA587" s="83"/>
    </row>
    <row r="588" ht="55.5" customHeight="1">
      <c r="A588" s="79" t="s">
        <v>794</v>
      </c>
      <c r="B588" s="80" t="s">
        <v>795</v>
      </c>
      <c r="C588" s="79" t="s">
        <v>47</v>
      </c>
      <c r="D588" s="80" t="s">
        <v>796</v>
      </c>
      <c r="E588" s="79" t="s">
        <v>797</v>
      </c>
      <c r="F588" s="79" t="s">
        <v>798</v>
      </c>
      <c r="G588" s="79" t="s">
        <v>799</v>
      </c>
      <c r="H588" s="81" t="s">
        <v>10</v>
      </c>
      <c r="I588" s="85" t="s">
        <v>791</v>
      </c>
      <c r="J588" s="82"/>
      <c r="K588" s="83"/>
      <c r="L588" s="83"/>
      <c r="M588" s="83"/>
      <c r="N588" s="83"/>
      <c r="O588" s="83"/>
      <c r="P588" s="83"/>
      <c r="Q588" s="83"/>
      <c r="R588" s="83"/>
      <c r="S588" s="83"/>
      <c r="T588" s="83"/>
      <c r="U588" s="83"/>
      <c r="V588" s="83"/>
      <c r="W588" s="83"/>
      <c r="X588" s="83"/>
      <c r="Y588" s="83"/>
      <c r="Z588" s="83"/>
      <c r="AA588" s="83"/>
    </row>
    <row r="589" ht="55.5" customHeight="1">
      <c r="A589" s="79" t="s">
        <v>794</v>
      </c>
      <c r="B589" s="84"/>
      <c r="C589" s="79" t="s">
        <v>52</v>
      </c>
      <c r="D589" s="84"/>
      <c r="E589" s="79" t="s">
        <v>800</v>
      </c>
      <c r="F589" s="79" t="s">
        <v>801</v>
      </c>
      <c r="G589" s="79" t="s">
        <v>802</v>
      </c>
      <c r="H589" s="81" t="s">
        <v>10</v>
      </c>
      <c r="I589" s="85" t="s">
        <v>791</v>
      </c>
      <c r="J589" s="82"/>
      <c r="K589" s="83"/>
      <c r="L589" s="83"/>
      <c r="M589" s="83"/>
      <c r="N589" s="83"/>
      <c r="O589" s="83"/>
      <c r="P589" s="83"/>
      <c r="Q589" s="83"/>
      <c r="R589" s="83"/>
      <c r="S589" s="83"/>
      <c r="T589" s="83"/>
      <c r="U589" s="83"/>
      <c r="V589" s="83"/>
      <c r="W589" s="83"/>
      <c r="X589" s="83"/>
      <c r="Y589" s="83"/>
      <c r="Z589" s="83"/>
      <c r="AA589" s="83"/>
    </row>
    <row r="590" ht="55.5" customHeight="1">
      <c r="A590" s="79" t="s">
        <v>794</v>
      </c>
      <c r="B590" s="84"/>
      <c r="C590" s="79" t="s">
        <v>55</v>
      </c>
      <c r="D590" s="84"/>
      <c r="E590" s="79" t="s">
        <v>803</v>
      </c>
      <c r="F590" s="79" t="s">
        <v>804</v>
      </c>
      <c r="G590" s="79" t="s">
        <v>805</v>
      </c>
      <c r="H590" s="81" t="s">
        <v>10</v>
      </c>
      <c r="I590" s="85" t="s">
        <v>791</v>
      </c>
      <c r="J590" s="82"/>
      <c r="K590" s="83"/>
      <c r="L590" s="83"/>
      <c r="M590" s="83"/>
      <c r="N590" s="83"/>
      <c r="O590" s="83"/>
      <c r="P590" s="83"/>
      <c r="Q590" s="83"/>
      <c r="R590" s="83"/>
      <c r="S590" s="83"/>
      <c r="T590" s="83"/>
      <c r="U590" s="83"/>
      <c r="V590" s="83"/>
      <c r="W590" s="83"/>
      <c r="X590" s="83"/>
      <c r="Y590" s="83"/>
      <c r="Z590" s="83"/>
      <c r="AA590" s="83"/>
    </row>
    <row r="591" ht="55.5" customHeight="1">
      <c r="A591" s="79" t="s">
        <v>794</v>
      </c>
      <c r="B591" s="84"/>
      <c r="C591" s="79" t="s">
        <v>58</v>
      </c>
      <c r="D591" s="84"/>
      <c r="E591" s="79" t="s">
        <v>806</v>
      </c>
      <c r="F591" s="79" t="s">
        <v>807</v>
      </c>
      <c r="G591" s="79" t="s">
        <v>808</v>
      </c>
      <c r="H591" s="81" t="s">
        <v>10</v>
      </c>
      <c r="I591" s="85" t="s">
        <v>791</v>
      </c>
      <c r="J591" s="82"/>
      <c r="K591" s="83"/>
      <c r="L591" s="83"/>
      <c r="M591" s="83"/>
      <c r="N591" s="83"/>
      <c r="O591" s="83"/>
      <c r="P591" s="83"/>
      <c r="Q591" s="83"/>
      <c r="R591" s="83"/>
      <c r="S591" s="83"/>
      <c r="T591" s="83"/>
      <c r="U591" s="83"/>
      <c r="V591" s="83"/>
      <c r="W591" s="83"/>
      <c r="X591" s="83"/>
      <c r="Y591" s="83"/>
      <c r="Z591" s="83"/>
      <c r="AA591" s="83"/>
    </row>
    <row r="592" ht="55.5" customHeight="1">
      <c r="A592" s="79" t="s">
        <v>794</v>
      </c>
      <c r="B592" s="84"/>
      <c r="C592" s="79" t="s">
        <v>62</v>
      </c>
      <c r="D592" s="84"/>
      <c r="E592" s="79" t="s">
        <v>809</v>
      </c>
      <c r="F592" s="79" t="s">
        <v>810</v>
      </c>
      <c r="G592" s="79" t="s">
        <v>808</v>
      </c>
      <c r="H592" s="81" t="s">
        <v>10</v>
      </c>
      <c r="I592" s="85" t="s">
        <v>791</v>
      </c>
      <c r="J592" s="82"/>
      <c r="K592" s="83"/>
      <c r="L592" s="83"/>
      <c r="M592" s="83"/>
      <c r="N592" s="83"/>
      <c r="O592" s="83"/>
      <c r="P592" s="83"/>
      <c r="Q592" s="83"/>
      <c r="R592" s="83"/>
      <c r="S592" s="83"/>
      <c r="T592" s="83"/>
      <c r="U592" s="83"/>
      <c r="V592" s="83"/>
      <c r="W592" s="83"/>
      <c r="X592" s="83"/>
      <c r="Y592" s="83"/>
      <c r="Z592" s="83"/>
      <c r="AA592" s="83"/>
    </row>
    <row r="593" ht="55.5" customHeight="1">
      <c r="A593" s="79" t="s">
        <v>794</v>
      </c>
      <c r="B593" s="84"/>
      <c r="C593" s="79" t="s">
        <v>64</v>
      </c>
      <c r="D593" s="84"/>
      <c r="E593" s="79" t="s">
        <v>811</v>
      </c>
      <c r="F593" s="79" t="s">
        <v>801</v>
      </c>
      <c r="G593" s="106" t="s">
        <v>812</v>
      </c>
      <c r="H593" s="81" t="s">
        <v>10</v>
      </c>
      <c r="I593" s="85" t="s">
        <v>791</v>
      </c>
      <c r="J593" s="82"/>
      <c r="K593" s="83"/>
      <c r="L593" s="83"/>
      <c r="M593" s="83"/>
      <c r="N593" s="83"/>
      <c r="O593" s="83"/>
      <c r="P593" s="83"/>
      <c r="Q593" s="83"/>
      <c r="R593" s="83"/>
      <c r="S593" s="83"/>
      <c r="T593" s="83"/>
      <c r="U593" s="83"/>
      <c r="V593" s="83"/>
      <c r="W593" s="83"/>
      <c r="X593" s="83"/>
      <c r="Y593" s="83"/>
      <c r="Z593" s="83"/>
      <c r="AA593" s="83"/>
    </row>
    <row r="594" ht="55.5" customHeight="1">
      <c r="A594" s="79" t="s">
        <v>794</v>
      </c>
      <c r="B594" s="84"/>
      <c r="C594" s="79" t="s">
        <v>69</v>
      </c>
      <c r="D594" s="84"/>
      <c r="E594" s="79" t="s">
        <v>813</v>
      </c>
      <c r="F594" s="79" t="s">
        <v>810</v>
      </c>
      <c r="G594" s="79" t="s">
        <v>814</v>
      </c>
      <c r="H594" s="81" t="s">
        <v>10</v>
      </c>
      <c r="I594" s="85" t="s">
        <v>791</v>
      </c>
      <c r="J594" s="82"/>
      <c r="K594" s="83"/>
      <c r="L594" s="83"/>
      <c r="M594" s="83"/>
      <c r="N594" s="83"/>
      <c r="O594" s="83"/>
      <c r="P594" s="83"/>
      <c r="Q594" s="83"/>
      <c r="R594" s="83"/>
      <c r="S594" s="83"/>
      <c r="T594" s="83"/>
      <c r="U594" s="83"/>
      <c r="V594" s="83"/>
      <c r="W594" s="83"/>
      <c r="X594" s="83"/>
      <c r="Y594" s="83"/>
      <c r="Z594" s="83"/>
      <c r="AA594" s="83"/>
    </row>
    <row r="595" ht="55.5" customHeight="1">
      <c r="A595" s="79" t="s">
        <v>794</v>
      </c>
      <c r="B595" s="84"/>
      <c r="C595" s="79" t="s">
        <v>72</v>
      </c>
      <c r="D595" s="84"/>
      <c r="E595" s="79" t="s">
        <v>815</v>
      </c>
      <c r="F595" s="79" t="s">
        <v>801</v>
      </c>
      <c r="G595" s="79" t="s">
        <v>816</v>
      </c>
      <c r="H595" s="81" t="s">
        <v>10</v>
      </c>
      <c r="I595" s="85" t="s">
        <v>791</v>
      </c>
      <c r="J595" s="82"/>
      <c r="K595" s="83"/>
      <c r="L595" s="83"/>
      <c r="M595" s="83"/>
      <c r="N595" s="83"/>
      <c r="O595" s="83"/>
      <c r="P595" s="83"/>
      <c r="Q595" s="83"/>
      <c r="R595" s="83"/>
      <c r="S595" s="83"/>
      <c r="T595" s="83"/>
      <c r="U595" s="83"/>
      <c r="V595" s="83"/>
      <c r="W595" s="83"/>
      <c r="X595" s="83"/>
      <c r="Y595" s="83"/>
      <c r="Z595" s="83"/>
      <c r="AA595" s="83"/>
    </row>
    <row r="596" ht="55.5" customHeight="1">
      <c r="A596" s="79" t="s">
        <v>794</v>
      </c>
      <c r="B596" s="84"/>
      <c r="C596" s="79" t="s">
        <v>75</v>
      </c>
      <c r="D596" s="12"/>
      <c r="E596" s="79" t="s">
        <v>817</v>
      </c>
      <c r="F596" s="79" t="s">
        <v>801</v>
      </c>
      <c r="G596" s="79" t="s">
        <v>818</v>
      </c>
      <c r="H596" s="81" t="s">
        <v>10</v>
      </c>
      <c r="I596" s="85" t="s">
        <v>791</v>
      </c>
      <c r="J596" s="82"/>
      <c r="K596" s="83"/>
      <c r="L596" s="83"/>
      <c r="M596" s="83"/>
      <c r="N596" s="83"/>
      <c r="O596" s="83"/>
      <c r="P596" s="83"/>
      <c r="Q596" s="83"/>
      <c r="R596" s="83"/>
      <c r="S596" s="83"/>
      <c r="T596" s="83"/>
      <c r="U596" s="83"/>
      <c r="V596" s="83"/>
      <c r="W596" s="83"/>
      <c r="X596" s="83"/>
      <c r="Y596" s="83"/>
      <c r="Z596" s="83"/>
      <c r="AA596" s="83"/>
    </row>
    <row r="597" ht="55.5" customHeight="1">
      <c r="A597" s="79" t="s">
        <v>794</v>
      </c>
      <c r="B597" s="84"/>
      <c r="C597" s="79" t="s">
        <v>79</v>
      </c>
      <c r="D597" s="79" t="s">
        <v>489</v>
      </c>
      <c r="E597" s="79" t="s">
        <v>493</v>
      </c>
      <c r="F597" s="79" t="s">
        <v>491</v>
      </c>
      <c r="G597" s="79" t="s">
        <v>819</v>
      </c>
      <c r="H597" s="81" t="s">
        <v>10</v>
      </c>
      <c r="I597" s="85" t="s">
        <v>791</v>
      </c>
      <c r="J597" s="82"/>
      <c r="K597" s="83"/>
      <c r="L597" s="83"/>
      <c r="M597" s="83"/>
      <c r="N597" s="83"/>
      <c r="O597" s="83"/>
      <c r="P597" s="83"/>
      <c r="Q597" s="83"/>
      <c r="R597" s="83"/>
      <c r="S597" s="83"/>
      <c r="T597" s="83"/>
      <c r="U597" s="83"/>
      <c r="V597" s="83"/>
      <c r="W597" s="83"/>
      <c r="X597" s="83"/>
      <c r="Y597" s="83"/>
      <c r="Z597" s="83"/>
      <c r="AA597" s="83"/>
    </row>
    <row r="598" ht="55.5" customHeight="1">
      <c r="A598" s="79" t="s">
        <v>794</v>
      </c>
      <c r="B598" s="84"/>
      <c r="C598" s="79" t="s">
        <v>83</v>
      </c>
      <c r="D598" s="80" t="s">
        <v>820</v>
      </c>
      <c r="E598" s="79" t="s">
        <v>821</v>
      </c>
      <c r="F598" s="79" t="s">
        <v>801</v>
      </c>
      <c r="G598" s="79" t="s">
        <v>802</v>
      </c>
      <c r="H598" s="81" t="s">
        <v>10</v>
      </c>
      <c r="I598" s="85" t="s">
        <v>791</v>
      </c>
      <c r="J598" s="82"/>
      <c r="K598" s="83"/>
      <c r="L598" s="83"/>
      <c r="M598" s="83"/>
      <c r="N598" s="83"/>
      <c r="O598" s="83"/>
      <c r="P598" s="83"/>
      <c r="Q598" s="83"/>
      <c r="R598" s="83"/>
      <c r="S598" s="83"/>
      <c r="T598" s="83"/>
      <c r="U598" s="83"/>
      <c r="V598" s="83"/>
      <c r="W598" s="83"/>
      <c r="X598" s="83"/>
      <c r="Y598" s="83"/>
      <c r="Z598" s="83"/>
      <c r="AA598" s="83"/>
    </row>
    <row r="599" ht="55.5" customHeight="1">
      <c r="A599" s="79" t="s">
        <v>794</v>
      </c>
      <c r="B599" s="84"/>
      <c r="C599" s="79" t="s">
        <v>86</v>
      </c>
      <c r="D599" s="12"/>
      <c r="E599" s="79" t="s">
        <v>822</v>
      </c>
      <c r="F599" s="79" t="s">
        <v>801</v>
      </c>
      <c r="G599" s="79" t="s">
        <v>802</v>
      </c>
      <c r="H599" s="81" t="s">
        <v>10</v>
      </c>
      <c r="I599" s="85" t="s">
        <v>791</v>
      </c>
      <c r="J599" s="82"/>
      <c r="K599" s="83"/>
      <c r="L599" s="83"/>
      <c r="M599" s="83"/>
      <c r="N599" s="83"/>
      <c r="O599" s="83"/>
      <c r="P599" s="83"/>
      <c r="Q599" s="83"/>
      <c r="R599" s="83"/>
      <c r="S599" s="83"/>
      <c r="T599" s="83"/>
      <c r="U599" s="83"/>
      <c r="V599" s="83"/>
      <c r="W599" s="83"/>
      <c r="X599" s="83"/>
      <c r="Y599" s="83"/>
      <c r="Z599" s="83"/>
      <c r="AA599" s="83"/>
    </row>
    <row r="600" ht="55.5" customHeight="1">
      <c r="A600" s="79" t="s">
        <v>794</v>
      </c>
      <c r="B600" s="84"/>
      <c r="C600" s="79" t="s">
        <v>88</v>
      </c>
      <c r="D600" s="79" t="s">
        <v>823</v>
      </c>
      <c r="E600" s="79" t="s">
        <v>824</v>
      </c>
      <c r="F600" s="79" t="s">
        <v>801</v>
      </c>
      <c r="G600" s="79" t="s">
        <v>825</v>
      </c>
      <c r="H600" s="81" t="s">
        <v>10</v>
      </c>
      <c r="I600" s="104"/>
      <c r="J600" s="82"/>
      <c r="K600" s="83"/>
      <c r="L600" s="83"/>
      <c r="M600" s="83"/>
      <c r="N600" s="83"/>
      <c r="O600" s="83"/>
      <c r="P600" s="83"/>
      <c r="Q600" s="83"/>
      <c r="R600" s="83"/>
      <c r="S600" s="83"/>
      <c r="T600" s="83"/>
      <c r="U600" s="83"/>
      <c r="V600" s="83"/>
      <c r="W600" s="83"/>
      <c r="X600" s="83"/>
      <c r="Y600" s="83"/>
      <c r="Z600" s="83"/>
      <c r="AA600" s="83"/>
    </row>
    <row r="601" ht="55.5" customHeight="1">
      <c r="A601" s="79" t="s">
        <v>794</v>
      </c>
      <c r="B601" s="12"/>
      <c r="C601" s="79" t="s">
        <v>91</v>
      </c>
      <c r="D601" s="79" t="s">
        <v>826</v>
      </c>
      <c r="E601" s="79" t="s">
        <v>827</v>
      </c>
      <c r="F601" s="79" t="s">
        <v>801</v>
      </c>
      <c r="G601" s="79" t="s">
        <v>828</v>
      </c>
      <c r="H601" s="81" t="s">
        <v>10</v>
      </c>
      <c r="I601" s="104"/>
      <c r="J601" s="82"/>
      <c r="K601" s="83"/>
      <c r="L601" s="83"/>
      <c r="M601" s="83"/>
      <c r="N601" s="83"/>
      <c r="O601" s="83"/>
      <c r="P601" s="83"/>
      <c r="Q601" s="83"/>
      <c r="R601" s="83"/>
      <c r="S601" s="83"/>
      <c r="T601" s="83"/>
      <c r="U601" s="83"/>
      <c r="V601" s="83"/>
      <c r="W601" s="83"/>
      <c r="X601" s="83"/>
      <c r="Y601" s="83"/>
      <c r="Z601" s="83"/>
      <c r="AA601" s="83"/>
    </row>
    <row r="602" ht="55.5" customHeight="1">
      <c r="A602" s="79" t="s">
        <v>829</v>
      </c>
      <c r="B602" s="80" t="s">
        <v>830</v>
      </c>
      <c r="C602" s="79" t="s">
        <v>47</v>
      </c>
      <c r="D602" s="80" t="s">
        <v>831</v>
      </c>
      <c r="E602" s="79" t="s">
        <v>832</v>
      </c>
      <c r="F602" s="79" t="s">
        <v>833</v>
      </c>
      <c r="G602" s="79" t="s">
        <v>834</v>
      </c>
      <c r="H602" s="81" t="s">
        <v>10</v>
      </c>
      <c r="I602" s="104"/>
      <c r="J602" s="82"/>
      <c r="K602" s="83"/>
      <c r="L602" s="83"/>
      <c r="M602" s="83"/>
      <c r="N602" s="83"/>
      <c r="O602" s="83"/>
      <c r="P602" s="83"/>
      <c r="Q602" s="83"/>
      <c r="R602" s="83"/>
      <c r="S602" s="83"/>
      <c r="T602" s="83"/>
      <c r="U602" s="83"/>
      <c r="V602" s="83"/>
      <c r="W602" s="83"/>
      <c r="X602" s="83"/>
      <c r="Y602" s="83"/>
      <c r="Z602" s="83"/>
      <c r="AA602" s="83"/>
    </row>
    <row r="603" ht="55.5" customHeight="1">
      <c r="A603" s="79" t="s">
        <v>829</v>
      </c>
      <c r="B603" s="84"/>
      <c r="C603" s="79" t="s">
        <v>52</v>
      </c>
      <c r="D603" s="84"/>
      <c r="E603" s="79" t="s">
        <v>835</v>
      </c>
      <c r="F603" s="79" t="s">
        <v>836</v>
      </c>
      <c r="G603" s="79" t="s">
        <v>837</v>
      </c>
      <c r="H603" s="81" t="s">
        <v>10</v>
      </c>
      <c r="I603" s="104"/>
      <c r="J603" s="82"/>
      <c r="K603" s="83"/>
      <c r="L603" s="83"/>
      <c r="M603" s="83"/>
      <c r="N603" s="83"/>
      <c r="O603" s="83"/>
      <c r="P603" s="83"/>
      <c r="Q603" s="83"/>
      <c r="R603" s="83"/>
      <c r="S603" s="83"/>
      <c r="T603" s="83"/>
      <c r="U603" s="83"/>
      <c r="V603" s="83"/>
      <c r="W603" s="83"/>
      <c r="X603" s="83"/>
      <c r="Y603" s="83"/>
      <c r="Z603" s="83"/>
      <c r="AA603" s="83"/>
    </row>
    <row r="604" ht="55.5" customHeight="1">
      <c r="A604" s="79" t="s">
        <v>829</v>
      </c>
      <c r="B604" s="84"/>
      <c r="C604" s="79" t="s">
        <v>55</v>
      </c>
      <c r="D604" s="84"/>
      <c r="E604" s="79" t="s">
        <v>838</v>
      </c>
      <c r="F604" s="79" t="s">
        <v>839</v>
      </c>
      <c r="G604" s="79" t="s">
        <v>840</v>
      </c>
      <c r="H604" s="81" t="s">
        <v>10</v>
      </c>
      <c r="I604" s="104"/>
      <c r="J604" s="82"/>
      <c r="K604" s="83"/>
      <c r="L604" s="83"/>
      <c r="M604" s="83"/>
      <c r="N604" s="83"/>
      <c r="O604" s="83"/>
      <c r="P604" s="83"/>
      <c r="Q604" s="83"/>
      <c r="R604" s="83"/>
      <c r="S604" s="83"/>
      <c r="T604" s="83"/>
      <c r="U604" s="83"/>
      <c r="V604" s="83"/>
      <c r="W604" s="83"/>
      <c r="X604" s="83"/>
      <c r="Y604" s="83"/>
      <c r="Z604" s="83"/>
      <c r="AA604" s="83"/>
    </row>
    <row r="605" ht="55.5" customHeight="1">
      <c r="A605" s="79" t="s">
        <v>829</v>
      </c>
      <c r="B605" s="84"/>
      <c r="C605" s="79" t="s">
        <v>58</v>
      </c>
      <c r="D605" s="84"/>
      <c r="E605" s="79" t="s">
        <v>841</v>
      </c>
      <c r="F605" s="79" t="s">
        <v>842</v>
      </c>
      <c r="G605" s="79" t="s">
        <v>843</v>
      </c>
      <c r="H605" s="81" t="s">
        <v>10</v>
      </c>
      <c r="I605" s="104"/>
      <c r="J605" s="82"/>
      <c r="K605" s="83"/>
      <c r="L605" s="83"/>
      <c r="M605" s="83"/>
      <c r="N605" s="83"/>
      <c r="O605" s="83"/>
      <c r="P605" s="83"/>
      <c r="Q605" s="83"/>
      <c r="R605" s="83"/>
      <c r="S605" s="83"/>
      <c r="T605" s="83"/>
      <c r="U605" s="83"/>
      <c r="V605" s="83"/>
      <c r="W605" s="83"/>
      <c r="X605" s="83"/>
      <c r="Y605" s="83"/>
      <c r="Z605" s="83"/>
      <c r="AA605" s="83"/>
    </row>
    <row r="606" ht="55.5" customHeight="1">
      <c r="A606" s="79" t="s">
        <v>829</v>
      </c>
      <c r="B606" s="84"/>
      <c r="C606" s="79" t="s">
        <v>62</v>
      </c>
      <c r="D606" s="84"/>
      <c r="E606" s="79" t="s">
        <v>844</v>
      </c>
      <c r="F606" s="79" t="s">
        <v>845</v>
      </c>
      <c r="G606" s="79" t="s">
        <v>846</v>
      </c>
      <c r="H606" s="81" t="s">
        <v>10</v>
      </c>
      <c r="I606" s="104"/>
      <c r="J606" s="82"/>
      <c r="K606" s="83"/>
      <c r="L606" s="83"/>
      <c r="M606" s="83"/>
      <c r="N606" s="83"/>
      <c r="O606" s="83"/>
      <c r="P606" s="83"/>
      <c r="Q606" s="83"/>
      <c r="R606" s="83"/>
      <c r="S606" s="83"/>
      <c r="T606" s="83"/>
      <c r="U606" s="83"/>
      <c r="V606" s="83"/>
      <c r="W606" s="83"/>
      <c r="X606" s="83"/>
      <c r="Y606" s="83"/>
      <c r="Z606" s="83"/>
      <c r="AA606" s="83"/>
    </row>
    <row r="607" ht="55.5" customHeight="1">
      <c r="A607" s="79" t="s">
        <v>829</v>
      </c>
      <c r="B607" s="84"/>
      <c r="C607" s="79" t="s">
        <v>64</v>
      </c>
      <c r="D607" s="84"/>
      <c r="E607" s="79" t="s">
        <v>847</v>
      </c>
      <c r="F607" s="79" t="s">
        <v>848</v>
      </c>
      <c r="G607" s="79" t="s">
        <v>849</v>
      </c>
      <c r="H607" s="81" t="s">
        <v>10</v>
      </c>
      <c r="I607" s="104"/>
      <c r="J607" s="82"/>
      <c r="K607" s="83"/>
      <c r="L607" s="83"/>
      <c r="M607" s="83"/>
      <c r="N607" s="83"/>
      <c r="O607" s="83"/>
      <c r="P607" s="83"/>
      <c r="Q607" s="83"/>
      <c r="R607" s="83"/>
      <c r="S607" s="83"/>
      <c r="T607" s="83"/>
      <c r="U607" s="83"/>
      <c r="V607" s="83"/>
      <c r="W607" s="83"/>
      <c r="X607" s="83"/>
      <c r="Y607" s="83"/>
      <c r="Z607" s="83"/>
      <c r="AA607" s="83"/>
    </row>
    <row r="608" ht="55.5" customHeight="1">
      <c r="A608" s="79" t="s">
        <v>829</v>
      </c>
      <c r="B608" s="84"/>
      <c r="C608" s="79" t="s">
        <v>69</v>
      </c>
      <c r="D608" s="84"/>
      <c r="E608" s="79" t="s">
        <v>850</v>
      </c>
      <c r="F608" s="79" t="s">
        <v>851</v>
      </c>
      <c r="G608" s="79" t="s">
        <v>852</v>
      </c>
      <c r="H608" s="81" t="s">
        <v>10</v>
      </c>
      <c r="I608" s="104"/>
      <c r="J608" s="82"/>
      <c r="K608" s="83"/>
      <c r="L608" s="83"/>
      <c r="M608" s="83"/>
      <c r="N608" s="83"/>
      <c r="O608" s="83"/>
      <c r="P608" s="83"/>
      <c r="Q608" s="83"/>
      <c r="R608" s="83"/>
      <c r="S608" s="83"/>
      <c r="T608" s="83"/>
      <c r="U608" s="83"/>
      <c r="V608" s="83"/>
      <c r="W608" s="83"/>
      <c r="X608" s="83"/>
      <c r="Y608" s="83"/>
      <c r="Z608" s="83"/>
      <c r="AA608" s="83"/>
    </row>
    <row r="609" ht="55.5" customHeight="1">
      <c r="A609" s="79" t="s">
        <v>829</v>
      </c>
      <c r="B609" s="84"/>
      <c r="C609" s="79" t="s">
        <v>72</v>
      </c>
      <c r="D609" s="84"/>
      <c r="E609" s="79" t="s">
        <v>853</v>
      </c>
      <c r="F609" s="79" t="s">
        <v>854</v>
      </c>
      <c r="G609" s="79" t="s">
        <v>855</v>
      </c>
      <c r="H609" s="81" t="s">
        <v>10</v>
      </c>
      <c r="I609" s="104"/>
      <c r="J609" s="82"/>
      <c r="K609" s="83"/>
      <c r="L609" s="83"/>
      <c r="M609" s="83"/>
      <c r="N609" s="83"/>
      <c r="O609" s="83"/>
      <c r="P609" s="83"/>
      <c r="Q609" s="83"/>
      <c r="R609" s="83"/>
      <c r="S609" s="83"/>
      <c r="T609" s="83"/>
      <c r="U609" s="83"/>
      <c r="V609" s="83"/>
      <c r="W609" s="83"/>
      <c r="X609" s="83"/>
      <c r="Y609" s="83"/>
      <c r="Z609" s="83"/>
      <c r="AA609" s="83"/>
    </row>
    <row r="610" ht="55.5" customHeight="1">
      <c r="A610" s="79" t="s">
        <v>829</v>
      </c>
      <c r="B610" s="84"/>
      <c r="C610" s="79" t="s">
        <v>75</v>
      </c>
      <c r="D610" s="84"/>
      <c r="E610" s="79" t="s">
        <v>856</v>
      </c>
      <c r="F610" s="79" t="s">
        <v>857</v>
      </c>
      <c r="G610" s="79" t="s">
        <v>858</v>
      </c>
      <c r="H610" s="81" t="s">
        <v>10</v>
      </c>
      <c r="I610" s="104"/>
      <c r="J610" s="82"/>
      <c r="K610" s="83"/>
      <c r="L610" s="83"/>
      <c r="M610" s="83"/>
      <c r="N610" s="83"/>
      <c r="O610" s="83"/>
      <c r="P610" s="83"/>
      <c r="Q610" s="83"/>
      <c r="R610" s="83"/>
      <c r="S610" s="83"/>
      <c r="T610" s="83"/>
      <c r="U610" s="83"/>
      <c r="V610" s="83"/>
      <c r="W610" s="83"/>
      <c r="X610" s="83"/>
      <c r="Y610" s="83"/>
      <c r="Z610" s="83"/>
      <c r="AA610" s="83"/>
    </row>
    <row r="611" ht="55.5" customHeight="1">
      <c r="A611" s="79" t="s">
        <v>829</v>
      </c>
      <c r="B611" s="84"/>
      <c r="C611" s="79" t="s">
        <v>79</v>
      </c>
      <c r="D611" s="84"/>
      <c r="E611" s="79" t="s">
        <v>859</v>
      </c>
      <c r="F611" s="79" t="s">
        <v>860</v>
      </c>
      <c r="G611" s="86" t="s">
        <v>861</v>
      </c>
      <c r="H611" s="81" t="s">
        <v>10</v>
      </c>
      <c r="I611" s="104"/>
      <c r="J611" s="82"/>
      <c r="K611" s="83"/>
      <c r="L611" s="83"/>
      <c r="M611" s="83"/>
      <c r="N611" s="83"/>
      <c r="O611" s="83"/>
      <c r="P611" s="83"/>
      <c r="Q611" s="83"/>
      <c r="R611" s="83"/>
      <c r="S611" s="83"/>
      <c r="T611" s="83"/>
      <c r="U611" s="83"/>
      <c r="V611" s="83"/>
      <c r="W611" s="83"/>
      <c r="X611" s="83"/>
      <c r="Y611" s="83"/>
      <c r="Z611" s="83"/>
      <c r="AA611" s="83"/>
    </row>
    <row r="612" ht="55.5" customHeight="1">
      <c r="A612" s="79" t="s">
        <v>829</v>
      </c>
      <c r="B612" s="84"/>
      <c r="C612" s="79" t="s">
        <v>83</v>
      </c>
      <c r="D612" s="84"/>
      <c r="E612" s="79" t="s">
        <v>862</v>
      </c>
      <c r="F612" s="79" t="s">
        <v>863</v>
      </c>
      <c r="G612" s="86" t="s">
        <v>864</v>
      </c>
      <c r="H612" s="81" t="s">
        <v>10</v>
      </c>
      <c r="I612" s="104"/>
      <c r="J612" s="82"/>
      <c r="K612" s="83"/>
      <c r="L612" s="83"/>
      <c r="M612" s="83"/>
      <c r="N612" s="83"/>
      <c r="O612" s="83"/>
      <c r="P612" s="83"/>
      <c r="Q612" s="83"/>
      <c r="R612" s="83"/>
      <c r="S612" s="83"/>
      <c r="T612" s="83"/>
      <c r="U612" s="83"/>
      <c r="V612" s="83"/>
      <c r="W612" s="83"/>
      <c r="X612" s="83"/>
      <c r="Y612" s="83"/>
      <c r="Z612" s="83"/>
      <c r="AA612" s="83"/>
    </row>
    <row r="613" ht="55.5" customHeight="1">
      <c r="A613" s="79" t="s">
        <v>829</v>
      </c>
      <c r="B613" s="84"/>
      <c r="C613" s="79" t="s">
        <v>86</v>
      </c>
      <c r="D613" s="84"/>
      <c r="E613" s="79" t="s">
        <v>865</v>
      </c>
      <c r="F613" s="79" t="s">
        <v>866</v>
      </c>
      <c r="G613" s="86" t="s">
        <v>867</v>
      </c>
      <c r="H613" s="81" t="s">
        <v>10</v>
      </c>
      <c r="I613" s="104"/>
      <c r="J613" s="82"/>
      <c r="K613" s="83"/>
      <c r="L613" s="83"/>
      <c r="M613" s="83"/>
      <c r="N613" s="83"/>
      <c r="O613" s="83"/>
      <c r="P613" s="83"/>
      <c r="Q613" s="83"/>
      <c r="R613" s="83"/>
      <c r="S613" s="83"/>
      <c r="T613" s="83"/>
      <c r="U613" s="83"/>
      <c r="V613" s="83"/>
      <c r="W613" s="83"/>
      <c r="X613" s="83"/>
      <c r="Y613" s="83"/>
      <c r="Z613" s="83"/>
      <c r="AA613" s="83"/>
    </row>
    <row r="614" ht="55.5" customHeight="1">
      <c r="A614" s="79" t="s">
        <v>829</v>
      </c>
      <c r="B614" s="84"/>
      <c r="C614" s="79" t="s">
        <v>88</v>
      </c>
      <c r="D614" s="84"/>
      <c r="E614" s="79" t="s">
        <v>868</v>
      </c>
      <c r="F614" s="79" t="s">
        <v>869</v>
      </c>
      <c r="G614" s="79" t="s">
        <v>870</v>
      </c>
      <c r="H614" s="81" t="s">
        <v>10</v>
      </c>
      <c r="I614" s="104"/>
      <c r="J614" s="82"/>
      <c r="K614" s="83"/>
      <c r="L614" s="83"/>
      <c r="M614" s="83"/>
      <c r="N614" s="83"/>
      <c r="O614" s="83"/>
      <c r="P614" s="83"/>
      <c r="Q614" s="83"/>
      <c r="R614" s="83"/>
      <c r="S614" s="83"/>
      <c r="T614" s="83"/>
      <c r="U614" s="83"/>
      <c r="V614" s="83"/>
      <c r="W614" s="83"/>
      <c r="X614" s="83"/>
      <c r="Y614" s="83"/>
      <c r="Z614" s="83"/>
      <c r="AA614" s="83"/>
    </row>
    <row r="615" ht="55.5" customHeight="1">
      <c r="A615" s="79" t="s">
        <v>829</v>
      </c>
      <c r="B615" s="84"/>
      <c r="C615" s="79" t="s">
        <v>91</v>
      </c>
      <c r="D615" s="84"/>
      <c r="E615" s="79" t="s">
        <v>871</v>
      </c>
      <c r="F615" s="79" t="s">
        <v>872</v>
      </c>
      <c r="G615" s="86" t="s">
        <v>873</v>
      </c>
      <c r="H615" s="81" t="s">
        <v>10</v>
      </c>
      <c r="I615" s="104"/>
      <c r="J615" s="82"/>
      <c r="K615" s="83"/>
      <c r="L615" s="83"/>
      <c r="M615" s="83"/>
      <c r="N615" s="83"/>
      <c r="O615" s="83"/>
      <c r="P615" s="83"/>
      <c r="Q615" s="83"/>
      <c r="R615" s="83"/>
      <c r="S615" s="83"/>
      <c r="T615" s="83"/>
      <c r="U615" s="83"/>
      <c r="V615" s="83"/>
      <c r="W615" s="83"/>
      <c r="X615" s="83"/>
      <c r="Y615" s="83"/>
      <c r="Z615" s="83"/>
      <c r="AA615" s="83"/>
    </row>
    <row r="616" ht="55.5" customHeight="1">
      <c r="A616" s="79" t="s">
        <v>829</v>
      </c>
      <c r="B616" s="84"/>
      <c r="C616" s="79" t="s">
        <v>94</v>
      </c>
      <c r="D616" s="12"/>
      <c r="E616" s="79" t="s">
        <v>874</v>
      </c>
      <c r="F616" s="79" t="s">
        <v>875</v>
      </c>
      <c r="G616" s="79" t="s">
        <v>837</v>
      </c>
      <c r="H616" s="81" t="s">
        <v>10</v>
      </c>
      <c r="I616" s="104"/>
      <c r="J616" s="82"/>
      <c r="K616" s="83"/>
      <c r="L616" s="83"/>
      <c r="M616" s="83"/>
      <c r="N616" s="83"/>
      <c r="O616" s="83"/>
      <c r="P616" s="83"/>
      <c r="Q616" s="83"/>
      <c r="R616" s="83"/>
      <c r="S616" s="83"/>
      <c r="T616" s="83"/>
      <c r="U616" s="83"/>
      <c r="V616" s="83"/>
      <c r="W616" s="83"/>
      <c r="X616" s="83"/>
      <c r="Y616" s="83"/>
      <c r="Z616" s="83"/>
      <c r="AA616" s="83"/>
    </row>
    <row r="617" ht="55.5" customHeight="1">
      <c r="A617" s="79" t="s">
        <v>829</v>
      </c>
      <c r="B617" s="84"/>
      <c r="C617" s="79" t="s">
        <v>96</v>
      </c>
      <c r="D617" s="78"/>
      <c r="E617" s="79" t="s">
        <v>876</v>
      </c>
      <c r="F617" s="79" t="s">
        <v>877</v>
      </c>
      <c r="G617" s="79" t="s">
        <v>878</v>
      </c>
      <c r="H617" s="81" t="s">
        <v>10</v>
      </c>
      <c r="I617" s="104"/>
      <c r="J617" s="82"/>
      <c r="K617" s="83"/>
      <c r="L617" s="83"/>
      <c r="M617" s="83"/>
      <c r="N617" s="83"/>
      <c r="O617" s="83"/>
      <c r="P617" s="83"/>
      <c r="Q617" s="83"/>
      <c r="R617" s="83"/>
      <c r="S617" s="83"/>
      <c r="T617" s="83"/>
      <c r="U617" s="83"/>
      <c r="V617" s="83"/>
      <c r="W617" s="83"/>
      <c r="X617" s="83"/>
      <c r="Y617" s="83"/>
      <c r="Z617" s="83"/>
      <c r="AA617" s="83"/>
    </row>
    <row r="618" ht="55.5" customHeight="1">
      <c r="A618" s="79" t="s">
        <v>829</v>
      </c>
      <c r="B618" s="84"/>
      <c r="C618" s="79" t="s">
        <v>98</v>
      </c>
      <c r="D618" s="78"/>
      <c r="E618" s="79" t="s">
        <v>879</v>
      </c>
      <c r="F618" s="79" t="s">
        <v>872</v>
      </c>
      <c r="G618" s="79" t="s">
        <v>880</v>
      </c>
      <c r="H618" s="81" t="s">
        <v>10</v>
      </c>
      <c r="I618" s="104"/>
      <c r="J618" s="82"/>
      <c r="K618" s="83"/>
      <c r="L618" s="83"/>
      <c r="M618" s="83"/>
      <c r="N618" s="83"/>
      <c r="O618" s="83"/>
      <c r="P618" s="83"/>
      <c r="Q618" s="83"/>
      <c r="R618" s="83"/>
      <c r="S618" s="83"/>
      <c r="T618" s="83"/>
      <c r="U618" s="83"/>
      <c r="V618" s="83"/>
      <c r="W618" s="83"/>
      <c r="X618" s="83"/>
      <c r="Y618" s="83"/>
      <c r="Z618" s="83"/>
      <c r="AA618" s="83"/>
    </row>
    <row r="619" ht="55.5" customHeight="1">
      <c r="A619" s="79" t="s">
        <v>829</v>
      </c>
      <c r="B619" s="84"/>
      <c r="C619" s="79" t="s">
        <v>102</v>
      </c>
      <c r="D619" s="78"/>
      <c r="E619" s="79" t="s">
        <v>881</v>
      </c>
      <c r="F619" s="79" t="s">
        <v>872</v>
      </c>
      <c r="G619" s="79" t="s">
        <v>882</v>
      </c>
      <c r="H619" s="81" t="s">
        <v>10</v>
      </c>
      <c r="I619" s="104"/>
      <c r="J619" s="82"/>
      <c r="K619" s="83"/>
      <c r="L619" s="83"/>
      <c r="M619" s="83"/>
      <c r="N619" s="83"/>
      <c r="O619" s="83"/>
      <c r="P619" s="83"/>
      <c r="Q619" s="83"/>
      <c r="R619" s="83"/>
      <c r="S619" s="83"/>
      <c r="T619" s="83"/>
      <c r="U619" s="83"/>
      <c r="V619" s="83"/>
      <c r="W619" s="83"/>
      <c r="X619" s="83"/>
      <c r="Y619" s="83"/>
      <c r="Z619" s="83"/>
      <c r="AA619" s="83"/>
    </row>
    <row r="620" ht="55.5" customHeight="1">
      <c r="A620" s="79" t="s">
        <v>829</v>
      </c>
      <c r="B620" s="84"/>
      <c r="C620" s="79" t="s">
        <v>105</v>
      </c>
      <c r="D620" s="78"/>
      <c r="E620" s="79" t="s">
        <v>883</v>
      </c>
      <c r="F620" s="79" t="s">
        <v>884</v>
      </c>
      <c r="G620" s="79" t="s">
        <v>885</v>
      </c>
      <c r="H620" s="81" t="s">
        <v>10</v>
      </c>
      <c r="I620" s="104"/>
      <c r="J620" s="82"/>
      <c r="K620" s="83"/>
      <c r="L620" s="83"/>
      <c r="M620" s="83"/>
      <c r="N620" s="83"/>
      <c r="O620" s="83"/>
      <c r="P620" s="83"/>
      <c r="Q620" s="83"/>
      <c r="R620" s="83"/>
      <c r="S620" s="83"/>
      <c r="T620" s="83"/>
      <c r="U620" s="83"/>
      <c r="V620" s="83"/>
      <c r="W620" s="83"/>
      <c r="X620" s="83"/>
      <c r="Y620" s="83"/>
      <c r="Z620" s="83"/>
      <c r="AA620" s="83"/>
    </row>
    <row r="621" ht="55.5" customHeight="1">
      <c r="A621" s="79" t="s">
        <v>829</v>
      </c>
      <c r="B621" s="84"/>
      <c r="C621" s="79" t="s">
        <v>107</v>
      </c>
      <c r="D621" s="78"/>
      <c r="E621" s="79" t="s">
        <v>886</v>
      </c>
      <c r="F621" s="79" t="s">
        <v>884</v>
      </c>
      <c r="G621" s="79" t="s">
        <v>887</v>
      </c>
      <c r="H621" s="81" t="s">
        <v>10</v>
      </c>
      <c r="I621" s="104"/>
      <c r="J621" s="82"/>
      <c r="K621" s="83"/>
      <c r="L621" s="83"/>
      <c r="M621" s="83"/>
      <c r="N621" s="83"/>
      <c r="O621" s="83"/>
      <c r="P621" s="83"/>
      <c r="Q621" s="83"/>
      <c r="R621" s="83"/>
      <c r="S621" s="83"/>
      <c r="T621" s="83"/>
      <c r="U621" s="83"/>
      <c r="V621" s="83"/>
      <c r="W621" s="83"/>
      <c r="X621" s="83"/>
      <c r="Y621" s="83"/>
      <c r="Z621" s="83"/>
      <c r="AA621" s="83"/>
    </row>
    <row r="622" ht="55.5" customHeight="1">
      <c r="A622" s="79" t="s">
        <v>829</v>
      </c>
      <c r="B622" s="84"/>
      <c r="C622" s="79" t="s">
        <v>109</v>
      </c>
      <c r="D622" s="78"/>
      <c r="E622" s="79" t="s">
        <v>888</v>
      </c>
      <c r="F622" s="79" t="s">
        <v>889</v>
      </c>
      <c r="G622" s="79" t="s">
        <v>887</v>
      </c>
      <c r="H622" s="81" t="s">
        <v>10</v>
      </c>
      <c r="I622" s="104"/>
      <c r="J622" s="82"/>
      <c r="K622" s="83"/>
      <c r="L622" s="83"/>
      <c r="M622" s="83"/>
      <c r="N622" s="83"/>
      <c r="O622" s="83"/>
      <c r="P622" s="83"/>
      <c r="Q622" s="83"/>
      <c r="R622" s="83"/>
      <c r="S622" s="83"/>
      <c r="T622" s="83"/>
      <c r="U622" s="83"/>
      <c r="V622" s="83"/>
      <c r="W622" s="83"/>
      <c r="X622" s="83"/>
      <c r="Y622" s="83"/>
      <c r="Z622" s="83"/>
      <c r="AA622" s="83"/>
    </row>
    <row r="623" ht="55.5" customHeight="1">
      <c r="A623" s="79" t="s">
        <v>829</v>
      </c>
      <c r="B623" s="84"/>
      <c r="C623" s="79" t="s">
        <v>111</v>
      </c>
      <c r="D623" s="78"/>
      <c r="E623" s="79" t="s">
        <v>890</v>
      </c>
      <c r="F623" s="79" t="s">
        <v>891</v>
      </c>
      <c r="G623" s="79" t="s">
        <v>892</v>
      </c>
      <c r="H623" s="81" t="s">
        <v>10</v>
      </c>
      <c r="I623" s="104"/>
      <c r="J623" s="82"/>
      <c r="K623" s="83"/>
      <c r="L623" s="83"/>
      <c r="M623" s="83"/>
      <c r="N623" s="83"/>
      <c r="O623" s="83"/>
      <c r="P623" s="83"/>
      <c r="Q623" s="83"/>
      <c r="R623" s="83"/>
      <c r="S623" s="83"/>
      <c r="T623" s="83"/>
      <c r="U623" s="83"/>
      <c r="V623" s="83"/>
      <c r="W623" s="83"/>
      <c r="X623" s="83"/>
      <c r="Y623" s="83"/>
      <c r="Z623" s="83"/>
      <c r="AA623" s="83"/>
    </row>
    <row r="624" ht="55.5" customHeight="1">
      <c r="A624" s="79" t="s">
        <v>829</v>
      </c>
      <c r="B624" s="84"/>
      <c r="C624" s="79" t="s">
        <v>113</v>
      </c>
      <c r="D624" s="78"/>
      <c r="E624" s="79" t="s">
        <v>893</v>
      </c>
      <c r="F624" s="79" t="s">
        <v>894</v>
      </c>
      <c r="G624" s="79" t="s">
        <v>895</v>
      </c>
      <c r="H624" s="81" t="s">
        <v>10</v>
      </c>
      <c r="I624" s="104"/>
      <c r="J624" s="82"/>
      <c r="K624" s="83"/>
      <c r="L624" s="83"/>
      <c r="M624" s="83"/>
      <c r="N624" s="83"/>
      <c r="O624" s="83"/>
      <c r="P624" s="83"/>
      <c r="Q624" s="83"/>
      <c r="R624" s="83"/>
      <c r="S624" s="83"/>
      <c r="T624" s="83"/>
      <c r="U624" s="83"/>
      <c r="V624" s="83"/>
      <c r="W624" s="83"/>
      <c r="X624" s="83"/>
      <c r="Y624" s="83"/>
      <c r="Z624" s="83"/>
      <c r="AA624" s="83"/>
    </row>
    <row r="625" ht="55.5" customHeight="1">
      <c r="A625" s="79" t="s">
        <v>829</v>
      </c>
      <c r="B625" s="84"/>
      <c r="C625" s="79" t="s">
        <v>115</v>
      </c>
      <c r="D625" s="78"/>
      <c r="E625" s="79" t="s">
        <v>896</v>
      </c>
      <c r="F625" s="79" t="s">
        <v>897</v>
      </c>
      <c r="G625" s="79" t="s">
        <v>898</v>
      </c>
      <c r="H625" s="81" t="s">
        <v>10</v>
      </c>
      <c r="I625" s="104"/>
      <c r="J625" s="82"/>
      <c r="K625" s="83"/>
      <c r="L625" s="83"/>
      <c r="M625" s="83"/>
      <c r="N625" s="83"/>
      <c r="O625" s="83"/>
      <c r="P625" s="83"/>
      <c r="Q625" s="83"/>
      <c r="R625" s="83"/>
      <c r="S625" s="83"/>
      <c r="T625" s="83"/>
      <c r="U625" s="83"/>
      <c r="V625" s="83"/>
      <c r="W625" s="83"/>
      <c r="X625" s="83"/>
      <c r="Y625" s="83"/>
      <c r="Z625" s="83"/>
      <c r="AA625" s="83"/>
    </row>
    <row r="626" ht="55.5" customHeight="1">
      <c r="A626" s="79" t="s">
        <v>829</v>
      </c>
      <c r="B626" s="84"/>
      <c r="C626" s="79" t="s">
        <v>117</v>
      </c>
      <c r="D626" s="78"/>
      <c r="E626" s="79" t="s">
        <v>899</v>
      </c>
      <c r="F626" s="79" t="s">
        <v>900</v>
      </c>
      <c r="G626" s="79" t="s">
        <v>901</v>
      </c>
      <c r="H626" s="81" t="s">
        <v>10</v>
      </c>
      <c r="I626" s="104"/>
      <c r="J626" s="82"/>
      <c r="K626" s="83"/>
      <c r="L626" s="83"/>
      <c r="M626" s="83"/>
      <c r="N626" s="83"/>
      <c r="O626" s="83"/>
      <c r="P626" s="83"/>
      <c r="Q626" s="83"/>
      <c r="R626" s="83"/>
      <c r="S626" s="83"/>
      <c r="T626" s="83"/>
      <c r="U626" s="83"/>
      <c r="V626" s="83"/>
      <c r="W626" s="83"/>
      <c r="X626" s="83"/>
      <c r="Y626" s="83"/>
      <c r="Z626" s="83"/>
      <c r="AA626" s="83"/>
    </row>
    <row r="627" ht="55.5" customHeight="1">
      <c r="A627" s="79" t="s">
        <v>829</v>
      </c>
      <c r="B627" s="84"/>
      <c r="C627" s="79" t="s">
        <v>119</v>
      </c>
      <c r="D627" s="78"/>
      <c r="E627" s="79" t="s">
        <v>902</v>
      </c>
      <c r="F627" s="79" t="s">
        <v>903</v>
      </c>
      <c r="G627" s="79" t="s">
        <v>904</v>
      </c>
      <c r="H627" s="81" t="s">
        <v>10</v>
      </c>
      <c r="I627" s="104"/>
      <c r="J627" s="82"/>
      <c r="K627" s="83"/>
      <c r="L627" s="83"/>
      <c r="M627" s="83"/>
      <c r="N627" s="83"/>
      <c r="O627" s="83"/>
      <c r="P627" s="83"/>
      <c r="Q627" s="83"/>
      <c r="R627" s="83"/>
      <c r="S627" s="83"/>
      <c r="T627" s="83"/>
      <c r="U627" s="83"/>
      <c r="V627" s="83"/>
      <c r="W627" s="83"/>
      <c r="X627" s="83"/>
      <c r="Y627" s="83"/>
      <c r="Z627" s="83"/>
      <c r="AA627" s="83"/>
    </row>
    <row r="628" ht="55.5" customHeight="1">
      <c r="A628" s="79" t="s">
        <v>829</v>
      </c>
      <c r="B628" s="84"/>
      <c r="C628" s="79" t="s">
        <v>121</v>
      </c>
      <c r="D628" s="78"/>
      <c r="E628" s="79" t="s">
        <v>905</v>
      </c>
      <c r="F628" s="79" t="s">
        <v>906</v>
      </c>
      <c r="G628" s="79" t="s">
        <v>907</v>
      </c>
      <c r="H628" s="81" t="s">
        <v>10</v>
      </c>
      <c r="I628" s="104"/>
      <c r="J628" s="82"/>
      <c r="K628" s="83"/>
      <c r="L628" s="83"/>
      <c r="M628" s="83"/>
      <c r="N628" s="83"/>
      <c r="O628" s="83"/>
      <c r="P628" s="83"/>
      <c r="Q628" s="83"/>
      <c r="R628" s="83"/>
      <c r="S628" s="83"/>
      <c r="T628" s="83"/>
      <c r="U628" s="83"/>
      <c r="V628" s="83"/>
      <c r="W628" s="83"/>
      <c r="X628" s="83"/>
      <c r="Y628" s="83"/>
      <c r="Z628" s="83"/>
      <c r="AA628" s="83"/>
    </row>
    <row r="629" ht="55.5" customHeight="1">
      <c r="A629" s="79" t="s">
        <v>829</v>
      </c>
      <c r="B629" s="84"/>
      <c r="C629" s="79" t="s">
        <v>123</v>
      </c>
      <c r="D629" s="78"/>
      <c r="E629" s="79" t="s">
        <v>908</v>
      </c>
      <c r="F629" s="79" t="s">
        <v>909</v>
      </c>
      <c r="G629" s="79" t="s">
        <v>910</v>
      </c>
      <c r="H629" s="81" t="s">
        <v>10</v>
      </c>
      <c r="I629" s="104"/>
      <c r="J629" s="82"/>
      <c r="K629" s="83"/>
      <c r="L629" s="83"/>
      <c r="M629" s="83"/>
      <c r="N629" s="83"/>
      <c r="O629" s="83"/>
      <c r="P629" s="83"/>
      <c r="Q629" s="83"/>
      <c r="R629" s="83"/>
      <c r="S629" s="83"/>
      <c r="T629" s="83"/>
      <c r="U629" s="83"/>
      <c r="V629" s="83"/>
      <c r="W629" s="83"/>
      <c r="X629" s="83"/>
      <c r="Y629" s="83"/>
      <c r="Z629" s="83"/>
      <c r="AA629" s="83"/>
    </row>
    <row r="630" ht="55.5" customHeight="1">
      <c r="A630" s="79" t="s">
        <v>829</v>
      </c>
      <c r="B630" s="84"/>
      <c r="C630" s="79" t="s">
        <v>126</v>
      </c>
      <c r="D630" s="78"/>
      <c r="E630" s="79" t="s">
        <v>911</v>
      </c>
      <c r="F630" s="79" t="s">
        <v>912</v>
      </c>
      <c r="G630" s="79" t="s">
        <v>910</v>
      </c>
      <c r="H630" s="81" t="s">
        <v>10</v>
      </c>
      <c r="I630" s="104"/>
      <c r="J630" s="82"/>
      <c r="K630" s="83"/>
      <c r="L630" s="83"/>
      <c r="M630" s="83"/>
      <c r="N630" s="83"/>
      <c r="O630" s="83"/>
      <c r="P630" s="83"/>
      <c r="Q630" s="83"/>
      <c r="R630" s="83"/>
      <c r="S630" s="83"/>
      <c r="T630" s="83"/>
      <c r="U630" s="83"/>
      <c r="V630" s="83"/>
      <c r="W630" s="83"/>
      <c r="X630" s="83"/>
      <c r="Y630" s="83"/>
      <c r="Z630" s="83"/>
      <c r="AA630" s="83"/>
    </row>
    <row r="631" ht="55.5" customHeight="1">
      <c r="A631" s="79" t="s">
        <v>829</v>
      </c>
      <c r="B631" s="84"/>
      <c r="C631" s="79" t="s">
        <v>129</v>
      </c>
      <c r="D631" s="94"/>
      <c r="E631" s="79" t="s">
        <v>913</v>
      </c>
      <c r="F631" s="79" t="s">
        <v>914</v>
      </c>
      <c r="G631" s="79" t="s">
        <v>915</v>
      </c>
      <c r="H631" s="81" t="s">
        <v>10</v>
      </c>
      <c r="I631" s="82"/>
      <c r="J631" s="82"/>
      <c r="K631" s="83"/>
      <c r="L631" s="83"/>
      <c r="M631" s="83"/>
      <c r="N631" s="83"/>
      <c r="O631" s="83"/>
      <c r="P631" s="83"/>
      <c r="Q631" s="83"/>
      <c r="R631" s="83"/>
      <c r="S631" s="83"/>
      <c r="T631" s="83"/>
      <c r="U631" s="83"/>
      <c r="V631" s="83"/>
      <c r="W631" s="83"/>
      <c r="X631" s="83"/>
      <c r="Y631" s="83"/>
      <c r="Z631" s="83"/>
      <c r="AA631" s="83"/>
    </row>
    <row r="632" ht="55.5" customHeight="1">
      <c r="A632" s="79" t="s">
        <v>829</v>
      </c>
      <c r="B632" s="12"/>
      <c r="C632" s="79" t="s">
        <v>133</v>
      </c>
      <c r="D632" s="94"/>
      <c r="E632" s="79" t="s">
        <v>916</v>
      </c>
      <c r="F632" s="79" t="s">
        <v>917</v>
      </c>
      <c r="G632" s="79" t="s">
        <v>918</v>
      </c>
      <c r="H632" s="81" t="s">
        <v>10</v>
      </c>
      <c r="I632" s="82"/>
      <c r="J632" s="82"/>
      <c r="K632" s="83"/>
      <c r="L632" s="83"/>
      <c r="M632" s="83"/>
      <c r="N632" s="83"/>
      <c r="O632" s="83"/>
      <c r="P632" s="83"/>
      <c r="Q632" s="83"/>
      <c r="R632" s="83"/>
      <c r="S632" s="83"/>
      <c r="T632" s="83"/>
      <c r="U632" s="83"/>
      <c r="V632" s="83"/>
      <c r="W632" s="83"/>
      <c r="X632" s="83"/>
      <c r="Y632" s="83"/>
      <c r="Z632" s="83"/>
      <c r="AA632" s="83"/>
    </row>
    <row r="633" ht="55.5" customHeight="1">
      <c r="A633" s="79" t="s">
        <v>919</v>
      </c>
      <c r="B633" s="80" t="s">
        <v>920</v>
      </c>
      <c r="C633" s="79" t="s">
        <v>47</v>
      </c>
      <c r="D633" s="80">
        <v>769.0</v>
      </c>
      <c r="E633" s="79" t="s">
        <v>921</v>
      </c>
      <c r="F633" s="79" t="s">
        <v>725</v>
      </c>
      <c r="G633" s="79" t="s">
        <v>922</v>
      </c>
      <c r="H633" s="81" t="s">
        <v>10</v>
      </c>
      <c r="I633" s="82"/>
      <c r="J633" s="82"/>
      <c r="K633" s="83"/>
      <c r="L633" s="83"/>
      <c r="M633" s="83"/>
      <c r="N633" s="83"/>
      <c r="O633" s="83"/>
      <c r="P633" s="83"/>
      <c r="Q633" s="83"/>
      <c r="R633" s="83"/>
      <c r="S633" s="83"/>
      <c r="T633" s="83"/>
      <c r="U633" s="83"/>
      <c r="V633" s="83"/>
      <c r="W633" s="83"/>
      <c r="X633" s="83"/>
      <c r="Y633" s="83"/>
      <c r="Z633" s="83"/>
      <c r="AA633" s="83"/>
    </row>
    <row r="634" ht="55.5" customHeight="1">
      <c r="A634" s="79" t="s">
        <v>919</v>
      </c>
      <c r="B634" s="84"/>
      <c r="C634" s="79" t="s">
        <v>52</v>
      </c>
      <c r="D634" s="84"/>
      <c r="E634" s="79" t="s">
        <v>923</v>
      </c>
      <c r="F634" s="79" t="s">
        <v>725</v>
      </c>
      <c r="G634" s="106" t="s">
        <v>924</v>
      </c>
      <c r="H634" s="81" t="s">
        <v>10</v>
      </c>
      <c r="I634" s="82"/>
      <c r="J634" s="82"/>
      <c r="K634" s="83"/>
      <c r="L634" s="83"/>
      <c r="M634" s="83"/>
      <c r="N634" s="83"/>
      <c r="O634" s="83"/>
      <c r="P634" s="83"/>
      <c r="Q634" s="83"/>
      <c r="R634" s="83"/>
      <c r="S634" s="83"/>
      <c r="T634" s="83"/>
      <c r="U634" s="83"/>
      <c r="V634" s="83"/>
      <c r="W634" s="83"/>
      <c r="X634" s="83"/>
      <c r="Y634" s="83"/>
      <c r="Z634" s="83"/>
      <c r="AA634" s="83"/>
    </row>
    <row r="635" ht="55.5" customHeight="1">
      <c r="A635" s="79" t="s">
        <v>919</v>
      </c>
      <c r="B635" s="84"/>
      <c r="C635" s="79" t="s">
        <v>55</v>
      </c>
      <c r="D635" s="84"/>
      <c r="E635" s="79" t="s">
        <v>739</v>
      </c>
      <c r="F635" s="79" t="s">
        <v>729</v>
      </c>
      <c r="G635" s="79" t="s">
        <v>736</v>
      </c>
      <c r="H635" s="81" t="s">
        <v>10</v>
      </c>
      <c r="I635" s="82"/>
      <c r="J635" s="82"/>
      <c r="K635" s="83"/>
      <c r="L635" s="83"/>
      <c r="M635" s="83"/>
      <c r="N635" s="83"/>
      <c r="O635" s="83"/>
      <c r="P635" s="83"/>
      <c r="Q635" s="83"/>
      <c r="R635" s="83"/>
      <c r="S635" s="83"/>
      <c r="T635" s="83"/>
      <c r="U635" s="83"/>
      <c r="V635" s="83"/>
      <c r="W635" s="83"/>
      <c r="X635" s="83"/>
      <c r="Y635" s="83"/>
      <c r="Z635" s="83"/>
      <c r="AA635" s="83"/>
    </row>
    <row r="636" ht="55.5" customHeight="1">
      <c r="A636" s="79" t="s">
        <v>919</v>
      </c>
      <c r="B636" s="84"/>
      <c r="C636" s="79" t="s">
        <v>58</v>
      </c>
      <c r="D636" s="84"/>
      <c r="E636" s="79" t="s">
        <v>740</v>
      </c>
      <c r="F636" s="79" t="s">
        <v>730</v>
      </c>
      <c r="G636" s="79" t="s">
        <v>736</v>
      </c>
      <c r="H636" s="81" t="s">
        <v>10</v>
      </c>
      <c r="I636" s="82"/>
      <c r="J636" s="82"/>
      <c r="K636" s="83"/>
      <c r="L636" s="83"/>
      <c r="M636" s="83"/>
      <c r="N636" s="83"/>
      <c r="O636" s="83"/>
      <c r="P636" s="83"/>
      <c r="Q636" s="83"/>
      <c r="R636" s="83"/>
      <c r="S636" s="83"/>
      <c r="T636" s="83"/>
      <c r="U636" s="83"/>
      <c r="V636" s="83"/>
      <c r="W636" s="83"/>
      <c r="X636" s="83"/>
      <c r="Y636" s="83"/>
      <c r="Z636" s="83"/>
      <c r="AA636" s="83"/>
    </row>
    <row r="637" ht="55.5" customHeight="1">
      <c r="A637" s="79" t="s">
        <v>919</v>
      </c>
      <c r="B637" s="84"/>
      <c r="C637" s="79" t="s">
        <v>62</v>
      </c>
      <c r="D637" s="84"/>
      <c r="E637" s="79" t="s">
        <v>741</v>
      </c>
      <c r="F637" s="79" t="s">
        <v>729</v>
      </c>
      <c r="G637" s="79" t="s">
        <v>742</v>
      </c>
      <c r="H637" s="81" t="s">
        <v>10</v>
      </c>
      <c r="I637" s="82"/>
      <c r="J637" s="82"/>
      <c r="K637" s="83"/>
      <c r="L637" s="83"/>
      <c r="M637" s="83"/>
      <c r="N637" s="83"/>
      <c r="O637" s="83"/>
      <c r="P637" s="83"/>
      <c r="Q637" s="83"/>
      <c r="R637" s="83"/>
      <c r="S637" s="83"/>
      <c r="T637" s="83"/>
      <c r="U637" s="83"/>
      <c r="V637" s="83"/>
      <c r="W637" s="83"/>
      <c r="X637" s="83"/>
      <c r="Y637" s="83"/>
      <c r="Z637" s="83"/>
      <c r="AA637" s="83"/>
    </row>
    <row r="638" ht="55.5" customHeight="1">
      <c r="A638" s="79" t="s">
        <v>919</v>
      </c>
      <c r="B638" s="84"/>
      <c r="C638" s="79" t="s">
        <v>64</v>
      </c>
      <c r="D638" s="84"/>
      <c r="E638" s="79" t="s">
        <v>743</v>
      </c>
      <c r="F638" s="79" t="s">
        <v>730</v>
      </c>
      <c r="G638" s="79" t="s">
        <v>742</v>
      </c>
      <c r="H638" s="81" t="s">
        <v>10</v>
      </c>
      <c r="I638" s="82"/>
      <c r="J638" s="82"/>
      <c r="K638" s="83"/>
      <c r="L638" s="83"/>
      <c r="M638" s="83"/>
      <c r="N638" s="83"/>
      <c r="O638" s="83"/>
      <c r="P638" s="83"/>
      <c r="Q638" s="83"/>
      <c r="R638" s="83"/>
      <c r="S638" s="83"/>
      <c r="T638" s="83"/>
      <c r="U638" s="83"/>
      <c r="V638" s="83"/>
      <c r="W638" s="83"/>
      <c r="X638" s="83"/>
      <c r="Y638" s="83"/>
      <c r="Z638" s="83"/>
      <c r="AA638" s="83"/>
    </row>
    <row r="639" ht="55.5" customHeight="1">
      <c r="A639" s="79" t="s">
        <v>919</v>
      </c>
      <c r="B639" s="84"/>
      <c r="C639" s="79" t="s">
        <v>69</v>
      </c>
      <c r="D639" s="84"/>
      <c r="E639" s="79" t="s">
        <v>744</v>
      </c>
      <c r="F639" s="79" t="s">
        <v>730</v>
      </c>
      <c r="G639" s="106" t="s">
        <v>925</v>
      </c>
      <c r="H639" s="81" t="s">
        <v>10</v>
      </c>
      <c r="I639" s="82"/>
      <c r="J639" s="82"/>
      <c r="K639" s="83"/>
      <c r="L639" s="83"/>
      <c r="M639" s="83"/>
      <c r="N639" s="83"/>
      <c r="O639" s="83"/>
      <c r="P639" s="83"/>
      <c r="Q639" s="83"/>
      <c r="R639" s="83"/>
      <c r="S639" s="83"/>
      <c r="T639" s="83"/>
      <c r="U639" s="83"/>
      <c r="V639" s="83"/>
      <c r="W639" s="83"/>
      <c r="X639" s="83"/>
      <c r="Y639" s="83"/>
      <c r="Z639" s="83"/>
      <c r="AA639" s="83"/>
    </row>
    <row r="640" ht="55.5" customHeight="1">
      <c r="A640" s="79" t="s">
        <v>919</v>
      </c>
      <c r="B640" s="84"/>
      <c r="C640" s="79" t="s">
        <v>72</v>
      </c>
      <c r="D640" s="84"/>
      <c r="E640" s="79" t="s">
        <v>926</v>
      </c>
      <c r="F640" s="79" t="s">
        <v>927</v>
      </c>
      <c r="G640" s="79" t="s">
        <v>928</v>
      </c>
      <c r="H640" s="81" t="s">
        <v>10</v>
      </c>
      <c r="I640" s="82"/>
      <c r="J640" s="82"/>
      <c r="K640" s="83"/>
      <c r="L640" s="83"/>
      <c r="M640" s="83"/>
      <c r="N640" s="83"/>
      <c r="O640" s="83"/>
      <c r="P640" s="83"/>
      <c r="Q640" s="83"/>
      <c r="R640" s="83"/>
      <c r="S640" s="83"/>
      <c r="T640" s="83"/>
      <c r="U640" s="83"/>
      <c r="V640" s="83"/>
      <c r="W640" s="83"/>
      <c r="X640" s="83"/>
      <c r="Y640" s="83"/>
      <c r="Z640" s="83"/>
      <c r="AA640" s="83"/>
    </row>
    <row r="641" ht="55.5" customHeight="1">
      <c r="A641" s="79" t="s">
        <v>919</v>
      </c>
      <c r="B641" s="84"/>
      <c r="C641" s="79" t="s">
        <v>75</v>
      </c>
      <c r="D641" s="84"/>
      <c r="E641" s="79" t="s">
        <v>929</v>
      </c>
      <c r="F641" s="79" t="s">
        <v>486</v>
      </c>
      <c r="G641" s="79" t="s">
        <v>928</v>
      </c>
      <c r="H641" s="81" t="s">
        <v>10</v>
      </c>
      <c r="I641" s="82"/>
      <c r="J641" s="82"/>
      <c r="K641" s="83"/>
      <c r="L641" s="83"/>
      <c r="M641" s="83"/>
      <c r="N641" s="83"/>
      <c r="O641" s="83"/>
      <c r="P641" s="83"/>
      <c r="Q641" s="83"/>
      <c r="R641" s="83"/>
      <c r="S641" s="83"/>
      <c r="T641" s="83"/>
      <c r="U641" s="83"/>
      <c r="V641" s="83"/>
      <c r="W641" s="83"/>
      <c r="X641" s="83"/>
      <c r="Y641" s="83"/>
      <c r="Z641" s="83"/>
      <c r="AA641" s="83"/>
    </row>
    <row r="642" ht="55.5" customHeight="1">
      <c r="A642" s="79" t="s">
        <v>919</v>
      </c>
      <c r="B642" s="84"/>
      <c r="C642" s="79" t="s">
        <v>79</v>
      </c>
      <c r="D642" s="84"/>
      <c r="E642" s="79" t="s">
        <v>930</v>
      </c>
      <c r="F642" s="79" t="s">
        <v>436</v>
      </c>
      <c r="G642" s="79" t="s">
        <v>931</v>
      </c>
      <c r="H642" s="81" t="s">
        <v>10</v>
      </c>
      <c r="I642" s="82"/>
      <c r="J642" s="82"/>
      <c r="K642" s="83"/>
      <c r="L642" s="83"/>
      <c r="M642" s="83"/>
      <c r="N642" s="83"/>
      <c r="O642" s="83"/>
      <c r="P642" s="83"/>
      <c r="Q642" s="83"/>
      <c r="R642" s="83"/>
      <c r="S642" s="83"/>
      <c r="T642" s="83"/>
      <c r="U642" s="83"/>
      <c r="V642" s="83"/>
      <c r="W642" s="83"/>
      <c r="X642" s="83"/>
      <c r="Y642" s="83"/>
      <c r="Z642" s="83"/>
      <c r="AA642" s="83"/>
    </row>
    <row r="643" ht="55.5" customHeight="1">
      <c r="A643" s="79" t="s">
        <v>919</v>
      </c>
      <c r="B643" s="84"/>
      <c r="C643" s="79" t="s">
        <v>83</v>
      </c>
      <c r="D643" s="84"/>
      <c r="E643" s="79" t="s">
        <v>932</v>
      </c>
      <c r="F643" s="79" t="s">
        <v>933</v>
      </c>
      <c r="G643" s="79" t="s">
        <v>808</v>
      </c>
      <c r="H643" s="81" t="s">
        <v>10</v>
      </c>
      <c r="I643" s="82"/>
      <c r="J643" s="82"/>
      <c r="K643" s="83"/>
      <c r="L643" s="83"/>
      <c r="M643" s="83"/>
      <c r="N643" s="83"/>
      <c r="O643" s="83"/>
      <c r="P643" s="83"/>
      <c r="Q643" s="83"/>
      <c r="R643" s="83"/>
      <c r="S643" s="83"/>
      <c r="T643" s="83"/>
      <c r="U643" s="83"/>
      <c r="V643" s="83"/>
      <c r="W643" s="83"/>
      <c r="X643" s="83"/>
      <c r="Y643" s="83"/>
      <c r="Z643" s="83"/>
      <c r="AA643" s="83"/>
    </row>
    <row r="644" ht="55.5" customHeight="1">
      <c r="A644" s="79" t="s">
        <v>919</v>
      </c>
      <c r="B644" s="84"/>
      <c r="C644" s="79" t="s">
        <v>86</v>
      </c>
      <c r="D644" s="84"/>
      <c r="E644" s="79" t="s">
        <v>934</v>
      </c>
      <c r="F644" s="79" t="s">
        <v>935</v>
      </c>
      <c r="G644" s="79" t="s">
        <v>936</v>
      </c>
      <c r="H644" s="81" t="s">
        <v>10</v>
      </c>
      <c r="I644" s="82"/>
      <c r="J644" s="82"/>
      <c r="K644" s="83"/>
      <c r="L644" s="83"/>
      <c r="M644" s="83"/>
      <c r="N644" s="83"/>
      <c r="O644" s="83"/>
      <c r="P644" s="83"/>
      <c r="Q644" s="83"/>
      <c r="R644" s="83"/>
      <c r="S644" s="83"/>
      <c r="T644" s="83"/>
      <c r="U644" s="83"/>
      <c r="V644" s="83"/>
      <c r="W644" s="83"/>
      <c r="X644" s="83"/>
      <c r="Y644" s="83"/>
      <c r="Z644" s="83"/>
      <c r="AA644" s="83"/>
    </row>
    <row r="645" ht="55.5" customHeight="1">
      <c r="A645" s="79" t="s">
        <v>919</v>
      </c>
      <c r="B645" s="84"/>
      <c r="C645" s="79" t="s">
        <v>88</v>
      </c>
      <c r="D645" s="12"/>
      <c r="E645" s="79" t="s">
        <v>937</v>
      </c>
      <c r="F645" s="79" t="s">
        <v>938</v>
      </c>
      <c r="G645" s="79" t="s">
        <v>939</v>
      </c>
      <c r="H645" s="81" t="s">
        <v>10</v>
      </c>
      <c r="I645" s="82"/>
      <c r="J645" s="82"/>
      <c r="K645" s="83"/>
      <c r="L645" s="83"/>
      <c r="M645" s="83"/>
      <c r="N645" s="83"/>
      <c r="O645" s="83"/>
      <c r="P645" s="83"/>
      <c r="Q645" s="83"/>
      <c r="R645" s="83"/>
      <c r="S645" s="83"/>
      <c r="T645" s="83"/>
      <c r="U645" s="83"/>
      <c r="V645" s="83"/>
      <c r="W645" s="83"/>
      <c r="X645" s="83"/>
      <c r="Y645" s="83"/>
      <c r="Z645" s="83"/>
      <c r="AA645" s="83"/>
    </row>
    <row r="646" ht="55.5" customHeight="1">
      <c r="A646" s="79" t="s">
        <v>919</v>
      </c>
      <c r="B646" s="84"/>
      <c r="C646" s="79" t="s">
        <v>91</v>
      </c>
      <c r="D646" s="94"/>
      <c r="E646" s="79" t="s">
        <v>940</v>
      </c>
      <c r="F646" s="79" t="s">
        <v>941</v>
      </c>
      <c r="G646" s="79" t="s">
        <v>942</v>
      </c>
      <c r="H646" s="81" t="s">
        <v>10</v>
      </c>
      <c r="I646" s="82"/>
      <c r="J646" s="82"/>
      <c r="K646" s="83"/>
      <c r="L646" s="83"/>
      <c r="M646" s="83"/>
      <c r="N646" s="83"/>
      <c r="O646" s="83"/>
      <c r="P646" s="83"/>
      <c r="Q646" s="83"/>
      <c r="R646" s="83"/>
      <c r="S646" s="83"/>
      <c r="T646" s="83"/>
      <c r="U646" s="83"/>
      <c r="V646" s="83"/>
      <c r="W646" s="83"/>
      <c r="X646" s="83"/>
      <c r="Y646" s="83"/>
      <c r="Z646" s="83"/>
      <c r="AA646" s="83"/>
    </row>
    <row r="647" ht="55.5" customHeight="1">
      <c r="A647" s="79" t="s">
        <v>919</v>
      </c>
      <c r="B647" s="84"/>
      <c r="C647" s="79" t="s">
        <v>94</v>
      </c>
      <c r="D647" s="80" t="s">
        <v>943</v>
      </c>
      <c r="E647" s="79" t="s">
        <v>944</v>
      </c>
      <c r="F647" s="79" t="s">
        <v>941</v>
      </c>
      <c r="G647" s="79" t="s">
        <v>942</v>
      </c>
      <c r="H647" s="81" t="s">
        <v>10</v>
      </c>
      <c r="I647" s="82"/>
      <c r="J647" s="82"/>
      <c r="K647" s="83"/>
      <c r="L647" s="83"/>
      <c r="M647" s="83"/>
      <c r="N647" s="83"/>
      <c r="O647" s="83"/>
      <c r="P647" s="83"/>
      <c r="Q647" s="83"/>
      <c r="R647" s="83"/>
      <c r="S647" s="83"/>
      <c r="T647" s="83"/>
      <c r="U647" s="83"/>
      <c r="V647" s="83"/>
      <c r="W647" s="83"/>
      <c r="X647" s="83"/>
      <c r="Y647" s="83"/>
      <c r="Z647" s="83"/>
      <c r="AA647" s="83"/>
    </row>
    <row r="648" ht="55.5" customHeight="1">
      <c r="A648" s="79" t="s">
        <v>919</v>
      </c>
      <c r="B648" s="84"/>
      <c r="C648" s="79" t="s">
        <v>96</v>
      </c>
      <c r="D648" s="84"/>
      <c r="E648" s="79" t="s">
        <v>945</v>
      </c>
      <c r="F648" s="79" t="s">
        <v>946</v>
      </c>
      <c r="G648" s="79" t="s">
        <v>947</v>
      </c>
      <c r="H648" s="81" t="s">
        <v>10</v>
      </c>
      <c r="I648" s="82"/>
      <c r="J648" s="82"/>
      <c r="K648" s="83"/>
      <c r="L648" s="83"/>
      <c r="M648" s="83"/>
      <c r="N648" s="83"/>
      <c r="O648" s="83"/>
      <c r="P648" s="83"/>
      <c r="Q648" s="83"/>
      <c r="R648" s="83"/>
      <c r="S648" s="83"/>
      <c r="T648" s="83"/>
      <c r="U648" s="83"/>
      <c r="V648" s="83"/>
      <c r="W648" s="83"/>
      <c r="X648" s="83"/>
      <c r="Y648" s="83"/>
      <c r="Z648" s="83"/>
      <c r="AA648" s="83"/>
    </row>
    <row r="649" ht="55.5" customHeight="1">
      <c r="A649" s="79" t="s">
        <v>919</v>
      </c>
      <c r="B649" s="84"/>
      <c r="C649" s="79" t="s">
        <v>98</v>
      </c>
      <c r="D649" s="84"/>
      <c r="E649" s="79" t="s">
        <v>948</v>
      </c>
      <c r="F649" s="79" t="s">
        <v>949</v>
      </c>
      <c r="G649" s="79" t="s">
        <v>947</v>
      </c>
      <c r="H649" s="81" t="s">
        <v>10</v>
      </c>
      <c r="I649" s="85"/>
      <c r="J649" s="82"/>
      <c r="K649" s="83"/>
      <c r="L649" s="83"/>
      <c r="M649" s="83"/>
      <c r="N649" s="83"/>
      <c r="O649" s="83"/>
      <c r="P649" s="83"/>
      <c r="Q649" s="83"/>
      <c r="R649" s="83"/>
      <c r="S649" s="83"/>
      <c r="T649" s="83"/>
      <c r="U649" s="83"/>
      <c r="V649" s="83"/>
      <c r="W649" s="83"/>
      <c r="X649" s="83"/>
      <c r="Y649" s="83"/>
      <c r="Z649" s="83"/>
      <c r="AA649" s="83"/>
    </row>
    <row r="650" ht="55.5" customHeight="1">
      <c r="A650" s="79" t="s">
        <v>919</v>
      </c>
      <c r="B650" s="12"/>
      <c r="C650" s="79" t="s">
        <v>102</v>
      </c>
      <c r="D650" s="12"/>
      <c r="E650" s="79" t="s">
        <v>950</v>
      </c>
      <c r="F650" s="79" t="s">
        <v>951</v>
      </c>
      <c r="G650" s="79" t="s">
        <v>947</v>
      </c>
      <c r="H650" s="81" t="s">
        <v>10</v>
      </c>
      <c r="I650" s="85"/>
      <c r="J650" s="82"/>
      <c r="K650" s="83"/>
      <c r="L650" s="83"/>
      <c r="M650" s="83"/>
      <c r="N650" s="83"/>
      <c r="O650" s="83"/>
      <c r="P650" s="83"/>
      <c r="Q650" s="83"/>
      <c r="R650" s="83"/>
      <c r="S650" s="83"/>
      <c r="T650" s="83"/>
      <c r="U650" s="83"/>
      <c r="V650" s="83"/>
      <c r="W650" s="83"/>
      <c r="X650" s="83"/>
      <c r="Y650" s="83"/>
      <c r="Z650" s="83"/>
      <c r="AA650" s="83"/>
    </row>
    <row r="651" ht="55.5" customHeight="1">
      <c r="A651" s="79" t="s">
        <v>952</v>
      </c>
      <c r="B651" s="80" t="s">
        <v>953</v>
      </c>
      <c r="C651" s="79" t="s">
        <v>47</v>
      </c>
      <c r="D651" s="79" t="s">
        <v>954</v>
      </c>
      <c r="E651" s="79" t="s">
        <v>955</v>
      </c>
      <c r="F651" s="79" t="s">
        <v>956</v>
      </c>
      <c r="G651" s="79" t="s">
        <v>957</v>
      </c>
      <c r="H651" s="81" t="s">
        <v>10</v>
      </c>
      <c r="I651" s="85"/>
      <c r="J651" s="82"/>
      <c r="K651" s="83"/>
      <c r="L651" s="83"/>
      <c r="M651" s="83"/>
      <c r="N651" s="83"/>
      <c r="O651" s="83"/>
      <c r="P651" s="83"/>
      <c r="Q651" s="83"/>
      <c r="R651" s="83"/>
      <c r="S651" s="83"/>
      <c r="T651" s="83"/>
      <c r="U651" s="83"/>
      <c r="V651" s="83"/>
      <c r="W651" s="83"/>
      <c r="X651" s="83"/>
      <c r="Y651" s="83"/>
      <c r="Z651" s="83"/>
      <c r="AA651" s="83"/>
    </row>
    <row r="652" ht="55.5" customHeight="1">
      <c r="A652" s="79" t="s">
        <v>952</v>
      </c>
      <c r="B652" s="84"/>
      <c r="C652" s="79" t="s">
        <v>52</v>
      </c>
      <c r="D652" s="78"/>
      <c r="E652" s="79" t="s">
        <v>958</v>
      </c>
      <c r="F652" s="79" t="s">
        <v>959</v>
      </c>
      <c r="G652" s="79" t="s">
        <v>960</v>
      </c>
      <c r="H652" s="81" t="s">
        <v>10</v>
      </c>
      <c r="I652" s="82"/>
      <c r="J652" s="82"/>
      <c r="K652" s="83"/>
      <c r="L652" s="83"/>
      <c r="M652" s="83"/>
      <c r="N652" s="83"/>
      <c r="O652" s="83"/>
      <c r="P652" s="83"/>
      <c r="Q652" s="83"/>
      <c r="R652" s="83"/>
      <c r="S652" s="83"/>
      <c r="T652" s="83"/>
      <c r="U652" s="83"/>
      <c r="V652" s="83"/>
      <c r="W652" s="83"/>
      <c r="X652" s="83"/>
      <c r="Y652" s="83"/>
      <c r="Z652" s="83"/>
      <c r="AA652" s="83"/>
    </row>
    <row r="653" ht="55.5" customHeight="1">
      <c r="A653" s="79" t="s">
        <v>952</v>
      </c>
      <c r="B653" s="84"/>
      <c r="C653" s="79" t="s">
        <v>55</v>
      </c>
      <c r="D653" s="78"/>
      <c r="E653" s="79" t="s">
        <v>961</v>
      </c>
      <c r="F653" s="79" t="s">
        <v>956</v>
      </c>
      <c r="G653" s="79" t="s">
        <v>957</v>
      </c>
      <c r="H653" s="81" t="s">
        <v>10</v>
      </c>
      <c r="I653" s="82"/>
      <c r="J653" s="82"/>
      <c r="K653" s="83"/>
      <c r="L653" s="83"/>
      <c r="M653" s="83"/>
      <c r="N653" s="83"/>
      <c r="O653" s="83"/>
      <c r="P653" s="83"/>
      <c r="Q653" s="83"/>
      <c r="R653" s="83"/>
      <c r="S653" s="83"/>
      <c r="T653" s="83"/>
      <c r="U653" s="83"/>
      <c r="V653" s="83"/>
      <c r="W653" s="83"/>
      <c r="X653" s="83"/>
      <c r="Y653" s="83"/>
      <c r="Z653" s="83"/>
      <c r="AA653" s="83"/>
    </row>
    <row r="654" ht="55.5" customHeight="1">
      <c r="A654" s="79" t="s">
        <v>952</v>
      </c>
      <c r="B654" s="84"/>
      <c r="C654" s="79" t="s">
        <v>58</v>
      </c>
      <c r="D654" s="78"/>
      <c r="E654" s="79" t="s">
        <v>962</v>
      </c>
      <c r="F654" s="79" t="s">
        <v>956</v>
      </c>
      <c r="G654" s="79" t="s">
        <v>963</v>
      </c>
      <c r="H654" s="81" t="s">
        <v>10</v>
      </c>
      <c r="I654" s="82"/>
      <c r="J654" s="82"/>
      <c r="K654" s="83"/>
      <c r="L654" s="83"/>
      <c r="M654" s="83"/>
      <c r="N654" s="83"/>
      <c r="O654" s="83"/>
      <c r="P654" s="83"/>
      <c r="Q654" s="83"/>
      <c r="R654" s="83"/>
      <c r="S654" s="83"/>
      <c r="T654" s="83"/>
      <c r="U654" s="83"/>
      <c r="V654" s="83"/>
      <c r="W654" s="83"/>
      <c r="X654" s="83"/>
      <c r="Y654" s="83"/>
      <c r="Z654" s="83"/>
      <c r="AA654" s="83"/>
    </row>
    <row r="655" ht="55.5" customHeight="1">
      <c r="A655" s="79" t="s">
        <v>952</v>
      </c>
      <c r="B655" s="84"/>
      <c r="C655" s="79" t="s">
        <v>62</v>
      </c>
      <c r="D655" s="78"/>
      <c r="E655" s="79" t="s">
        <v>964</v>
      </c>
      <c r="F655" s="79" t="s">
        <v>956</v>
      </c>
      <c r="G655" s="79" t="s">
        <v>965</v>
      </c>
      <c r="H655" s="81" t="s">
        <v>10</v>
      </c>
      <c r="I655" s="82"/>
      <c r="J655" s="82"/>
      <c r="K655" s="83"/>
      <c r="L655" s="83"/>
      <c r="M655" s="83"/>
      <c r="N655" s="83"/>
      <c r="O655" s="83"/>
      <c r="P655" s="83"/>
      <c r="Q655" s="83"/>
      <c r="R655" s="83"/>
      <c r="S655" s="83"/>
      <c r="T655" s="83"/>
      <c r="U655" s="83"/>
      <c r="V655" s="83"/>
      <c r="W655" s="83"/>
      <c r="X655" s="83"/>
      <c r="Y655" s="83"/>
      <c r="Z655" s="83"/>
      <c r="AA655" s="83"/>
    </row>
    <row r="656" ht="55.5" customHeight="1">
      <c r="A656" s="79" t="s">
        <v>952</v>
      </c>
      <c r="B656" s="84"/>
      <c r="C656" s="79" t="s">
        <v>64</v>
      </c>
      <c r="D656" s="78"/>
      <c r="E656" s="79" t="s">
        <v>966</v>
      </c>
      <c r="F656" s="79" t="s">
        <v>956</v>
      </c>
      <c r="G656" s="79" t="s">
        <v>965</v>
      </c>
      <c r="H656" s="81" t="s">
        <v>10</v>
      </c>
      <c r="I656" s="82"/>
      <c r="J656" s="82"/>
      <c r="K656" s="83"/>
      <c r="L656" s="83"/>
      <c r="M656" s="83"/>
      <c r="N656" s="83"/>
      <c r="O656" s="83"/>
      <c r="P656" s="83"/>
      <c r="Q656" s="83"/>
      <c r="R656" s="83"/>
      <c r="S656" s="83"/>
      <c r="T656" s="83"/>
      <c r="U656" s="83"/>
      <c r="V656" s="83"/>
      <c r="W656" s="83"/>
      <c r="X656" s="83"/>
      <c r="Y656" s="83"/>
      <c r="Z656" s="83"/>
      <c r="AA656" s="83"/>
    </row>
    <row r="657" ht="55.5" customHeight="1">
      <c r="A657" s="79" t="s">
        <v>952</v>
      </c>
      <c r="B657" s="84"/>
      <c r="C657" s="79" t="s">
        <v>69</v>
      </c>
      <c r="D657" s="78"/>
      <c r="E657" s="79" t="s">
        <v>967</v>
      </c>
      <c r="F657" s="79" t="s">
        <v>956</v>
      </c>
      <c r="G657" s="79" t="s">
        <v>968</v>
      </c>
      <c r="H657" s="81" t="s">
        <v>10</v>
      </c>
      <c r="I657" s="85"/>
      <c r="J657" s="82"/>
      <c r="K657" s="83"/>
      <c r="L657" s="83"/>
      <c r="M657" s="83"/>
      <c r="N657" s="83"/>
      <c r="O657" s="83"/>
      <c r="P657" s="83"/>
      <c r="Q657" s="83"/>
      <c r="R657" s="83"/>
      <c r="S657" s="83"/>
      <c r="T657" s="83"/>
      <c r="U657" s="83"/>
      <c r="V657" s="83"/>
      <c r="W657" s="83"/>
      <c r="X657" s="83"/>
      <c r="Y657" s="83"/>
      <c r="Z657" s="83"/>
      <c r="AA657" s="83"/>
    </row>
    <row r="658" ht="55.5" customHeight="1">
      <c r="A658" s="79" t="s">
        <v>952</v>
      </c>
      <c r="B658" s="84"/>
      <c r="C658" s="79" t="s">
        <v>72</v>
      </c>
      <c r="D658" s="78"/>
      <c r="E658" s="79" t="s">
        <v>969</v>
      </c>
      <c r="F658" s="79" t="s">
        <v>956</v>
      </c>
      <c r="G658" s="79" t="s">
        <v>970</v>
      </c>
      <c r="H658" s="81" t="s">
        <v>10</v>
      </c>
      <c r="I658" s="85"/>
      <c r="J658" s="82"/>
      <c r="K658" s="83"/>
      <c r="L658" s="83"/>
      <c r="M658" s="83"/>
      <c r="N658" s="83"/>
      <c r="O658" s="83"/>
      <c r="P658" s="83"/>
      <c r="Q658" s="83"/>
      <c r="R658" s="83"/>
      <c r="S658" s="83"/>
      <c r="T658" s="83"/>
      <c r="U658" s="83"/>
      <c r="V658" s="83"/>
      <c r="W658" s="83"/>
      <c r="X658" s="83"/>
      <c r="Y658" s="83"/>
      <c r="Z658" s="83"/>
      <c r="AA658" s="83"/>
    </row>
    <row r="659" ht="55.5" customHeight="1">
      <c r="A659" s="79" t="s">
        <v>952</v>
      </c>
      <c r="B659" s="84"/>
      <c r="C659" s="79" t="s">
        <v>75</v>
      </c>
      <c r="D659" s="78"/>
      <c r="E659" s="79" t="s">
        <v>971</v>
      </c>
      <c r="F659" s="79" t="s">
        <v>956</v>
      </c>
      <c r="G659" s="79" t="s">
        <v>972</v>
      </c>
      <c r="H659" s="81" t="s">
        <v>10</v>
      </c>
      <c r="I659" s="82"/>
      <c r="J659" s="82"/>
      <c r="K659" s="83"/>
      <c r="L659" s="83"/>
      <c r="M659" s="83"/>
      <c r="N659" s="83"/>
      <c r="O659" s="83"/>
      <c r="P659" s="83"/>
      <c r="Q659" s="83"/>
      <c r="R659" s="83"/>
      <c r="S659" s="83"/>
      <c r="T659" s="83"/>
      <c r="U659" s="83"/>
      <c r="V659" s="83"/>
      <c r="W659" s="83"/>
      <c r="X659" s="83"/>
      <c r="Y659" s="83"/>
      <c r="Z659" s="83"/>
      <c r="AA659" s="83"/>
    </row>
    <row r="660" ht="55.5" customHeight="1">
      <c r="A660" s="79" t="s">
        <v>952</v>
      </c>
      <c r="B660" s="84"/>
      <c r="C660" s="79" t="s">
        <v>79</v>
      </c>
      <c r="D660" s="78"/>
      <c r="E660" s="79" t="s">
        <v>973</v>
      </c>
      <c r="F660" s="79" t="s">
        <v>956</v>
      </c>
      <c r="G660" s="79" t="s">
        <v>974</v>
      </c>
      <c r="H660" s="81" t="s">
        <v>10</v>
      </c>
      <c r="I660" s="82"/>
      <c r="J660" s="82"/>
      <c r="K660" s="83"/>
      <c r="L660" s="83"/>
      <c r="M660" s="83"/>
      <c r="N660" s="83"/>
      <c r="O660" s="83"/>
      <c r="P660" s="83"/>
      <c r="Q660" s="83"/>
      <c r="R660" s="83"/>
      <c r="S660" s="83"/>
      <c r="T660" s="83"/>
      <c r="U660" s="83"/>
      <c r="V660" s="83"/>
      <c r="W660" s="83"/>
      <c r="X660" s="83"/>
      <c r="Y660" s="83"/>
      <c r="Z660" s="83"/>
      <c r="AA660" s="83"/>
    </row>
    <row r="661" ht="55.5" customHeight="1">
      <c r="A661" s="79" t="s">
        <v>952</v>
      </c>
      <c r="B661" s="84"/>
      <c r="C661" s="79" t="s">
        <v>83</v>
      </c>
      <c r="D661" s="78"/>
      <c r="E661" s="79" t="s">
        <v>975</v>
      </c>
      <c r="F661" s="79" t="s">
        <v>956</v>
      </c>
      <c r="G661" s="79" t="s">
        <v>976</v>
      </c>
      <c r="H661" s="81" t="s">
        <v>10</v>
      </c>
      <c r="I661" s="82"/>
      <c r="J661" s="82"/>
      <c r="K661" s="83"/>
      <c r="L661" s="83"/>
      <c r="M661" s="83"/>
      <c r="N661" s="83"/>
      <c r="O661" s="83"/>
      <c r="P661" s="83"/>
      <c r="Q661" s="83"/>
      <c r="R661" s="83"/>
      <c r="S661" s="83"/>
      <c r="T661" s="83"/>
      <c r="U661" s="83"/>
      <c r="V661" s="83"/>
      <c r="W661" s="83"/>
      <c r="X661" s="83"/>
      <c r="Y661" s="83"/>
      <c r="Z661" s="83"/>
      <c r="AA661" s="83"/>
    </row>
    <row r="662" ht="55.5" customHeight="1">
      <c r="A662" s="79" t="s">
        <v>952</v>
      </c>
      <c r="B662" s="84"/>
      <c r="C662" s="79" t="s">
        <v>86</v>
      </c>
      <c r="D662" s="94"/>
      <c r="E662" s="79" t="s">
        <v>977</v>
      </c>
      <c r="F662" s="79" t="s">
        <v>956</v>
      </c>
      <c r="G662" s="79" t="s">
        <v>978</v>
      </c>
      <c r="H662" s="81" t="s">
        <v>10</v>
      </c>
      <c r="I662" s="82"/>
      <c r="J662" s="82"/>
      <c r="K662" s="83"/>
      <c r="L662" s="83"/>
      <c r="M662" s="83"/>
      <c r="N662" s="83"/>
      <c r="O662" s="83"/>
      <c r="P662" s="83"/>
      <c r="Q662" s="83"/>
      <c r="R662" s="83"/>
      <c r="S662" s="83"/>
      <c r="T662" s="83"/>
      <c r="U662" s="83"/>
      <c r="V662" s="83"/>
      <c r="W662" s="83"/>
      <c r="X662" s="83"/>
      <c r="Y662" s="83"/>
      <c r="Z662" s="83"/>
      <c r="AA662" s="83"/>
    </row>
    <row r="663" ht="55.5" customHeight="1">
      <c r="A663" s="79" t="s">
        <v>952</v>
      </c>
      <c r="B663" s="84"/>
      <c r="C663" s="79" t="s">
        <v>88</v>
      </c>
      <c r="D663" s="94"/>
      <c r="E663" s="79" t="s">
        <v>979</v>
      </c>
      <c r="F663" s="79" t="s">
        <v>980</v>
      </c>
      <c r="G663" s="79" t="s">
        <v>981</v>
      </c>
      <c r="H663" s="81" t="s">
        <v>10</v>
      </c>
      <c r="I663" s="82"/>
      <c r="J663" s="82"/>
      <c r="K663" s="83"/>
      <c r="L663" s="83"/>
      <c r="M663" s="83"/>
      <c r="N663" s="83"/>
      <c r="O663" s="83"/>
      <c r="P663" s="83"/>
      <c r="Q663" s="83"/>
      <c r="R663" s="83"/>
      <c r="S663" s="83"/>
      <c r="T663" s="83"/>
      <c r="U663" s="83"/>
      <c r="V663" s="83"/>
      <c r="W663" s="83"/>
      <c r="X663" s="83"/>
      <c r="Y663" s="83"/>
      <c r="Z663" s="83"/>
      <c r="AA663" s="83"/>
    </row>
    <row r="664" ht="55.5" customHeight="1">
      <c r="A664" s="79" t="s">
        <v>952</v>
      </c>
      <c r="B664" s="84"/>
      <c r="C664" s="79" t="s">
        <v>91</v>
      </c>
      <c r="D664" s="80" t="s">
        <v>982</v>
      </c>
      <c r="E664" s="79" t="s">
        <v>983</v>
      </c>
      <c r="F664" s="79" t="s">
        <v>984</v>
      </c>
      <c r="G664" s="79" t="s">
        <v>985</v>
      </c>
      <c r="H664" s="81" t="s">
        <v>10</v>
      </c>
      <c r="I664" s="85"/>
      <c r="J664" s="82"/>
      <c r="K664" s="83"/>
      <c r="L664" s="83"/>
      <c r="M664" s="83"/>
      <c r="N664" s="83"/>
      <c r="O664" s="83"/>
      <c r="P664" s="83"/>
      <c r="Q664" s="83"/>
      <c r="R664" s="83"/>
      <c r="S664" s="83"/>
      <c r="T664" s="83"/>
      <c r="U664" s="83"/>
      <c r="V664" s="83"/>
      <c r="W664" s="83"/>
      <c r="X664" s="83"/>
      <c r="Y664" s="83"/>
      <c r="Z664" s="83"/>
      <c r="AA664" s="83"/>
    </row>
    <row r="665" ht="55.5" customHeight="1">
      <c r="A665" s="79" t="s">
        <v>952</v>
      </c>
      <c r="B665" s="84"/>
      <c r="C665" s="79" t="s">
        <v>94</v>
      </c>
      <c r="D665" s="12"/>
      <c r="E665" s="79" t="s">
        <v>986</v>
      </c>
      <c r="F665" s="79" t="s">
        <v>987</v>
      </c>
      <c r="G665" s="79" t="s">
        <v>985</v>
      </c>
      <c r="H665" s="81" t="s">
        <v>10</v>
      </c>
      <c r="I665" s="85"/>
      <c r="J665" s="82"/>
      <c r="K665" s="83"/>
      <c r="L665" s="83"/>
      <c r="M665" s="83"/>
      <c r="N665" s="83"/>
      <c r="O665" s="83"/>
      <c r="P665" s="83"/>
      <c r="Q665" s="83"/>
      <c r="R665" s="83"/>
      <c r="S665" s="83"/>
      <c r="T665" s="83"/>
      <c r="U665" s="83"/>
      <c r="V665" s="83"/>
      <c r="W665" s="83"/>
      <c r="X665" s="83"/>
      <c r="Y665" s="83"/>
      <c r="Z665" s="83"/>
      <c r="AA665" s="83"/>
    </row>
    <row r="666" ht="55.5" customHeight="1">
      <c r="A666" s="79" t="s">
        <v>952</v>
      </c>
      <c r="B666" s="84"/>
      <c r="C666" s="79" t="s">
        <v>96</v>
      </c>
      <c r="D666" s="79" t="s">
        <v>988</v>
      </c>
      <c r="E666" s="79" t="s">
        <v>986</v>
      </c>
      <c r="F666" s="79" t="s">
        <v>984</v>
      </c>
      <c r="G666" s="79" t="s">
        <v>989</v>
      </c>
      <c r="H666" s="81" t="s">
        <v>10</v>
      </c>
      <c r="I666" s="82"/>
      <c r="J666" s="82"/>
      <c r="K666" s="83"/>
      <c r="L666" s="83"/>
      <c r="M666" s="83"/>
      <c r="N666" s="83"/>
      <c r="O666" s="83"/>
      <c r="P666" s="83"/>
      <c r="Q666" s="83"/>
      <c r="R666" s="83"/>
      <c r="S666" s="83"/>
      <c r="T666" s="83"/>
      <c r="U666" s="83"/>
      <c r="V666" s="83"/>
      <c r="W666" s="83"/>
      <c r="X666" s="83"/>
      <c r="Y666" s="83"/>
      <c r="Z666" s="83"/>
      <c r="AA666" s="83"/>
    </row>
    <row r="667" ht="55.5" customHeight="1">
      <c r="A667" s="79" t="s">
        <v>952</v>
      </c>
      <c r="B667" s="12"/>
      <c r="C667" s="79" t="s">
        <v>98</v>
      </c>
      <c r="D667" s="79" t="s">
        <v>990</v>
      </c>
      <c r="E667" s="79" t="s">
        <v>983</v>
      </c>
      <c r="F667" s="79" t="s">
        <v>984</v>
      </c>
      <c r="G667" s="79" t="s">
        <v>989</v>
      </c>
      <c r="H667" s="81" t="s">
        <v>10</v>
      </c>
      <c r="I667" s="82"/>
      <c r="J667" s="82"/>
      <c r="K667" s="83"/>
      <c r="L667" s="83"/>
      <c r="M667" s="83"/>
      <c r="N667" s="83"/>
      <c r="O667" s="83"/>
      <c r="P667" s="83"/>
      <c r="Q667" s="83"/>
      <c r="R667" s="83"/>
      <c r="S667" s="83"/>
      <c r="T667" s="83"/>
      <c r="U667" s="83"/>
      <c r="V667" s="83"/>
      <c r="W667" s="83"/>
      <c r="X667" s="83"/>
      <c r="Y667" s="83"/>
      <c r="Z667" s="83"/>
      <c r="AA667" s="83"/>
    </row>
    <row r="668" ht="55.5" customHeight="1">
      <c r="A668" s="79" t="s">
        <v>991</v>
      </c>
      <c r="B668" s="80" t="s">
        <v>992</v>
      </c>
      <c r="C668" s="79" t="s">
        <v>47</v>
      </c>
      <c r="D668" s="79" t="s">
        <v>993</v>
      </c>
      <c r="E668" s="79" t="s">
        <v>994</v>
      </c>
      <c r="F668" s="79" t="s">
        <v>995</v>
      </c>
      <c r="G668" s="79" t="s">
        <v>996</v>
      </c>
      <c r="H668" s="81" t="s">
        <v>10</v>
      </c>
      <c r="I668" s="82"/>
      <c r="J668" s="102" t="s">
        <v>997</v>
      </c>
      <c r="K668" s="83"/>
      <c r="L668" s="83"/>
      <c r="M668" s="83"/>
      <c r="N668" s="83"/>
      <c r="O668" s="83"/>
      <c r="P668" s="83"/>
      <c r="Q668" s="83"/>
      <c r="R668" s="83"/>
      <c r="S668" s="83"/>
      <c r="T668" s="83"/>
      <c r="U668" s="83"/>
      <c r="V668" s="83"/>
      <c r="W668" s="83"/>
      <c r="X668" s="83"/>
      <c r="Y668" s="83"/>
      <c r="Z668" s="83"/>
      <c r="AA668" s="83"/>
    </row>
    <row r="669" ht="55.5" customHeight="1">
      <c r="A669" s="79" t="s">
        <v>991</v>
      </c>
      <c r="B669" s="84"/>
      <c r="C669" s="79" t="s">
        <v>52</v>
      </c>
      <c r="D669" s="78"/>
      <c r="E669" s="79" t="s">
        <v>998</v>
      </c>
      <c r="F669" s="79" t="s">
        <v>999</v>
      </c>
      <c r="G669" s="79" t="s">
        <v>1000</v>
      </c>
      <c r="H669" s="81" t="s">
        <v>10</v>
      </c>
      <c r="I669" s="82"/>
      <c r="J669" s="82"/>
      <c r="K669" s="83"/>
      <c r="L669" s="83"/>
      <c r="M669" s="83"/>
      <c r="N669" s="83"/>
      <c r="O669" s="83"/>
      <c r="P669" s="83"/>
      <c r="Q669" s="83"/>
      <c r="R669" s="83"/>
      <c r="S669" s="83"/>
      <c r="T669" s="83"/>
      <c r="U669" s="83"/>
      <c r="V669" s="83"/>
      <c r="W669" s="83"/>
      <c r="X669" s="83"/>
      <c r="Y669" s="83"/>
      <c r="Z669" s="83"/>
      <c r="AA669" s="83"/>
    </row>
    <row r="670" ht="55.5" customHeight="1">
      <c r="A670" s="79" t="s">
        <v>991</v>
      </c>
      <c r="B670" s="84"/>
      <c r="C670" s="79" t="s">
        <v>58</v>
      </c>
      <c r="D670" s="78"/>
      <c r="E670" s="79" t="s">
        <v>1001</v>
      </c>
      <c r="F670" s="79" t="s">
        <v>1002</v>
      </c>
      <c r="G670" s="79" t="s">
        <v>1003</v>
      </c>
      <c r="H670" s="81" t="s">
        <v>10</v>
      </c>
      <c r="I670" s="82"/>
      <c r="J670" s="82"/>
      <c r="K670" s="83"/>
      <c r="L670" s="83"/>
      <c r="M670" s="83"/>
      <c r="N670" s="83"/>
      <c r="O670" s="83"/>
      <c r="P670" s="83"/>
      <c r="Q670" s="83"/>
      <c r="R670" s="83"/>
      <c r="S670" s="83"/>
      <c r="T670" s="83"/>
      <c r="U670" s="83"/>
      <c r="V670" s="83"/>
      <c r="W670" s="83"/>
      <c r="X670" s="83"/>
      <c r="Y670" s="83"/>
      <c r="Z670" s="83"/>
      <c r="AA670" s="83"/>
    </row>
    <row r="671" ht="55.5" customHeight="1">
      <c r="A671" s="79" t="s">
        <v>991</v>
      </c>
      <c r="B671" s="84"/>
      <c r="C671" s="79" t="s">
        <v>62</v>
      </c>
      <c r="D671" s="78"/>
      <c r="E671" s="79" t="s">
        <v>1004</v>
      </c>
      <c r="F671" s="79" t="s">
        <v>1005</v>
      </c>
      <c r="G671" s="79" t="s">
        <v>1006</v>
      </c>
      <c r="H671" s="81" t="s">
        <v>10</v>
      </c>
      <c r="I671" s="82"/>
      <c r="J671" s="82"/>
      <c r="K671" s="83"/>
      <c r="L671" s="83"/>
      <c r="M671" s="83"/>
      <c r="N671" s="83"/>
      <c r="O671" s="83"/>
      <c r="P671" s="83"/>
      <c r="Q671" s="83"/>
      <c r="R671" s="83"/>
      <c r="S671" s="83"/>
      <c r="T671" s="83"/>
      <c r="U671" s="83"/>
      <c r="V671" s="83"/>
      <c r="W671" s="83"/>
      <c r="X671" s="83"/>
      <c r="Y671" s="83"/>
      <c r="Z671" s="83"/>
      <c r="AA671" s="83"/>
    </row>
    <row r="672" ht="55.5" customHeight="1">
      <c r="A672" s="79" t="s">
        <v>991</v>
      </c>
      <c r="B672" s="84"/>
      <c r="C672" s="79" t="s">
        <v>64</v>
      </c>
      <c r="D672" s="78"/>
      <c r="E672" s="79" t="s">
        <v>1007</v>
      </c>
      <c r="F672" s="79" t="s">
        <v>1008</v>
      </c>
      <c r="G672" s="79" t="s">
        <v>1009</v>
      </c>
      <c r="H672" s="81" t="s">
        <v>10</v>
      </c>
      <c r="I672" s="82"/>
      <c r="J672" s="82"/>
      <c r="K672" s="83"/>
      <c r="L672" s="83"/>
      <c r="M672" s="83"/>
      <c r="N672" s="83"/>
      <c r="O672" s="83"/>
      <c r="P672" s="83"/>
      <c r="Q672" s="83"/>
      <c r="R672" s="83"/>
      <c r="S672" s="83"/>
      <c r="T672" s="83"/>
      <c r="U672" s="83"/>
      <c r="V672" s="83"/>
      <c r="W672" s="83"/>
      <c r="X672" s="83"/>
      <c r="Y672" s="83"/>
      <c r="Z672" s="83"/>
      <c r="AA672" s="83"/>
    </row>
    <row r="673" ht="55.5" customHeight="1">
      <c r="A673" s="79" t="s">
        <v>991</v>
      </c>
      <c r="B673" s="84"/>
      <c r="C673" s="79" t="s">
        <v>69</v>
      </c>
      <c r="D673" s="78"/>
      <c r="E673" s="79" t="s">
        <v>1010</v>
      </c>
      <c r="F673" s="79" t="s">
        <v>1011</v>
      </c>
      <c r="G673" s="79" t="s">
        <v>1012</v>
      </c>
      <c r="H673" s="81" t="s">
        <v>10</v>
      </c>
      <c r="I673" s="82"/>
      <c r="J673" s="82"/>
      <c r="K673" s="83"/>
      <c r="L673" s="83"/>
      <c r="M673" s="83"/>
      <c r="N673" s="83"/>
      <c r="O673" s="83"/>
      <c r="P673" s="83"/>
      <c r="Q673" s="83"/>
      <c r="R673" s="83"/>
      <c r="S673" s="83"/>
      <c r="T673" s="83"/>
      <c r="U673" s="83"/>
      <c r="V673" s="83"/>
      <c r="W673" s="83"/>
      <c r="X673" s="83"/>
      <c r="Y673" s="83"/>
      <c r="Z673" s="83"/>
      <c r="AA673" s="83"/>
    </row>
    <row r="674" ht="55.5" customHeight="1">
      <c r="A674" s="79" t="s">
        <v>991</v>
      </c>
      <c r="B674" s="84"/>
      <c r="C674" s="79" t="s">
        <v>72</v>
      </c>
      <c r="D674" s="78"/>
      <c r="E674" s="79" t="s">
        <v>1013</v>
      </c>
      <c r="F674" s="79" t="s">
        <v>1014</v>
      </c>
      <c r="G674" s="79" t="s">
        <v>1015</v>
      </c>
      <c r="H674" s="81" t="s">
        <v>10</v>
      </c>
      <c r="I674" s="82"/>
      <c r="J674" s="82"/>
      <c r="K674" s="83"/>
      <c r="L674" s="83"/>
      <c r="M674" s="83"/>
      <c r="N674" s="83"/>
      <c r="O674" s="83"/>
      <c r="P674" s="83"/>
      <c r="Q674" s="83"/>
      <c r="R674" s="83"/>
      <c r="S674" s="83"/>
      <c r="T674" s="83"/>
      <c r="U674" s="83"/>
      <c r="V674" s="83"/>
      <c r="W674" s="83"/>
      <c r="X674" s="83"/>
      <c r="Y674" s="83"/>
      <c r="Z674" s="83"/>
      <c r="AA674" s="83"/>
    </row>
    <row r="675" ht="55.5" customHeight="1">
      <c r="A675" s="79" t="s">
        <v>991</v>
      </c>
      <c r="B675" s="84"/>
      <c r="C675" s="79" t="s">
        <v>75</v>
      </c>
      <c r="D675" s="78"/>
      <c r="E675" s="79" t="s">
        <v>1016</v>
      </c>
      <c r="F675" s="79" t="s">
        <v>1017</v>
      </c>
      <c r="G675" s="79" t="s">
        <v>1018</v>
      </c>
      <c r="H675" s="81" t="s">
        <v>10</v>
      </c>
      <c r="I675" s="82"/>
      <c r="J675" s="82"/>
      <c r="K675" s="83"/>
      <c r="L675" s="83"/>
      <c r="M675" s="83"/>
      <c r="N675" s="83"/>
      <c r="O675" s="83"/>
      <c r="P675" s="83"/>
      <c r="Q675" s="83"/>
      <c r="R675" s="83"/>
      <c r="S675" s="83"/>
      <c r="T675" s="83"/>
      <c r="U675" s="83"/>
      <c r="V675" s="83"/>
      <c r="W675" s="83"/>
      <c r="X675" s="83"/>
      <c r="Y675" s="83"/>
      <c r="Z675" s="83"/>
      <c r="AA675" s="83"/>
    </row>
    <row r="676" ht="55.5" customHeight="1">
      <c r="A676" s="79" t="s">
        <v>991</v>
      </c>
      <c r="B676" s="84"/>
      <c r="C676" s="79" t="s">
        <v>79</v>
      </c>
      <c r="D676" s="94"/>
      <c r="E676" s="79" t="s">
        <v>1019</v>
      </c>
      <c r="F676" s="79" t="s">
        <v>1020</v>
      </c>
      <c r="G676" s="79" t="s">
        <v>1021</v>
      </c>
      <c r="H676" s="81" t="s">
        <v>10</v>
      </c>
      <c r="I676" s="82"/>
      <c r="J676" s="82"/>
      <c r="K676" s="83"/>
      <c r="L676" s="83"/>
      <c r="M676" s="83"/>
      <c r="N676" s="83"/>
      <c r="O676" s="83"/>
      <c r="P676" s="83"/>
      <c r="Q676" s="83"/>
      <c r="R676" s="83"/>
      <c r="S676" s="83"/>
      <c r="T676" s="83"/>
      <c r="U676" s="83"/>
      <c r="V676" s="83"/>
      <c r="W676" s="83"/>
      <c r="X676" s="83"/>
      <c r="Y676" s="83"/>
      <c r="Z676" s="83"/>
      <c r="AA676" s="83"/>
    </row>
    <row r="677" ht="55.5" customHeight="1">
      <c r="A677" s="79" t="s">
        <v>991</v>
      </c>
      <c r="B677" s="12"/>
      <c r="C677" s="79" t="s">
        <v>83</v>
      </c>
      <c r="D677" s="78"/>
      <c r="E677" s="79" t="s">
        <v>1022</v>
      </c>
      <c r="F677" s="79" t="s">
        <v>1023</v>
      </c>
      <c r="G677" s="79" t="s">
        <v>1024</v>
      </c>
      <c r="H677" s="81" t="s">
        <v>10</v>
      </c>
      <c r="I677" s="82"/>
      <c r="J677" s="82"/>
      <c r="K677" s="83"/>
      <c r="L677" s="83"/>
      <c r="M677" s="83"/>
      <c r="N677" s="83"/>
      <c r="O677" s="83"/>
      <c r="P677" s="83"/>
      <c r="Q677" s="83"/>
      <c r="R677" s="83"/>
      <c r="S677" s="83"/>
      <c r="T677" s="83"/>
      <c r="U677" s="83"/>
      <c r="V677" s="83"/>
      <c r="W677" s="83"/>
      <c r="X677" s="83"/>
      <c r="Y677" s="83"/>
      <c r="Z677" s="83"/>
      <c r="AA677" s="83"/>
    </row>
    <row r="678" ht="55.5" customHeight="1">
      <c r="A678" s="79" t="s">
        <v>1025</v>
      </c>
      <c r="B678" s="80" t="s">
        <v>1026</v>
      </c>
      <c r="C678" s="79" t="s">
        <v>47</v>
      </c>
      <c r="D678" s="79" t="s">
        <v>1027</v>
      </c>
      <c r="E678" s="79" t="s">
        <v>1028</v>
      </c>
      <c r="F678" s="79" t="s">
        <v>1029</v>
      </c>
      <c r="G678" s="79" t="s">
        <v>1030</v>
      </c>
      <c r="H678" s="81" t="s">
        <v>10</v>
      </c>
      <c r="I678" s="82"/>
      <c r="J678" s="82"/>
      <c r="K678" s="83"/>
      <c r="L678" s="83"/>
      <c r="M678" s="83"/>
      <c r="N678" s="83"/>
      <c r="O678" s="83"/>
      <c r="P678" s="83"/>
      <c r="Q678" s="83"/>
      <c r="R678" s="83"/>
      <c r="S678" s="83"/>
      <c r="T678" s="83"/>
      <c r="U678" s="83"/>
      <c r="V678" s="83"/>
      <c r="W678" s="83"/>
      <c r="X678" s="83"/>
      <c r="Y678" s="83"/>
      <c r="Z678" s="83"/>
      <c r="AA678" s="83"/>
    </row>
    <row r="679" ht="55.5" customHeight="1">
      <c r="A679" s="79" t="s">
        <v>1025</v>
      </c>
      <c r="B679" s="84"/>
      <c r="C679" s="79" t="s">
        <v>52</v>
      </c>
      <c r="D679" s="78"/>
      <c r="E679" s="79" t="s">
        <v>1031</v>
      </c>
      <c r="F679" s="79" t="s">
        <v>1029</v>
      </c>
      <c r="G679" s="79" t="s">
        <v>1032</v>
      </c>
      <c r="H679" s="81" t="s">
        <v>10</v>
      </c>
      <c r="I679" s="82"/>
      <c r="J679" s="82"/>
      <c r="K679" s="83"/>
      <c r="L679" s="83"/>
      <c r="M679" s="83"/>
      <c r="N679" s="83"/>
      <c r="O679" s="83"/>
      <c r="P679" s="83"/>
      <c r="Q679" s="83"/>
      <c r="R679" s="83"/>
      <c r="S679" s="83"/>
      <c r="T679" s="83"/>
      <c r="U679" s="83"/>
      <c r="V679" s="83"/>
      <c r="W679" s="83"/>
      <c r="X679" s="83"/>
      <c r="Y679" s="83"/>
      <c r="Z679" s="83"/>
      <c r="AA679" s="83"/>
    </row>
    <row r="680" ht="55.5" customHeight="1">
      <c r="A680" s="79" t="s">
        <v>1025</v>
      </c>
      <c r="B680" s="84"/>
      <c r="C680" s="79" t="s">
        <v>55</v>
      </c>
      <c r="D680" s="78"/>
      <c r="E680" s="79" t="s">
        <v>1033</v>
      </c>
      <c r="F680" s="79" t="s">
        <v>1034</v>
      </c>
      <c r="G680" s="79" t="s">
        <v>1035</v>
      </c>
      <c r="H680" s="81" t="s">
        <v>10</v>
      </c>
      <c r="I680" s="82"/>
      <c r="J680" s="82"/>
      <c r="K680" s="83"/>
      <c r="L680" s="83"/>
      <c r="M680" s="83"/>
      <c r="N680" s="83"/>
      <c r="O680" s="83"/>
      <c r="P680" s="83"/>
      <c r="Q680" s="83"/>
      <c r="R680" s="83"/>
      <c r="S680" s="83"/>
      <c r="T680" s="83"/>
      <c r="U680" s="83"/>
      <c r="V680" s="83"/>
      <c r="W680" s="83"/>
      <c r="X680" s="83"/>
      <c r="Y680" s="83"/>
      <c r="Z680" s="83"/>
      <c r="AA680" s="83"/>
    </row>
    <row r="681" ht="55.5" customHeight="1">
      <c r="A681" s="79" t="s">
        <v>1025</v>
      </c>
      <c r="B681" s="84"/>
      <c r="C681" s="79" t="s">
        <v>58</v>
      </c>
      <c r="D681" s="78"/>
      <c r="E681" s="79" t="s">
        <v>1036</v>
      </c>
      <c r="F681" s="79" t="s">
        <v>1037</v>
      </c>
      <c r="G681" s="79" t="s">
        <v>1038</v>
      </c>
      <c r="H681" s="81" t="s">
        <v>10</v>
      </c>
      <c r="I681" s="82"/>
      <c r="J681" s="82"/>
      <c r="K681" s="83"/>
      <c r="L681" s="83"/>
      <c r="M681" s="83"/>
      <c r="N681" s="83"/>
      <c r="O681" s="83"/>
      <c r="P681" s="83"/>
      <c r="Q681" s="83"/>
      <c r="R681" s="83"/>
      <c r="S681" s="83"/>
      <c r="T681" s="83"/>
      <c r="U681" s="83"/>
      <c r="V681" s="83"/>
      <c r="W681" s="83"/>
      <c r="X681" s="83"/>
      <c r="Y681" s="83"/>
      <c r="Z681" s="83"/>
      <c r="AA681" s="83"/>
    </row>
    <row r="682" ht="55.5" customHeight="1">
      <c r="A682" s="79" t="s">
        <v>1025</v>
      </c>
      <c r="B682" s="84"/>
      <c r="C682" s="79" t="s">
        <v>62</v>
      </c>
      <c r="D682" s="78"/>
      <c r="E682" s="79" t="s">
        <v>1039</v>
      </c>
      <c r="F682" s="79" t="s">
        <v>1040</v>
      </c>
      <c r="G682" s="79" t="s">
        <v>1041</v>
      </c>
      <c r="H682" s="81" t="s">
        <v>10</v>
      </c>
      <c r="I682" s="82"/>
      <c r="J682" s="82"/>
      <c r="K682" s="83"/>
      <c r="L682" s="83"/>
      <c r="M682" s="83"/>
      <c r="N682" s="83"/>
      <c r="O682" s="83"/>
      <c r="P682" s="83"/>
      <c r="Q682" s="83"/>
      <c r="R682" s="83"/>
      <c r="S682" s="83"/>
      <c r="T682" s="83"/>
      <c r="U682" s="83"/>
      <c r="V682" s="83"/>
      <c r="W682" s="83"/>
      <c r="X682" s="83"/>
      <c r="Y682" s="83"/>
      <c r="Z682" s="83"/>
      <c r="AA682" s="83"/>
    </row>
    <row r="683" ht="55.5" customHeight="1">
      <c r="A683" s="79" t="s">
        <v>1025</v>
      </c>
      <c r="B683" s="84"/>
      <c r="C683" s="79" t="s">
        <v>64</v>
      </c>
      <c r="D683" s="78"/>
      <c r="E683" s="79" t="s">
        <v>1042</v>
      </c>
      <c r="F683" s="79" t="s">
        <v>1043</v>
      </c>
      <c r="G683" s="79" t="s">
        <v>1044</v>
      </c>
      <c r="H683" s="81" t="s">
        <v>10</v>
      </c>
      <c r="I683" s="82"/>
      <c r="J683" s="82"/>
      <c r="K683" s="83"/>
      <c r="L683" s="83"/>
      <c r="M683" s="83"/>
      <c r="N683" s="83"/>
      <c r="O683" s="83"/>
      <c r="P683" s="83"/>
      <c r="Q683" s="83"/>
      <c r="R683" s="83"/>
      <c r="S683" s="83"/>
      <c r="T683" s="83"/>
      <c r="U683" s="83"/>
      <c r="V683" s="83"/>
      <c r="W683" s="83"/>
      <c r="X683" s="83"/>
      <c r="Y683" s="83"/>
      <c r="Z683" s="83"/>
      <c r="AA683" s="83"/>
    </row>
    <row r="684" ht="55.5" customHeight="1">
      <c r="A684" s="79" t="s">
        <v>1025</v>
      </c>
      <c r="B684" s="84"/>
      <c r="C684" s="79" t="s">
        <v>69</v>
      </c>
      <c r="D684" s="78"/>
      <c r="E684" s="79" t="s">
        <v>1045</v>
      </c>
      <c r="F684" s="79" t="s">
        <v>1046</v>
      </c>
      <c r="G684" s="79" t="s">
        <v>1047</v>
      </c>
      <c r="H684" s="81" t="s">
        <v>10</v>
      </c>
      <c r="I684" s="85"/>
      <c r="J684" s="82"/>
      <c r="K684" s="83"/>
      <c r="L684" s="83"/>
      <c r="M684" s="83"/>
      <c r="N684" s="83"/>
      <c r="O684" s="83"/>
      <c r="P684" s="83"/>
      <c r="Q684" s="83"/>
      <c r="R684" s="83"/>
      <c r="S684" s="83"/>
      <c r="T684" s="83"/>
      <c r="U684" s="83"/>
      <c r="V684" s="83"/>
      <c r="W684" s="83"/>
      <c r="X684" s="83"/>
      <c r="Y684" s="83"/>
      <c r="Z684" s="83"/>
      <c r="AA684" s="83"/>
    </row>
    <row r="685" ht="55.5" customHeight="1">
      <c r="A685" s="79" t="s">
        <v>1025</v>
      </c>
      <c r="B685" s="84"/>
      <c r="C685" s="79" t="s">
        <v>72</v>
      </c>
      <c r="D685" s="78"/>
      <c r="E685" s="79" t="s">
        <v>1048</v>
      </c>
      <c r="F685" s="79" t="s">
        <v>1049</v>
      </c>
      <c r="G685" s="79" t="s">
        <v>1050</v>
      </c>
      <c r="H685" s="81" t="s">
        <v>10</v>
      </c>
      <c r="I685" s="82"/>
      <c r="J685" s="82"/>
      <c r="K685" s="83"/>
      <c r="L685" s="83"/>
      <c r="M685" s="83"/>
      <c r="N685" s="83"/>
      <c r="O685" s="83"/>
      <c r="P685" s="83"/>
      <c r="Q685" s="83"/>
      <c r="R685" s="83"/>
      <c r="S685" s="83"/>
      <c r="T685" s="83"/>
      <c r="U685" s="83"/>
      <c r="V685" s="83"/>
      <c r="W685" s="83"/>
      <c r="X685" s="83"/>
      <c r="Y685" s="83"/>
      <c r="Z685" s="83"/>
      <c r="AA685" s="83"/>
    </row>
    <row r="686" ht="55.5" customHeight="1">
      <c r="A686" s="79" t="s">
        <v>1025</v>
      </c>
      <c r="B686" s="84"/>
      <c r="C686" s="79" t="s">
        <v>75</v>
      </c>
      <c r="D686" s="78"/>
      <c r="E686" s="79" t="s">
        <v>1051</v>
      </c>
      <c r="F686" s="79" t="s">
        <v>1034</v>
      </c>
      <c r="G686" s="79" t="s">
        <v>1052</v>
      </c>
      <c r="H686" s="81" t="s">
        <v>10</v>
      </c>
      <c r="I686" s="82"/>
      <c r="J686" s="82"/>
      <c r="K686" s="83"/>
      <c r="L686" s="83"/>
      <c r="M686" s="83"/>
      <c r="N686" s="83"/>
      <c r="O686" s="83"/>
      <c r="P686" s="83"/>
      <c r="Q686" s="83"/>
      <c r="R686" s="83"/>
      <c r="S686" s="83"/>
      <c r="T686" s="83"/>
      <c r="U686" s="83"/>
      <c r="V686" s="83"/>
      <c r="W686" s="83"/>
      <c r="X686" s="83"/>
      <c r="Y686" s="83"/>
      <c r="Z686" s="83"/>
      <c r="AA686" s="83"/>
    </row>
    <row r="687" ht="55.5" customHeight="1">
      <c r="A687" s="79" t="s">
        <v>1025</v>
      </c>
      <c r="B687" s="84"/>
      <c r="C687" s="79" t="s">
        <v>79</v>
      </c>
      <c r="D687" s="94"/>
      <c r="E687" s="79" t="s">
        <v>1053</v>
      </c>
      <c r="F687" s="79" t="s">
        <v>1034</v>
      </c>
      <c r="G687" s="79" t="s">
        <v>1054</v>
      </c>
      <c r="H687" s="81" t="s">
        <v>10</v>
      </c>
      <c r="I687" s="82"/>
      <c r="J687" s="82"/>
      <c r="K687" s="83"/>
      <c r="L687" s="83"/>
      <c r="M687" s="83"/>
      <c r="N687" s="83"/>
      <c r="O687" s="83"/>
      <c r="P687" s="83"/>
      <c r="Q687" s="83"/>
      <c r="R687" s="83"/>
      <c r="S687" s="83"/>
      <c r="T687" s="83"/>
      <c r="U687" s="83"/>
      <c r="V687" s="83"/>
      <c r="W687" s="83"/>
      <c r="X687" s="83"/>
      <c r="Y687" s="83"/>
      <c r="Z687" s="83"/>
      <c r="AA687" s="83"/>
    </row>
    <row r="688" ht="55.5" customHeight="1">
      <c r="A688" s="79" t="s">
        <v>1025</v>
      </c>
      <c r="B688" s="84"/>
      <c r="C688" s="79" t="s">
        <v>83</v>
      </c>
      <c r="D688" s="78"/>
      <c r="E688" s="79" t="s">
        <v>1055</v>
      </c>
      <c r="F688" s="79" t="s">
        <v>1034</v>
      </c>
      <c r="G688" s="79" t="s">
        <v>1056</v>
      </c>
      <c r="H688" s="81" t="s">
        <v>10</v>
      </c>
      <c r="I688" s="82"/>
      <c r="J688" s="82"/>
      <c r="K688" s="83"/>
      <c r="L688" s="83"/>
      <c r="M688" s="83"/>
      <c r="N688" s="83"/>
      <c r="O688" s="83"/>
      <c r="P688" s="83"/>
      <c r="Q688" s="83"/>
      <c r="R688" s="83"/>
      <c r="S688" s="83"/>
      <c r="T688" s="83"/>
      <c r="U688" s="83"/>
      <c r="V688" s="83"/>
      <c r="W688" s="83"/>
      <c r="X688" s="83"/>
      <c r="Y688" s="83"/>
      <c r="Z688" s="83"/>
      <c r="AA688" s="83"/>
    </row>
    <row r="689" ht="55.5" customHeight="1">
      <c r="A689" s="79" t="s">
        <v>1025</v>
      </c>
      <c r="B689" s="84"/>
      <c r="C689" s="79" t="s">
        <v>86</v>
      </c>
      <c r="D689" s="79" t="s">
        <v>1057</v>
      </c>
      <c r="E689" s="79" t="s">
        <v>1058</v>
      </c>
      <c r="F689" s="79" t="s">
        <v>1034</v>
      </c>
      <c r="G689" s="79" t="s">
        <v>1056</v>
      </c>
      <c r="H689" s="81" t="s">
        <v>10</v>
      </c>
      <c r="I689" s="82"/>
      <c r="J689" s="82"/>
      <c r="K689" s="83"/>
      <c r="L689" s="83"/>
      <c r="M689" s="83"/>
      <c r="N689" s="83"/>
      <c r="O689" s="83"/>
      <c r="P689" s="83"/>
      <c r="Q689" s="83"/>
      <c r="R689" s="83"/>
      <c r="S689" s="83"/>
      <c r="T689" s="83"/>
      <c r="U689" s="83"/>
      <c r="V689" s="83"/>
      <c r="W689" s="83"/>
      <c r="X689" s="83"/>
      <c r="Y689" s="83"/>
      <c r="Z689" s="83"/>
      <c r="AA689" s="83"/>
    </row>
    <row r="690" ht="55.5" customHeight="1">
      <c r="A690" s="79" t="s">
        <v>1025</v>
      </c>
      <c r="B690" s="84"/>
      <c r="C690" s="79" t="s">
        <v>88</v>
      </c>
      <c r="D690" s="78"/>
      <c r="E690" s="79" t="s">
        <v>1059</v>
      </c>
      <c r="F690" s="79" t="s">
        <v>1034</v>
      </c>
      <c r="G690" s="79" t="s">
        <v>1056</v>
      </c>
      <c r="H690" s="81" t="s">
        <v>10</v>
      </c>
      <c r="I690" s="82"/>
      <c r="J690" s="82"/>
      <c r="K690" s="83"/>
      <c r="L690" s="83"/>
      <c r="M690" s="83"/>
      <c r="N690" s="83"/>
      <c r="O690" s="83"/>
      <c r="P690" s="83"/>
      <c r="Q690" s="83"/>
      <c r="R690" s="83"/>
      <c r="S690" s="83"/>
      <c r="T690" s="83"/>
      <c r="U690" s="83"/>
      <c r="V690" s="83"/>
      <c r="W690" s="83"/>
      <c r="X690" s="83"/>
      <c r="Y690" s="83"/>
      <c r="Z690" s="83"/>
      <c r="AA690" s="83"/>
    </row>
    <row r="691" ht="55.5" customHeight="1">
      <c r="A691" s="79" t="s">
        <v>1025</v>
      </c>
      <c r="B691" s="84"/>
      <c r="C691" s="79" t="s">
        <v>91</v>
      </c>
      <c r="D691" s="78"/>
      <c r="E691" s="79" t="s">
        <v>1060</v>
      </c>
      <c r="F691" s="79" t="s">
        <v>1034</v>
      </c>
      <c r="G691" s="79" t="s">
        <v>1061</v>
      </c>
      <c r="H691" s="81" t="s">
        <v>10</v>
      </c>
      <c r="I691" s="82"/>
      <c r="J691" s="82"/>
      <c r="K691" s="83"/>
      <c r="L691" s="83"/>
      <c r="M691" s="83"/>
      <c r="N691" s="83"/>
      <c r="O691" s="83"/>
      <c r="P691" s="83"/>
      <c r="Q691" s="83"/>
      <c r="R691" s="83"/>
      <c r="S691" s="83"/>
      <c r="T691" s="83"/>
      <c r="U691" s="83"/>
      <c r="V691" s="83"/>
      <c r="W691" s="83"/>
      <c r="X691" s="83"/>
      <c r="Y691" s="83"/>
      <c r="Z691" s="83"/>
      <c r="AA691" s="83"/>
    </row>
    <row r="692" ht="55.5" customHeight="1">
      <c r="A692" s="79" t="s">
        <v>1025</v>
      </c>
      <c r="B692" s="12"/>
      <c r="C692" s="79" t="s">
        <v>94</v>
      </c>
      <c r="D692" s="78"/>
      <c r="E692" s="79" t="s">
        <v>1062</v>
      </c>
      <c r="F692" s="79" t="s">
        <v>1034</v>
      </c>
      <c r="G692" s="79" t="s">
        <v>1063</v>
      </c>
      <c r="H692" s="81" t="s">
        <v>10</v>
      </c>
      <c r="I692" s="82"/>
      <c r="J692" s="82"/>
      <c r="K692" s="83"/>
      <c r="L692" s="83"/>
      <c r="M692" s="83"/>
      <c r="N692" s="83"/>
      <c r="O692" s="83"/>
      <c r="P692" s="83"/>
      <c r="Q692" s="83"/>
      <c r="R692" s="83"/>
      <c r="S692" s="83"/>
      <c r="T692" s="83"/>
      <c r="U692" s="83"/>
      <c r="V692" s="83"/>
      <c r="W692" s="83"/>
      <c r="X692" s="83"/>
      <c r="Y692" s="83"/>
      <c r="Z692" s="83"/>
      <c r="AA692" s="83"/>
    </row>
    <row r="693" ht="55.5" customHeight="1">
      <c r="A693" s="79" t="s">
        <v>1025</v>
      </c>
      <c r="B693" s="78"/>
      <c r="C693" s="79" t="s">
        <v>96</v>
      </c>
      <c r="D693" s="78"/>
      <c r="E693" s="79" t="s">
        <v>1064</v>
      </c>
      <c r="F693" s="79" t="s">
        <v>1065</v>
      </c>
      <c r="G693" s="79" t="s">
        <v>1066</v>
      </c>
      <c r="H693" s="81" t="s">
        <v>10</v>
      </c>
      <c r="I693" s="82"/>
      <c r="J693" s="82"/>
      <c r="K693" s="83"/>
      <c r="L693" s="83"/>
      <c r="M693" s="83"/>
      <c r="N693" s="83"/>
      <c r="O693" s="83"/>
      <c r="P693" s="83"/>
      <c r="Q693" s="83"/>
      <c r="R693" s="83"/>
      <c r="S693" s="83"/>
      <c r="T693" s="83"/>
      <c r="U693" s="83"/>
      <c r="V693" s="83"/>
      <c r="W693" s="83"/>
      <c r="X693" s="83"/>
      <c r="Y693" s="83"/>
      <c r="Z693" s="83"/>
      <c r="AA693" s="83"/>
    </row>
    <row r="694" ht="55.5" customHeight="1">
      <c r="A694" s="79" t="s">
        <v>1025</v>
      </c>
      <c r="B694" s="78"/>
      <c r="C694" s="79" t="s">
        <v>98</v>
      </c>
      <c r="D694" s="78"/>
      <c r="E694" s="79" t="s">
        <v>1067</v>
      </c>
      <c r="F694" s="79" t="s">
        <v>1068</v>
      </c>
      <c r="G694" s="79" t="s">
        <v>1054</v>
      </c>
      <c r="H694" s="81" t="s">
        <v>10</v>
      </c>
      <c r="I694" s="82"/>
      <c r="J694" s="82"/>
      <c r="K694" s="83"/>
      <c r="L694" s="83"/>
      <c r="M694" s="83"/>
      <c r="N694" s="83"/>
      <c r="O694" s="83"/>
      <c r="P694" s="83"/>
      <c r="Q694" s="83"/>
      <c r="R694" s="83"/>
      <c r="S694" s="83"/>
      <c r="T694" s="83"/>
      <c r="U694" s="83"/>
      <c r="V694" s="83"/>
      <c r="W694" s="83"/>
      <c r="X694" s="83"/>
      <c r="Y694" s="83"/>
      <c r="Z694" s="83"/>
      <c r="AA694" s="83"/>
    </row>
    <row r="695" ht="55.5" customHeight="1">
      <c r="A695" s="79" t="s">
        <v>1025</v>
      </c>
      <c r="B695" s="94"/>
      <c r="C695" s="79" t="s">
        <v>102</v>
      </c>
      <c r="D695" s="94"/>
      <c r="E695" s="79" t="s">
        <v>1069</v>
      </c>
      <c r="F695" s="79" t="s">
        <v>1070</v>
      </c>
      <c r="G695" s="79" t="s">
        <v>1071</v>
      </c>
      <c r="H695" s="81" t="s">
        <v>10</v>
      </c>
      <c r="I695" s="82"/>
      <c r="J695" s="82"/>
      <c r="K695" s="83"/>
      <c r="L695" s="83"/>
      <c r="M695" s="83"/>
      <c r="N695" s="83"/>
      <c r="O695" s="83"/>
      <c r="P695" s="83"/>
      <c r="Q695" s="83"/>
      <c r="R695" s="83"/>
      <c r="S695" s="83"/>
      <c r="T695" s="83"/>
      <c r="U695" s="83"/>
      <c r="V695" s="83"/>
      <c r="W695" s="83"/>
      <c r="X695" s="83"/>
      <c r="Y695" s="83"/>
      <c r="Z695" s="83"/>
      <c r="AA695" s="83"/>
    </row>
    <row r="696" ht="55.5" customHeight="1">
      <c r="A696" s="79" t="s">
        <v>1025</v>
      </c>
      <c r="B696" s="94"/>
      <c r="C696" s="79" t="s">
        <v>105</v>
      </c>
      <c r="D696" s="94"/>
      <c r="E696" s="79" t="s">
        <v>1072</v>
      </c>
      <c r="F696" s="79" t="s">
        <v>1073</v>
      </c>
      <c r="G696" s="79" t="s">
        <v>1074</v>
      </c>
      <c r="H696" s="81" t="s">
        <v>10</v>
      </c>
      <c r="I696" s="82"/>
      <c r="J696" s="82"/>
      <c r="K696" s="83"/>
      <c r="L696" s="83"/>
      <c r="M696" s="83"/>
      <c r="N696" s="83"/>
      <c r="O696" s="83"/>
      <c r="P696" s="83"/>
      <c r="Q696" s="83"/>
      <c r="R696" s="83"/>
      <c r="S696" s="83"/>
      <c r="T696" s="83"/>
      <c r="U696" s="83"/>
      <c r="V696" s="83"/>
      <c r="W696" s="83"/>
      <c r="X696" s="83"/>
      <c r="Y696" s="83"/>
      <c r="Z696" s="83"/>
      <c r="AA696" s="83"/>
    </row>
    <row r="697" ht="55.5" customHeight="1">
      <c r="A697" s="79" t="s">
        <v>1075</v>
      </c>
      <c r="B697" s="80" t="s">
        <v>1076</v>
      </c>
      <c r="C697" s="79" t="s">
        <v>47</v>
      </c>
      <c r="D697" s="80" t="s">
        <v>1077</v>
      </c>
      <c r="E697" s="79" t="s">
        <v>1078</v>
      </c>
      <c r="F697" s="79" t="s">
        <v>1079</v>
      </c>
      <c r="G697" s="79" t="s">
        <v>1080</v>
      </c>
      <c r="H697" s="81" t="s">
        <v>10</v>
      </c>
      <c r="I697" s="82"/>
      <c r="J697" s="82"/>
      <c r="K697" s="83"/>
      <c r="L697" s="83"/>
      <c r="M697" s="83"/>
      <c r="N697" s="83"/>
      <c r="O697" s="83"/>
      <c r="P697" s="83"/>
      <c r="Q697" s="83"/>
      <c r="R697" s="83"/>
      <c r="S697" s="83"/>
      <c r="T697" s="83"/>
      <c r="U697" s="83"/>
      <c r="V697" s="83"/>
      <c r="W697" s="83"/>
      <c r="X697" s="83"/>
      <c r="Y697" s="83"/>
      <c r="Z697" s="83"/>
      <c r="AA697" s="83"/>
    </row>
    <row r="698" ht="55.5" customHeight="1">
      <c r="A698" s="79" t="s">
        <v>1075</v>
      </c>
      <c r="B698" s="84"/>
      <c r="C698" s="79" t="s">
        <v>52</v>
      </c>
      <c r="D698" s="84"/>
      <c r="E698" s="79" t="s">
        <v>1081</v>
      </c>
      <c r="F698" s="79" t="s">
        <v>1082</v>
      </c>
      <c r="G698" s="79" t="s">
        <v>1083</v>
      </c>
      <c r="H698" s="81" t="s">
        <v>10</v>
      </c>
      <c r="I698" s="82"/>
      <c r="J698" s="82"/>
      <c r="K698" s="83"/>
      <c r="L698" s="83"/>
      <c r="M698" s="83"/>
      <c r="N698" s="83"/>
      <c r="O698" s="83"/>
      <c r="P698" s="83"/>
      <c r="Q698" s="83"/>
      <c r="R698" s="83"/>
      <c r="S698" s="83"/>
      <c r="T698" s="83"/>
      <c r="U698" s="83"/>
      <c r="V698" s="83"/>
      <c r="W698" s="83"/>
      <c r="X698" s="83"/>
      <c r="Y698" s="83"/>
      <c r="Z698" s="83"/>
      <c r="AA698" s="83"/>
    </row>
    <row r="699" ht="55.5" customHeight="1">
      <c r="A699" s="79" t="s">
        <v>1075</v>
      </c>
      <c r="B699" s="84"/>
      <c r="C699" s="79" t="s">
        <v>55</v>
      </c>
      <c r="D699" s="84"/>
      <c r="E699" s="79" t="s">
        <v>1084</v>
      </c>
      <c r="F699" s="79" t="s">
        <v>1085</v>
      </c>
      <c r="G699" s="79" t="s">
        <v>1086</v>
      </c>
      <c r="H699" s="81" t="s">
        <v>10</v>
      </c>
      <c r="I699" s="82"/>
      <c r="J699" s="82"/>
      <c r="K699" s="83"/>
      <c r="L699" s="83"/>
      <c r="M699" s="83"/>
      <c r="N699" s="83"/>
      <c r="O699" s="83"/>
      <c r="P699" s="83"/>
      <c r="Q699" s="83"/>
      <c r="R699" s="83"/>
      <c r="S699" s="83"/>
      <c r="T699" s="83"/>
      <c r="U699" s="83"/>
      <c r="V699" s="83"/>
      <c r="W699" s="83"/>
      <c r="X699" s="83"/>
      <c r="Y699" s="83"/>
      <c r="Z699" s="83"/>
      <c r="AA699" s="83"/>
    </row>
    <row r="700" ht="55.5" customHeight="1">
      <c r="A700" s="79" t="s">
        <v>1075</v>
      </c>
      <c r="B700" s="84"/>
      <c r="C700" s="79" t="s">
        <v>58</v>
      </c>
      <c r="D700" s="84"/>
      <c r="E700" s="79" t="s">
        <v>1087</v>
      </c>
      <c r="F700" s="79" t="s">
        <v>1088</v>
      </c>
      <c r="G700" s="79" t="s">
        <v>1089</v>
      </c>
      <c r="H700" s="81" t="s">
        <v>10</v>
      </c>
      <c r="I700" s="82"/>
      <c r="J700" s="82"/>
      <c r="K700" s="83"/>
      <c r="L700" s="83"/>
      <c r="M700" s="83"/>
      <c r="N700" s="83"/>
      <c r="O700" s="83"/>
      <c r="P700" s="83"/>
      <c r="Q700" s="83"/>
      <c r="R700" s="83"/>
      <c r="S700" s="83"/>
      <c r="T700" s="83"/>
      <c r="U700" s="83"/>
      <c r="V700" s="83"/>
      <c r="W700" s="83"/>
      <c r="X700" s="83"/>
      <c r="Y700" s="83"/>
      <c r="Z700" s="83"/>
      <c r="AA700" s="83"/>
    </row>
    <row r="701" ht="55.5" customHeight="1">
      <c r="A701" s="79" t="s">
        <v>1075</v>
      </c>
      <c r="B701" s="84"/>
      <c r="C701" s="79" t="s">
        <v>62</v>
      </c>
      <c r="D701" s="84"/>
      <c r="E701" s="79" t="s">
        <v>1090</v>
      </c>
      <c r="F701" s="79" t="s">
        <v>1091</v>
      </c>
      <c r="G701" s="79" t="s">
        <v>1092</v>
      </c>
      <c r="H701" s="81" t="s">
        <v>10</v>
      </c>
      <c r="I701" s="82"/>
      <c r="J701" s="82"/>
      <c r="K701" s="83"/>
      <c r="L701" s="83"/>
      <c r="M701" s="83"/>
      <c r="N701" s="83"/>
      <c r="O701" s="83"/>
      <c r="P701" s="83"/>
      <c r="Q701" s="83"/>
      <c r="R701" s="83"/>
      <c r="S701" s="83"/>
      <c r="T701" s="83"/>
      <c r="U701" s="83"/>
      <c r="V701" s="83"/>
      <c r="W701" s="83"/>
      <c r="X701" s="83"/>
      <c r="Y701" s="83"/>
      <c r="Z701" s="83"/>
      <c r="AA701" s="83"/>
    </row>
    <row r="702" ht="55.5" customHeight="1">
      <c r="A702" s="79" t="s">
        <v>1075</v>
      </c>
      <c r="B702" s="84"/>
      <c r="C702" s="79" t="s">
        <v>64</v>
      </c>
      <c r="D702" s="84"/>
      <c r="E702" s="79" t="s">
        <v>1093</v>
      </c>
      <c r="F702" s="79" t="s">
        <v>1094</v>
      </c>
      <c r="G702" s="79" t="s">
        <v>1080</v>
      </c>
      <c r="H702" s="81" t="s">
        <v>10</v>
      </c>
      <c r="I702" s="82"/>
      <c r="J702" s="82"/>
      <c r="K702" s="83"/>
      <c r="L702" s="83"/>
      <c r="M702" s="83"/>
      <c r="N702" s="83"/>
      <c r="O702" s="83"/>
      <c r="P702" s="83"/>
      <c r="Q702" s="83"/>
      <c r="R702" s="83"/>
      <c r="S702" s="83"/>
      <c r="T702" s="83"/>
      <c r="U702" s="83"/>
      <c r="V702" s="83"/>
      <c r="W702" s="83"/>
      <c r="X702" s="83"/>
      <c r="Y702" s="83"/>
      <c r="Z702" s="83"/>
      <c r="AA702" s="83"/>
    </row>
    <row r="703" ht="55.5" customHeight="1">
      <c r="A703" s="79" t="s">
        <v>1075</v>
      </c>
      <c r="B703" s="84"/>
      <c r="C703" s="79" t="s">
        <v>69</v>
      </c>
      <c r="D703" s="84"/>
      <c r="E703" s="79" t="s">
        <v>1095</v>
      </c>
      <c r="F703" s="79" t="s">
        <v>1096</v>
      </c>
      <c r="G703" s="79" t="s">
        <v>1089</v>
      </c>
      <c r="H703" s="81" t="s">
        <v>10</v>
      </c>
      <c r="I703" s="82"/>
      <c r="J703" s="82"/>
      <c r="K703" s="83"/>
      <c r="L703" s="83"/>
      <c r="M703" s="83"/>
      <c r="N703" s="83"/>
      <c r="O703" s="83"/>
      <c r="P703" s="83"/>
      <c r="Q703" s="83"/>
      <c r="R703" s="83"/>
      <c r="S703" s="83"/>
      <c r="T703" s="83"/>
      <c r="U703" s="83"/>
      <c r="V703" s="83"/>
      <c r="W703" s="83"/>
      <c r="X703" s="83"/>
      <c r="Y703" s="83"/>
      <c r="Z703" s="83"/>
      <c r="AA703" s="83"/>
    </row>
    <row r="704" ht="55.5" customHeight="1">
      <c r="A704" s="79" t="s">
        <v>1075</v>
      </c>
      <c r="B704" s="84"/>
      <c r="C704" s="79" t="s">
        <v>72</v>
      </c>
      <c r="D704" s="84"/>
      <c r="E704" s="79" t="s">
        <v>1097</v>
      </c>
      <c r="F704" s="79" t="s">
        <v>1098</v>
      </c>
      <c r="G704" s="79" t="s">
        <v>1099</v>
      </c>
      <c r="H704" s="81" t="s">
        <v>10</v>
      </c>
      <c r="I704" s="82"/>
      <c r="J704" s="82"/>
      <c r="K704" s="83"/>
      <c r="L704" s="83"/>
      <c r="M704" s="83"/>
      <c r="N704" s="83"/>
      <c r="O704" s="83"/>
      <c r="P704" s="83"/>
      <c r="Q704" s="83"/>
      <c r="R704" s="83"/>
      <c r="S704" s="83"/>
      <c r="T704" s="83"/>
      <c r="U704" s="83"/>
      <c r="V704" s="83"/>
      <c r="W704" s="83"/>
      <c r="X704" s="83"/>
      <c r="Y704" s="83"/>
      <c r="Z704" s="83"/>
      <c r="AA704" s="83"/>
    </row>
    <row r="705" ht="55.5" customHeight="1">
      <c r="A705" s="79" t="s">
        <v>1075</v>
      </c>
      <c r="B705" s="12"/>
      <c r="C705" s="79" t="s">
        <v>75</v>
      </c>
      <c r="D705" s="12"/>
      <c r="E705" s="79" t="s">
        <v>1100</v>
      </c>
      <c r="F705" s="79" t="s">
        <v>1101</v>
      </c>
      <c r="G705" s="79" t="s">
        <v>1102</v>
      </c>
      <c r="H705" s="81" t="s">
        <v>10</v>
      </c>
      <c r="I705" s="82"/>
      <c r="J705" s="82"/>
      <c r="K705" s="83"/>
      <c r="L705" s="83"/>
      <c r="M705" s="83"/>
      <c r="N705" s="83"/>
      <c r="O705" s="83"/>
      <c r="P705" s="83"/>
      <c r="Q705" s="83"/>
      <c r="R705" s="83"/>
      <c r="S705" s="83"/>
      <c r="T705" s="83"/>
      <c r="U705" s="83"/>
      <c r="V705" s="83"/>
      <c r="W705" s="83"/>
      <c r="X705" s="83"/>
      <c r="Y705" s="83"/>
      <c r="Z705" s="83"/>
      <c r="AA705" s="83"/>
    </row>
    <row r="706" ht="55.5" customHeight="1">
      <c r="A706" s="79" t="s">
        <v>1103</v>
      </c>
      <c r="B706" s="80" t="s">
        <v>1104</v>
      </c>
      <c r="C706" s="79" t="s">
        <v>47</v>
      </c>
      <c r="D706" s="80" t="s">
        <v>1105</v>
      </c>
      <c r="E706" s="79" t="s">
        <v>1106</v>
      </c>
      <c r="F706" s="79" t="s">
        <v>1107</v>
      </c>
      <c r="G706" s="79" t="s">
        <v>1108</v>
      </c>
      <c r="H706" s="81" t="s">
        <v>10</v>
      </c>
      <c r="I706" s="82"/>
      <c r="J706" s="82"/>
      <c r="K706" s="83"/>
      <c r="L706" s="83"/>
      <c r="M706" s="83"/>
      <c r="N706" s="83"/>
      <c r="O706" s="83"/>
      <c r="P706" s="83"/>
      <c r="Q706" s="83"/>
      <c r="R706" s="83"/>
      <c r="S706" s="83"/>
      <c r="T706" s="83"/>
      <c r="U706" s="83"/>
      <c r="V706" s="83"/>
      <c r="W706" s="83"/>
      <c r="X706" s="83"/>
      <c r="Y706" s="83"/>
      <c r="Z706" s="83"/>
      <c r="AA706" s="83"/>
    </row>
    <row r="707" ht="55.5" customHeight="1">
      <c r="A707" s="79" t="s">
        <v>1103</v>
      </c>
      <c r="B707" s="84"/>
      <c r="C707" s="79" t="s">
        <v>52</v>
      </c>
      <c r="D707" s="84"/>
      <c r="E707" s="79" t="s">
        <v>1109</v>
      </c>
      <c r="F707" s="79" t="s">
        <v>1107</v>
      </c>
      <c r="G707" s="79" t="s">
        <v>1110</v>
      </c>
      <c r="H707" s="81" t="s">
        <v>10</v>
      </c>
      <c r="I707" s="108"/>
      <c r="J707" s="82"/>
      <c r="K707" s="83"/>
      <c r="L707" s="83"/>
      <c r="M707" s="83"/>
      <c r="N707" s="83"/>
      <c r="O707" s="83"/>
      <c r="P707" s="83"/>
      <c r="Q707" s="83"/>
      <c r="R707" s="83"/>
      <c r="S707" s="83"/>
      <c r="T707" s="83"/>
      <c r="U707" s="83"/>
      <c r="V707" s="83"/>
      <c r="W707" s="83"/>
      <c r="X707" s="83"/>
      <c r="Y707" s="83"/>
      <c r="Z707" s="83"/>
      <c r="AA707" s="83"/>
    </row>
    <row r="708" ht="55.5" customHeight="1">
      <c r="A708" s="79" t="s">
        <v>1103</v>
      </c>
      <c r="B708" s="84"/>
      <c r="C708" s="79" t="s">
        <v>55</v>
      </c>
      <c r="D708" s="12"/>
      <c r="E708" s="79" t="s">
        <v>1111</v>
      </c>
      <c r="F708" s="79" t="s">
        <v>1107</v>
      </c>
      <c r="G708" s="79" t="s">
        <v>1112</v>
      </c>
      <c r="H708" s="81" t="s">
        <v>10</v>
      </c>
      <c r="I708" s="82"/>
      <c r="J708" s="82"/>
      <c r="K708" s="83"/>
      <c r="L708" s="83"/>
      <c r="M708" s="83"/>
      <c r="N708" s="83"/>
      <c r="O708" s="83"/>
      <c r="P708" s="83"/>
      <c r="Q708" s="83"/>
      <c r="R708" s="83"/>
      <c r="S708" s="83"/>
      <c r="T708" s="83"/>
      <c r="U708" s="83"/>
      <c r="V708" s="83"/>
      <c r="W708" s="83"/>
      <c r="X708" s="83"/>
      <c r="Y708" s="83"/>
      <c r="Z708" s="83"/>
      <c r="AA708" s="83"/>
    </row>
    <row r="709" ht="55.5" customHeight="1">
      <c r="A709" s="79" t="s">
        <v>1103</v>
      </c>
      <c r="B709" s="84"/>
      <c r="C709" s="79" t="s">
        <v>58</v>
      </c>
      <c r="D709" s="80" t="s">
        <v>1113</v>
      </c>
      <c r="E709" s="79" t="s">
        <v>1114</v>
      </c>
      <c r="F709" s="79" t="s">
        <v>1115</v>
      </c>
      <c r="G709" s="79" t="s">
        <v>1116</v>
      </c>
      <c r="H709" s="81" t="s">
        <v>10</v>
      </c>
      <c r="I709" s="82"/>
      <c r="J709" s="82"/>
      <c r="K709" s="83"/>
      <c r="L709" s="83"/>
      <c r="M709" s="83"/>
      <c r="N709" s="83"/>
      <c r="O709" s="83"/>
      <c r="P709" s="83"/>
      <c r="Q709" s="83"/>
      <c r="R709" s="83"/>
      <c r="S709" s="83"/>
      <c r="T709" s="83"/>
      <c r="U709" s="83"/>
      <c r="V709" s="83"/>
      <c r="W709" s="83"/>
      <c r="X709" s="83"/>
      <c r="Y709" s="83"/>
      <c r="Z709" s="83"/>
      <c r="AA709" s="83"/>
    </row>
    <row r="710" ht="55.5" customHeight="1">
      <c r="A710" s="79" t="s">
        <v>1103</v>
      </c>
      <c r="B710" s="84"/>
      <c r="C710" s="79" t="s">
        <v>62</v>
      </c>
      <c r="D710" s="84"/>
      <c r="E710" s="79" t="s">
        <v>1117</v>
      </c>
      <c r="F710" s="79" t="s">
        <v>1118</v>
      </c>
      <c r="G710" s="79" t="s">
        <v>1119</v>
      </c>
      <c r="H710" s="81" t="s">
        <v>10</v>
      </c>
      <c r="I710" s="82"/>
      <c r="J710" s="82"/>
      <c r="K710" s="83"/>
      <c r="L710" s="83"/>
      <c r="M710" s="83"/>
      <c r="N710" s="83"/>
      <c r="O710" s="83"/>
      <c r="P710" s="83"/>
      <c r="Q710" s="83"/>
      <c r="R710" s="83"/>
      <c r="S710" s="83"/>
      <c r="T710" s="83"/>
      <c r="U710" s="83"/>
      <c r="V710" s="83"/>
      <c r="W710" s="83"/>
      <c r="X710" s="83"/>
      <c r="Y710" s="83"/>
      <c r="Z710" s="83"/>
      <c r="AA710" s="83"/>
    </row>
    <row r="711" ht="55.5" customHeight="1">
      <c r="A711" s="79" t="s">
        <v>1103</v>
      </c>
      <c r="B711" s="84"/>
      <c r="C711" s="79" t="s">
        <v>64</v>
      </c>
      <c r="D711" s="84"/>
      <c r="E711" s="79" t="s">
        <v>1120</v>
      </c>
      <c r="F711" s="79" t="s">
        <v>1121</v>
      </c>
      <c r="G711" s="79" t="s">
        <v>1122</v>
      </c>
      <c r="H711" s="81" t="s">
        <v>10</v>
      </c>
      <c r="I711" s="82"/>
      <c r="J711" s="82"/>
      <c r="K711" s="83"/>
      <c r="L711" s="83"/>
      <c r="M711" s="83"/>
      <c r="N711" s="83"/>
      <c r="O711" s="83"/>
      <c r="P711" s="83"/>
      <c r="Q711" s="83"/>
      <c r="R711" s="83"/>
      <c r="S711" s="83"/>
      <c r="T711" s="83"/>
      <c r="U711" s="83"/>
      <c r="V711" s="83"/>
      <c r="W711" s="83"/>
      <c r="X711" s="83"/>
      <c r="Y711" s="83"/>
      <c r="Z711" s="83"/>
      <c r="AA711" s="83"/>
    </row>
    <row r="712" ht="55.5" customHeight="1">
      <c r="A712" s="79" t="s">
        <v>1103</v>
      </c>
      <c r="B712" s="84"/>
      <c r="C712" s="79" t="s">
        <v>69</v>
      </c>
      <c r="D712" s="84"/>
      <c r="E712" s="79" t="s">
        <v>1123</v>
      </c>
      <c r="F712" s="79" t="s">
        <v>1118</v>
      </c>
      <c r="G712" s="79" t="s">
        <v>1124</v>
      </c>
      <c r="H712" s="81" t="s">
        <v>10</v>
      </c>
      <c r="I712" s="82"/>
      <c r="J712" s="82"/>
      <c r="K712" s="83"/>
      <c r="L712" s="83"/>
      <c r="M712" s="83"/>
      <c r="N712" s="83"/>
      <c r="O712" s="83"/>
      <c r="P712" s="83"/>
      <c r="Q712" s="83"/>
      <c r="R712" s="83"/>
      <c r="S712" s="83"/>
      <c r="T712" s="83"/>
      <c r="U712" s="83"/>
      <c r="V712" s="83"/>
      <c r="W712" s="83"/>
      <c r="X712" s="83"/>
      <c r="Y712" s="83"/>
      <c r="Z712" s="83"/>
      <c r="AA712" s="83"/>
    </row>
    <row r="713" ht="55.5" customHeight="1">
      <c r="A713" s="79" t="s">
        <v>1103</v>
      </c>
      <c r="B713" s="84"/>
      <c r="C713" s="79" t="s">
        <v>72</v>
      </c>
      <c r="D713" s="84"/>
      <c r="E713" s="79" t="s">
        <v>1125</v>
      </c>
      <c r="F713" s="94"/>
      <c r="G713" s="79" t="s">
        <v>1126</v>
      </c>
      <c r="H713" s="81" t="s">
        <v>10</v>
      </c>
      <c r="I713" s="109"/>
      <c r="J713" s="110" t="s">
        <v>1127</v>
      </c>
      <c r="K713" s="100"/>
      <c r="L713" s="100"/>
      <c r="M713" s="100"/>
      <c r="N713" s="100"/>
      <c r="O713" s="100"/>
      <c r="P713" s="100"/>
      <c r="Q713" s="100"/>
      <c r="R713" s="100"/>
      <c r="S713" s="100"/>
      <c r="T713" s="100"/>
      <c r="U713" s="100"/>
      <c r="V713" s="100"/>
      <c r="W713" s="100"/>
      <c r="X713" s="100"/>
      <c r="Y713" s="100"/>
      <c r="Z713" s="100"/>
      <c r="AA713" s="100"/>
    </row>
    <row r="714" ht="55.5" customHeight="1">
      <c r="A714" s="79" t="s">
        <v>1103</v>
      </c>
      <c r="B714" s="84"/>
      <c r="C714" s="79" t="s">
        <v>75</v>
      </c>
      <c r="D714" s="12"/>
      <c r="E714" s="79" t="s">
        <v>1128</v>
      </c>
      <c r="F714" s="79" t="s">
        <v>1129</v>
      </c>
      <c r="G714" s="79" t="s">
        <v>1130</v>
      </c>
      <c r="H714" s="81" t="s">
        <v>10</v>
      </c>
      <c r="I714" s="85"/>
      <c r="J714" s="110" t="s">
        <v>1127</v>
      </c>
      <c r="K714" s="100"/>
      <c r="L714" s="100"/>
      <c r="M714" s="100"/>
      <c r="N714" s="100"/>
      <c r="O714" s="100"/>
      <c r="P714" s="100"/>
      <c r="Q714" s="100"/>
      <c r="R714" s="100"/>
      <c r="S714" s="100"/>
      <c r="T714" s="100"/>
      <c r="U714" s="100"/>
      <c r="V714" s="100"/>
      <c r="W714" s="100"/>
      <c r="X714" s="100"/>
      <c r="Y714" s="100"/>
      <c r="Z714" s="100"/>
      <c r="AA714" s="100"/>
    </row>
    <row r="715" ht="55.5" customHeight="1">
      <c r="A715" s="79" t="s">
        <v>1103</v>
      </c>
      <c r="B715" s="84"/>
      <c r="C715" s="79" t="s">
        <v>79</v>
      </c>
      <c r="D715" s="94"/>
      <c r="E715" s="79" t="s">
        <v>1131</v>
      </c>
      <c r="F715" s="79" t="s">
        <v>1132</v>
      </c>
      <c r="G715" s="79" t="s">
        <v>1133</v>
      </c>
      <c r="H715" s="98" t="s">
        <v>11</v>
      </c>
      <c r="I715" s="82"/>
      <c r="J715" s="102" t="s">
        <v>1134</v>
      </c>
      <c r="K715" s="83"/>
      <c r="L715" s="83"/>
      <c r="M715" s="83"/>
      <c r="N715" s="83"/>
      <c r="O715" s="83"/>
      <c r="P715" s="83"/>
      <c r="Q715" s="83"/>
      <c r="R715" s="83"/>
      <c r="S715" s="83"/>
      <c r="T715" s="83"/>
      <c r="U715" s="83"/>
      <c r="V715" s="83"/>
      <c r="W715" s="83"/>
      <c r="X715" s="83"/>
      <c r="Y715" s="83"/>
      <c r="Z715" s="83"/>
      <c r="AA715" s="83"/>
    </row>
    <row r="716" ht="55.5" customHeight="1">
      <c r="A716" s="79" t="s">
        <v>1103</v>
      </c>
      <c r="B716" s="84"/>
      <c r="C716" s="79" t="s">
        <v>83</v>
      </c>
      <c r="D716" s="94"/>
      <c r="E716" s="79" t="s">
        <v>1135</v>
      </c>
      <c r="F716" s="79" t="s">
        <v>1136</v>
      </c>
      <c r="G716" s="79" t="s">
        <v>1137</v>
      </c>
      <c r="H716" s="98" t="s">
        <v>11</v>
      </c>
      <c r="I716" s="82"/>
      <c r="J716" s="102" t="s">
        <v>1134</v>
      </c>
      <c r="K716" s="83"/>
      <c r="L716" s="83"/>
      <c r="M716" s="83"/>
      <c r="N716" s="83"/>
      <c r="O716" s="83"/>
      <c r="P716" s="83"/>
      <c r="Q716" s="83"/>
      <c r="R716" s="83"/>
      <c r="S716" s="83"/>
      <c r="T716" s="83"/>
      <c r="U716" s="83"/>
      <c r="V716" s="83"/>
      <c r="W716" s="83"/>
      <c r="X716" s="83"/>
      <c r="Y716" s="83"/>
      <c r="Z716" s="83"/>
      <c r="AA716" s="83"/>
    </row>
    <row r="717" ht="55.5" customHeight="1">
      <c r="A717" s="79" t="s">
        <v>1103</v>
      </c>
      <c r="B717" s="84"/>
      <c r="C717" s="79" t="s">
        <v>86</v>
      </c>
      <c r="D717" s="80" t="s">
        <v>1138</v>
      </c>
      <c r="E717" s="79" t="s">
        <v>1139</v>
      </c>
      <c r="F717" s="79" t="s">
        <v>1140</v>
      </c>
      <c r="G717" s="79" t="s">
        <v>1141</v>
      </c>
      <c r="H717" s="81" t="s">
        <v>10</v>
      </c>
      <c r="I717" s="82"/>
      <c r="J717" s="82"/>
      <c r="K717" s="83"/>
      <c r="L717" s="83"/>
      <c r="M717" s="83"/>
      <c r="N717" s="83"/>
      <c r="O717" s="83"/>
      <c r="P717" s="83"/>
      <c r="Q717" s="83"/>
      <c r="R717" s="83"/>
      <c r="S717" s="83"/>
      <c r="T717" s="83"/>
      <c r="U717" s="83"/>
      <c r="V717" s="83"/>
      <c r="W717" s="83"/>
      <c r="X717" s="83"/>
      <c r="Y717" s="83"/>
      <c r="Z717" s="83"/>
      <c r="AA717" s="83"/>
    </row>
    <row r="718" ht="55.5" customHeight="1">
      <c r="A718" s="79" t="s">
        <v>1103</v>
      </c>
      <c r="B718" s="84"/>
      <c r="C718" s="79" t="s">
        <v>88</v>
      </c>
      <c r="D718" s="84"/>
      <c r="E718" s="79" t="s">
        <v>1142</v>
      </c>
      <c r="F718" s="79" t="s">
        <v>1143</v>
      </c>
      <c r="G718" s="79" t="s">
        <v>1144</v>
      </c>
      <c r="H718" s="81" t="s">
        <v>10</v>
      </c>
      <c r="I718" s="82"/>
      <c r="J718" s="82"/>
      <c r="K718" s="83"/>
      <c r="L718" s="83"/>
      <c r="M718" s="83"/>
      <c r="N718" s="83"/>
      <c r="O718" s="83"/>
      <c r="P718" s="83"/>
      <c r="Q718" s="83"/>
      <c r="R718" s="83"/>
      <c r="S718" s="83"/>
      <c r="T718" s="83"/>
      <c r="U718" s="83"/>
      <c r="V718" s="83"/>
      <c r="W718" s="83"/>
      <c r="X718" s="83"/>
      <c r="Y718" s="83"/>
      <c r="Z718" s="83"/>
      <c r="AA718" s="83"/>
    </row>
    <row r="719" ht="55.5" customHeight="1">
      <c r="A719" s="79" t="s">
        <v>1103</v>
      </c>
      <c r="B719" s="84"/>
      <c r="C719" s="79" t="s">
        <v>91</v>
      </c>
      <c r="D719" s="84"/>
      <c r="E719" s="79" t="s">
        <v>1145</v>
      </c>
      <c r="F719" s="79" t="s">
        <v>1146</v>
      </c>
      <c r="G719" s="79" t="s">
        <v>1147</v>
      </c>
      <c r="H719" s="81" t="s">
        <v>10</v>
      </c>
      <c r="I719" s="82"/>
      <c r="J719" s="82"/>
      <c r="K719" s="83"/>
      <c r="L719" s="83"/>
      <c r="M719" s="83"/>
      <c r="N719" s="83"/>
      <c r="O719" s="83"/>
      <c r="P719" s="83"/>
      <c r="Q719" s="83"/>
      <c r="R719" s="83"/>
      <c r="S719" s="83"/>
      <c r="T719" s="83"/>
      <c r="U719" s="83"/>
      <c r="V719" s="83"/>
      <c r="W719" s="83"/>
      <c r="X719" s="83"/>
      <c r="Y719" s="83"/>
      <c r="Z719" s="83"/>
      <c r="AA719" s="83"/>
    </row>
    <row r="720" ht="55.5" customHeight="1">
      <c r="A720" s="79" t="s">
        <v>1103</v>
      </c>
      <c r="B720" s="84"/>
      <c r="C720" s="79" t="s">
        <v>94</v>
      </c>
      <c r="D720" s="12"/>
      <c r="E720" s="79" t="s">
        <v>1148</v>
      </c>
      <c r="F720" s="79" t="s">
        <v>1149</v>
      </c>
      <c r="G720" s="79" t="s">
        <v>1150</v>
      </c>
      <c r="H720" s="81" t="s">
        <v>10</v>
      </c>
      <c r="I720" s="82"/>
      <c r="J720" s="82"/>
      <c r="K720" s="83"/>
      <c r="L720" s="83"/>
      <c r="M720" s="83"/>
      <c r="N720" s="83"/>
      <c r="O720" s="83"/>
      <c r="P720" s="83"/>
      <c r="Q720" s="83"/>
      <c r="R720" s="83"/>
      <c r="S720" s="83"/>
      <c r="T720" s="83"/>
      <c r="U720" s="83"/>
      <c r="V720" s="83"/>
      <c r="W720" s="83"/>
      <c r="X720" s="83"/>
      <c r="Y720" s="83"/>
      <c r="Z720" s="83"/>
      <c r="AA720" s="83"/>
    </row>
    <row r="721" ht="55.5" customHeight="1">
      <c r="A721" s="79" t="s">
        <v>1103</v>
      </c>
      <c r="B721" s="84"/>
      <c r="C721" s="79" t="s">
        <v>96</v>
      </c>
      <c r="D721" s="80" t="s">
        <v>1077</v>
      </c>
      <c r="E721" s="79" t="s">
        <v>1078</v>
      </c>
      <c r="F721" s="79" t="s">
        <v>1079</v>
      </c>
      <c r="G721" s="79" t="s">
        <v>1080</v>
      </c>
      <c r="H721" s="81" t="s">
        <v>10</v>
      </c>
      <c r="I721" s="82"/>
      <c r="J721" s="82"/>
      <c r="K721" s="83"/>
      <c r="L721" s="83"/>
      <c r="M721" s="83"/>
      <c r="N721" s="83"/>
      <c r="O721" s="83"/>
      <c r="P721" s="83"/>
      <c r="Q721" s="83"/>
      <c r="R721" s="83"/>
      <c r="S721" s="83"/>
      <c r="T721" s="83"/>
      <c r="U721" s="83"/>
      <c r="V721" s="83"/>
      <c r="W721" s="83"/>
      <c r="X721" s="83"/>
      <c r="Y721" s="83"/>
      <c r="Z721" s="83"/>
      <c r="AA721" s="83"/>
    </row>
    <row r="722" ht="55.5" customHeight="1">
      <c r="A722" s="79" t="s">
        <v>1103</v>
      </c>
      <c r="B722" s="84"/>
      <c r="C722" s="79" t="s">
        <v>98</v>
      </c>
      <c r="D722" s="84"/>
      <c r="E722" s="79" t="s">
        <v>1081</v>
      </c>
      <c r="F722" s="79" t="s">
        <v>1082</v>
      </c>
      <c r="G722" s="79" t="s">
        <v>1151</v>
      </c>
      <c r="H722" s="81" t="s">
        <v>10</v>
      </c>
      <c r="I722" s="82"/>
      <c r="J722" s="82"/>
      <c r="K722" s="83"/>
      <c r="L722" s="83"/>
      <c r="M722" s="83"/>
      <c r="N722" s="83"/>
      <c r="O722" s="83"/>
      <c r="P722" s="83"/>
      <c r="Q722" s="83"/>
      <c r="R722" s="83"/>
      <c r="S722" s="83"/>
      <c r="T722" s="83"/>
      <c r="U722" s="83"/>
      <c r="V722" s="83"/>
      <c r="W722" s="83"/>
      <c r="X722" s="83"/>
      <c r="Y722" s="83"/>
      <c r="Z722" s="83"/>
      <c r="AA722" s="83"/>
    </row>
    <row r="723" ht="55.5" customHeight="1">
      <c r="A723" s="79" t="s">
        <v>1103</v>
      </c>
      <c r="B723" s="84"/>
      <c r="C723" s="79" t="s">
        <v>102</v>
      </c>
      <c r="D723" s="84"/>
      <c r="E723" s="79" t="s">
        <v>1084</v>
      </c>
      <c r="F723" s="79" t="s">
        <v>1085</v>
      </c>
      <c r="G723" s="79" t="s">
        <v>1152</v>
      </c>
      <c r="H723" s="81" t="s">
        <v>10</v>
      </c>
      <c r="I723" s="82"/>
      <c r="J723" s="82"/>
      <c r="K723" s="83"/>
      <c r="L723" s="83"/>
      <c r="M723" s="83"/>
      <c r="N723" s="83"/>
      <c r="O723" s="83"/>
      <c r="P723" s="83"/>
      <c r="Q723" s="83"/>
      <c r="R723" s="83"/>
      <c r="S723" s="83"/>
      <c r="T723" s="83"/>
      <c r="U723" s="83"/>
      <c r="V723" s="83"/>
      <c r="W723" s="83"/>
      <c r="X723" s="83"/>
      <c r="Y723" s="83"/>
      <c r="Z723" s="83"/>
      <c r="AA723" s="83"/>
    </row>
    <row r="724" ht="55.5" customHeight="1">
      <c r="A724" s="79" t="s">
        <v>1103</v>
      </c>
      <c r="B724" s="84"/>
      <c r="C724" s="79" t="s">
        <v>105</v>
      </c>
      <c r="D724" s="84"/>
      <c r="E724" s="79" t="s">
        <v>1087</v>
      </c>
      <c r="F724" s="79" t="s">
        <v>1088</v>
      </c>
      <c r="G724" s="79" t="s">
        <v>1089</v>
      </c>
      <c r="H724" s="81" t="s">
        <v>10</v>
      </c>
      <c r="I724" s="82"/>
      <c r="J724" s="82"/>
      <c r="K724" s="83"/>
      <c r="L724" s="83"/>
      <c r="M724" s="83"/>
      <c r="N724" s="83"/>
      <c r="O724" s="83"/>
      <c r="P724" s="83"/>
      <c r="Q724" s="83"/>
      <c r="R724" s="83"/>
      <c r="S724" s="83"/>
      <c r="T724" s="83"/>
      <c r="U724" s="83"/>
      <c r="V724" s="83"/>
      <c r="W724" s="83"/>
      <c r="X724" s="83"/>
      <c r="Y724" s="83"/>
      <c r="Z724" s="83"/>
      <c r="AA724" s="83"/>
    </row>
    <row r="725" ht="55.5" customHeight="1">
      <c r="A725" s="79" t="s">
        <v>1103</v>
      </c>
      <c r="B725" s="84"/>
      <c r="C725" s="79" t="s">
        <v>107</v>
      </c>
      <c r="D725" s="84"/>
      <c r="E725" s="79" t="s">
        <v>1090</v>
      </c>
      <c r="F725" s="79" t="s">
        <v>1091</v>
      </c>
      <c r="G725" s="79" t="s">
        <v>1092</v>
      </c>
      <c r="H725" s="81" t="s">
        <v>10</v>
      </c>
      <c r="I725" s="82"/>
      <c r="J725" s="82"/>
      <c r="K725" s="83"/>
      <c r="L725" s="83"/>
      <c r="M725" s="83"/>
      <c r="N725" s="83"/>
      <c r="O725" s="83"/>
      <c r="P725" s="83"/>
      <c r="Q725" s="83"/>
      <c r="R725" s="83"/>
      <c r="S725" s="83"/>
      <c r="T725" s="83"/>
      <c r="U725" s="83"/>
      <c r="V725" s="83"/>
      <c r="W725" s="83"/>
      <c r="X725" s="83"/>
      <c r="Y725" s="83"/>
      <c r="Z725" s="83"/>
      <c r="AA725" s="83"/>
    </row>
    <row r="726" ht="55.5" customHeight="1">
      <c r="A726" s="79" t="s">
        <v>1103</v>
      </c>
      <c r="B726" s="84"/>
      <c r="C726" s="79" t="s">
        <v>109</v>
      </c>
      <c r="D726" s="84"/>
      <c r="E726" s="79" t="s">
        <v>1093</v>
      </c>
      <c r="F726" s="79" t="s">
        <v>1094</v>
      </c>
      <c r="G726" s="79" t="s">
        <v>1080</v>
      </c>
      <c r="H726" s="81" t="s">
        <v>10</v>
      </c>
      <c r="I726" s="82"/>
      <c r="J726" s="82"/>
      <c r="K726" s="83"/>
      <c r="L726" s="83"/>
      <c r="M726" s="83"/>
      <c r="N726" s="83"/>
      <c r="O726" s="83"/>
      <c r="P726" s="83"/>
      <c r="Q726" s="83"/>
      <c r="R726" s="83"/>
      <c r="S726" s="83"/>
      <c r="T726" s="83"/>
      <c r="U726" s="83"/>
      <c r="V726" s="83"/>
      <c r="W726" s="83"/>
      <c r="X726" s="83"/>
      <c r="Y726" s="83"/>
      <c r="Z726" s="83"/>
      <c r="AA726" s="83"/>
    </row>
    <row r="727" ht="55.5" customHeight="1">
      <c r="A727" s="79" t="s">
        <v>1103</v>
      </c>
      <c r="B727" s="84"/>
      <c r="C727" s="79" t="s">
        <v>111</v>
      </c>
      <c r="D727" s="84"/>
      <c r="E727" s="79" t="s">
        <v>1095</v>
      </c>
      <c r="F727" s="79" t="s">
        <v>1096</v>
      </c>
      <c r="G727" s="79" t="s">
        <v>1089</v>
      </c>
      <c r="H727" s="81" t="s">
        <v>10</v>
      </c>
      <c r="I727" s="82"/>
      <c r="J727" s="82"/>
      <c r="K727" s="83"/>
      <c r="L727" s="83"/>
      <c r="M727" s="83"/>
      <c r="N727" s="83"/>
      <c r="O727" s="83"/>
      <c r="P727" s="83"/>
      <c r="Q727" s="83"/>
      <c r="R727" s="83"/>
      <c r="S727" s="83"/>
      <c r="T727" s="83"/>
      <c r="U727" s="83"/>
      <c r="V727" s="83"/>
      <c r="W727" s="83"/>
      <c r="X727" s="83"/>
      <c r="Y727" s="83"/>
      <c r="Z727" s="83"/>
      <c r="AA727" s="83"/>
    </row>
    <row r="728" ht="55.5" customHeight="1">
      <c r="A728" s="79" t="s">
        <v>1103</v>
      </c>
      <c r="B728" s="84"/>
      <c r="C728" s="79" t="s">
        <v>113</v>
      </c>
      <c r="D728" s="84"/>
      <c r="E728" s="79" t="s">
        <v>1097</v>
      </c>
      <c r="F728" s="79" t="s">
        <v>1098</v>
      </c>
      <c r="G728" s="79" t="s">
        <v>1099</v>
      </c>
      <c r="H728" s="81" t="s">
        <v>10</v>
      </c>
      <c r="I728" s="82"/>
      <c r="J728" s="82"/>
      <c r="K728" s="83"/>
      <c r="L728" s="83"/>
      <c r="M728" s="83"/>
      <c r="N728" s="83"/>
      <c r="O728" s="83"/>
      <c r="P728" s="83"/>
      <c r="Q728" s="83"/>
      <c r="R728" s="83"/>
      <c r="S728" s="83"/>
      <c r="T728" s="83"/>
      <c r="U728" s="83"/>
      <c r="V728" s="83"/>
      <c r="W728" s="83"/>
      <c r="X728" s="83"/>
      <c r="Y728" s="83"/>
      <c r="Z728" s="83"/>
      <c r="AA728" s="83"/>
    </row>
    <row r="729" ht="55.5" customHeight="1">
      <c r="A729" s="79" t="s">
        <v>1103</v>
      </c>
      <c r="B729" s="84"/>
      <c r="C729" s="79" t="s">
        <v>115</v>
      </c>
      <c r="D729" s="12"/>
      <c r="E729" s="79" t="s">
        <v>1100</v>
      </c>
      <c r="F729" s="79" t="s">
        <v>1101</v>
      </c>
      <c r="G729" s="79" t="s">
        <v>1153</v>
      </c>
      <c r="H729" s="81" t="s">
        <v>10</v>
      </c>
      <c r="I729" s="82"/>
      <c r="J729" s="82"/>
      <c r="K729" s="83"/>
      <c r="L729" s="83"/>
      <c r="M729" s="83"/>
      <c r="N729" s="83"/>
      <c r="O729" s="83"/>
      <c r="P729" s="83"/>
      <c r="Q729" s="83"/>
      <c r="R729" s="83"/>
      <c r="S729" s="83"/>
      <c r="T729" s="83"/>
      <c r="U729" s="83"/>
      <c r="V729" s="83"/>
      <c r="W729" s="83"/>
      <c r="X729" s="83"/>
      <c r="Y729" s="83"/>
      <c r="Z729" s="83"/>
      <c r="AA729" s="83"/>
    </row>
    <row r="730" ht="55.5" customHeight="1">
      <c r="A730" s="79" t="s">
        <v>1103</v>
      </c>
      <c r="B730" s="12"/>
      <c r="C730" s="79" t="s">
        <v>117</v>
      </c>
      <c r="D730" s="79" t="s">
        <v>1154</v>
      </c>
      <c r="E730" s="79" t="s">
        <v>1155</v>
      </c>
      <c r="F730" s="79" t="s">
        <v>1156</v>
      </c>
      <c r="G730" s="79" t="s">
        <v>1157</v>
      </c>
      <c r="H730" s="81" t="s">
        <v>10</v>
      </c>
      <c r="I730" s="82"/>
      <c r="J730" s="82"/>
      <c r="K730" s="83"/>
      <c r="L730" s="83"/>
      <c r="M730" s="83"/>
      <c r="N730" s="83"/>
      <c r="O730" s="83"/>
      <c r="P730" s="83"/>
      <c r="Q730" s="83"/>
      <c r="R730" s="83"/>
      <c r="S730" s="83"/>
      <c r="T730" s="83"/>
      <c r="U730" s="83"/>
      <c r="V730" s="83"/>
      <c r="W730" s="83"/>
      <c r="X730" s="83"/>
      <c r="Y730" s="83"/>
      <c r="Z730" s="83"/>
      <c r="AA730" s="83"/>
    </row>
    <row r="731" ht="55.5" customHeight="1">
      <c r="A731" s="79" t="s">
        <v>1158</v>
      </c>
      <c r="B731" s="80" t="s">
        <v>1159</v>
      </c>
      <c r="C731" s="79" t="s">
        <v>47</v>
      </c>
      <c r="D731" s="80" t="s">
        <v>1160</v>
      </c>
      <c r="E731" s="79" t="s">
        <v>1161</v>
      </c>
      <c r="F731" s="79" t="s">
        <v>1162</v>
      </c>
      <c r="G731" s="79" t="s">
        <v>1163</v>
      </c>
      <c r="H731" s="81" t="s">
        <v>10</v>
      </c>
      <c r="I731" s="82"/>
      <c r="J731" s="82"/>
      <c r="K731" s="83"/>
      <c r="L731" s="83"/>
      <c r="M731" s="83"/>
      <c r="N731" s="83"/>
      <c r="O731" s="83"/>
      <c r="P731" s="83"/>
      <c r="Q731" s="83"/>
      <c r="R731" s="83"/>
      <c r="S731" s="83"/>
      <c r="T731" s="83"/>
      <c r="U731" s="83"/>
      <c r="V731" s="83"/>
      <c r="W731" s="83"/>
      <c r="X731" s="83"/>
      <c r="Y731" s="83"/>
      <c r="Z731" s="83"/>
      <c r="AA731" s="83"/>
    </row>
    <row r="732" ht="55.5" customHeight="1">
      <c r="A732" s="79" t="s">
        <v>1158</v>
      </c>
      <c r="B732" s="84"/>
      <c r="C732" s="79" t="s">
        <v>52</v>
      </c>
      <c r="D732" s="84"/>
      <c r="E732" s="79" t="s">
        <v>1164</v>
      </c>
      <c r="F732" s="79" t="s">
        <v>1162</v>
      </c>
      <c r="G732" s="79" t="s">
        <v>1165</v>
      </c>
      <c r="H732" s="81" t="s">
        <v>10</v>
      </c>
      <c r="I732" s="82"/>
      <c r="J732" s="82"/>
      <c r="K732" s="83"/>
      <c r="L732" s="83"/>
      <c r="M732" s="83"/>
      <c r="N732" s="83"/>
      <c r="O732" s="83"/>
      <c r="P732" s="83"/>
      <c r="Q732" s="83"/>
      <c r="R732" s="83"/>
      <c r="S732" s="83"/>
      <c r="T732" s="83"/>
      <c r="U732" s="83"/>
      <c r="V732" s="83"/>
      <c r="W732" s="83"/>
      <c r="X732" s="83"/>
      <c r="Y732" s="83"/>
      <c r="Z732" s="83"/>
      <c r="AA732" s="83"/>
    </row>
    <row r="733" ht="55.5" customHeight="1">
      <c r="A733" s="79" t="s">
        <v>1158</v>
      </c>
      <c r="B733" s="84"/>
      <c r="C733" s="79" t="s">
        <v>55</v>
      </c>
      <c r="D733" s="84"/>
      <c r="E733" s="79" t="s">
        <v>1166</v>
      </c>
      <c r="F733" s="79" t="s">
        <v>1167</v>
      </c>
      <c r="G733" s="79" t="s">
        <v>1168</v>
      </c>
      <c r="H733" s="81" t="s">
        <v>10</v>
      </c>
      <c r="I733" s="82"/>
      <c r="J733" s="82"/>
      <c r="K733" s="83"/>
      <c r="L733" s="83"/>
      <c r="M733" s="83"/>
      <c r="N733" s="83"/>
      <c r="O733" s="83"/>
      <c r="P733" s="83"/>
      <c r="Q733" s="83"/>
      <c r="R733" s="83"/>
      <c r="S733" s="83"/>
      <c r="T733" s="83"/>
      <c r="U733" s="83"/>
      <c r="V733" s="83"/>
      <c r="W733" s="83"/>
      <c r="X733" s="83"/>
      <c r="Y733" s="83"/>
      <c r="Z733" s="83"/>
      <c r="AA733" s="83"/>
    </row>
    <row r="734" ht="55.5" customHeight="1">
      <c r="A734" s="79" t="s">
        <v>1158</v>
      </c>
      <c r="B734" s="84"/>
      <c r="C734" s="79" t="s">
        <v>58</v>
      </c>
      <c r="D734" s="84"/>
      <c r="E734" s="79" t="s">
        <v>1169</v>
      </c>
      <c r="F734" s="79" t="s">
        <v>1170</v>
      </c>
      <c r="G734" s="79" t="s">
        <v>1171</v>
      </c>
      <c r="H734" s="81" t="s">
        <v>10</v>
      </c>
      <c r="I734" s="82"/>
      <c r="J734" s="82"/>
      <c r="K734" s="83"/>
      <c r="L734" s="83"/>
      <c r="M734" s="83"/>
      <c r="N734" s="83"/>
      <c r="O734" s="83"/>
      <c r="P734" s="83"/>
      <c r="Q734" s="83"/>
      <c r="R734" s="83"/>
      <c r="S734" s="83"/>
      <c r="T734" s="83"/>
      <c r="U734" s="83"/>
      <c r="V734" s="83"/>
      <c r="W734" s="83"/>
      <c r="X734" s="83"/>
      <c r="Y734" s="83"/>
      <c r="Z734" s="83"/>
      <c r="AA734" s="83"/>
    </row>
    <row r="735" ht="55.5" customHeight="1">
      <c r="A735" s="79" t="s">
        <v>1158</v>
      </c>
      <c r="B735" s="84"/>
      <c r="C735" s="79" t="s">
        <v>62</v>
      </c>
      <c r="D735" s="84"/>
      <c r="E735" s="80" t="s">
        <v>1172</v>
      </c>
      <c r="F735" s="79" t="s">
        <v>1173</v>
      </c>
      <c r="G735" s="79" t="s">
        <v>1174</v>
      </c>
      <c r="H735" s="81" t="s">
        <v>10</v>
      </c>
      <c r="I735" s="82"/>
      <c r="J735" s="95"/>
      <c r="K735" s="83"/>
      <c r="L735" s="83"/>
      <c r="M735" s="83"/>
      <c r="N735" s="83"/>
      <c r="O735" s="83"/>
      <c r="P735" s="83"/>
      <c r="Q735" s="83"/>
      <c r="R735" s="83"/>
      <c r="S735" s="83"/>
      <c r="T735" s="83"/>
      <c r="U735" s="83"/>
      <c r="V735" s="83"/>
      <c r="W735" s="83"/>
      <c r="X735" s="83"/>
      <c r="Y735" s="83"/>
      <c r="Z735" s="83"/>
      <c r="AA735" s="83"/>
    </row>
    <row r="736" ht="55.5" customHeight="1">
      <c r="A736" s="79" t="s">
        <v>1158</v>
      </c>
      <c r="B736" s="84"/>
      <c r="C736" s="79" t="s">
        <v>64</v>
      </c>
      <c r="D736" s="84"/>
      <c r="E736" s="12"/>
      <c r="F736" s="79" t="s">
        <v>1175</v>
      </c>
      <c r="G736" s="79" t="s">
        <v>1176</v>
      </c>
      <c r="H736" s="81" t="s">
        <v>10</v>
      </c>
      <c r="I736" s="82"/>
      <c r="J736" s="82"/>
      <c r="K736" s="83"/>
      <c r="L736" s="83"/>
      <c r="M736" s="83"/>
      <c r="N736" s="83"/>
      <c r="O736" s="83"/>
      <c r="P736" s="83"/>
      <c r="Q736" s="83"/>
      <c r="R736" s="83"/>
      <c r="S736" s="83"/>
      <c r="T736" s="83"/>
      <c r="U736" s="83"/>
      <c r="V736" s="83"/>
      <c r="W736" s="83"/>
      <c r="X736" s="83"/>
      <c r="Y736" s="83"/>
      <c r="Z736" s="83"/>
      <c r="AA736" s="83"/>
    </row>
    <row r="737" ht="55.5" customHeight="1">
      <c r="A737" s="79" t="s">
        <v>1158</v>
      </c>
      <c r="B737" s="84"/>
      <c r="C737" s="79" t="s">
        <v>69</v>
      </c>
      <c r="D737" s="84"/>
      <c r="E737" s="79" t="s">
        <v>1177</v>
      </c>
      <c r="F737" s="79" t="s">
        <v>1178</v>
      </c>
      <c r="G737" s="79" t="s">
        <v>1179</v>
      </c>
      <c r="H737" s="81" t="s">
        <v>10</v>
      </c>
      <c r="I737" s="82"/>
      <c r="J737" s="82"/>
      <c r="K737" s="83"/>
      <c r="L737" s="83"/>
      <c r="M737" s="83"/>
      <c r="N737" s="83"/>
      <c r="O737" s="83"/>
      <c r="P737" s="83"/>
      <c r="Q737" s="83"/>
      <c r="R737" s="83"/>
      <c r="S737" s="83"/>
      <c r="T737" s="83"/>
      <c r="U737" s="83"/>
      <c r="V737" s="83"/>
      <c r="W737" s="83"/>
      <c r="X737" s="83"/>
      <c r="Y737" s="83"/>
      <c r="Z737" s="83"/>
      <c r="AA737" s="83"/>
    </row>
    <row r="738" ht="55.5" customHeight="1">
      <c r="A738" s="79" t="s">
        <v>1158</v>
      </c>
      <c r="B738" s="12"/>
      <c r="C738" s="79" t="s">
        <v>72</v>
      </c>
      <c r="D738" s="12"/>
      <c r="E738" s="79" t="s">
        <v>1180</v>
      </c>
      <c r="F738" s="79" t="s">
        <v>1181</v>
      </c>
      <c r="G738" s="79" t="s">
        <v>1182</v>
      </c>
      <c r="H738" s="81" t="s">
        <v>10</v>
      </c>
      <c r="I738" s="82"/>
      <c r="J738" s="82"/>
      <c r="K738" s="83"/>
      <c r="L738" s="83"/>
      <c r="M738" s="83"/>
      <c r="N738" s="83"/>
      <c r="O738" s="83"/>
      <c r="P738" s="83"/>
      <c r="Q738" s="83"/>
      <c r="R738" s="83"/>
      <c r="S738" s="83"/>
      <c r="T738" s="83"/>
      <c r="U738" s="83"/>
      <c r="V738" s="83"/>
      <c r="W738" s="83"/>
      <c r="X738" s="83"/>
      <c r="Y738" s="83"/>
      <c r="Z738" s="83"/>
      <c r="AA738" s="83"/>
    </row>
    <row r="739" ht="55.5" customHeight="1">
      <c r="A739" s="79" t="s">
        <v>1183</v>
      </c>
      <c r="B739" s="80" t="s">
        <v>1184</v>
      </c>
      <c r="C739" s="79" t="s">
        <v>47</v>
      </c>
      <c r="D739" s="80" t="s">
        <v>1185</v>
      </c>
      <c r="E739" s="79" t="s">
        <v>1186</v>
      </c>
      <c r="F739" s="79" t="s">
        <v>1187</v>
      </c>
      <c r="G739" s="79" t="s">
        <v>1188</v>
      </c>
      <c r="H739" s="81" t="s">
        <v>10</v>
      </c>
      <c r="I739" s="85" t="s">
        <v>1189</v>
      </c>
      <c r="J739" s="82"/>
      <c r="K739" s="83"/>
      <c r="L739" s="83"/>
      <c r="M739" s="83"/>
      <c r="N739" s="83"/>
      <c r="O739" s="83"/>
      <c r="P739" s="83"/>
      <c r="Q739" s="83"/>
      <c r="R739" s="83"/>
      <c r="S739" s="83"/>
      <c r="T739" s="83"/>
      <c r="U739" s="83"/>
      <c r="V739" s="83"/>
      <c r="W739" s="83"/>
      <c r="X739" s="83"/>
      <c r="Y739" s="83"/>
      <c r="Z739" s="83"/>
      <c r="AA739" s="83"/>
    </row>
    <row r="740" ht="55.5" customHeight="1">
      <c r="A740" s="79" t="s">
        <v>1183</v>
      </c>
      <c r="B740" s="84"/>
      <c r="C740" s="79" t="s">
        <v>52</v>
      </c>
      <c r="D740" s="84"/>
      <c r="E740" s="79" t="s">
        <v>1190</v>
      </c>
      <c r="F740" s="79" t="s">
        <v>1191</v>
      </c>
      <c r="G740" s="79" t="s">
        <v>1192</v>
      </c>
      <c r="H740" s="81" t="s">
        <v>10</v>
      </c>
      <c r="I740" s="108"/>
      <c r="J740" s="82"/>
      <c r="K740" s="83"/>
      <c r="L740" s="83"/>
      <c r="M740" s="83"/>
      <c r="N740" s="83"/>
      <c r="O740" s="83"/>
      <c r="P740" s="83"/>
      <c r="Q740" s="83"/>
      <c r="R740" s="83"/>
      <c r="S740" s="83"/>
      <c r="T740" s="83"/>
      <c r="U740" s="83"/>
      <c r="V740" s="83"/>
      <c r="W740" s="83"/>
      <c r="X740" s="83"/>
      <c r="Y740" s="83"/>
      <c r="Z740" s="83"/>
      <c r="AA740" s="83"/>
    </row>
    <row r="741" ht="55.5" customHeight="1">
      <c r="A741" s="79" t="s">
        <v>1183</v>
      </c>
      <c r="B741" s="84"/>
      <c r="C741" s="79" t="s">
        <v>64</v>
      </c>
      <c r="D741" s="84"/>
      <c r="E741" s="79" t="s">
        <v>1193</v>
      </c>
      <c r="F741" s="79" t="s">
        <v>1194</v>
      </c>
      <c r="G741" s="79" t="s">
        <v>1195</v>
      </c>
      <c r="H741" s="81" t="s">
        <v>10</v>
      </c>
      <c r="I741" s="82"/>
      <c r="J741" s="82"/>
      <c r="K741" s="83"/>
      <c r="L741" s="83"/>
      <c r="M741" s="83"/>
      <c r="N741" s="83"/>
      <c r="O741" s="83"/>
      <c r="P741" s="83"/>
      <c r="Q741" s="83"/>
      <c r="R741" s="83"/>
      <c r="S741" s="83"/>
      <c r="T741" s="83"/>
      <c r="U741" s="83"/>
      <c r="V741" s="83"/>
      <c r="W741" s="83"/>
      <c r="X741" s="83"/>
      <c r="Y741" s="83"/>
      <c r="Z741" s="83"/>
      <c r="AA741" s="83"/>
    </row>
    <row r="742" ht="55.5" customHeight="1">
      <c r="A742" s="79" t="s">
        <v>1183</v>
      </c>
      <c r="B742" s="84"/>
      <c r="C742" s="79" t="s">
        <v>69</v>
      </c>
      <c r="D742" s="84"/>
      <c r="E742" s="79" t="s">
        <v>1196</v>
      </c>
      <c r="F742" s="79" t="s">
        <v>1197</v>
      </c>
      <c r="G742" s="79" t="s">
        <v>1198</v>
      </c>
      <c r="H742" s="81" t="s">
        <v>10</v>
      </c>
      <c r="I742" s="82"/>
      <c r="J742" s="82"/>
      <c r="K742" s="83"/>
      <c r="L742" s="83"/>
      <c r="M742" s="83"/>
      <c r="N742" s="83"/>
      <c r="O742" s="83"/>
      <c r="P742" s="83"/>
      <c r="Q742" s="83"/>
      <c r="R742" s="83"/>
      <c r="S742" s="83"/>
      <c r="T742" s="83"/>
      <c r="U742" s="83"/>
      <c r="V742" s="83"/>
      <c r="W742" s="83"/>
      <c r="X742" s="83"/>
      <c r="Y742" s="83"/>
      <c r="Z742" s="83"/>
      <c r="AA742" s="83"/>
    </row>
    <row r="743" ht="55.5" customHeight="1">
      <c r="A743" s="79" t="s">
        <v>1183</v>
      </c>
      <c r="B743" s="84"/>
      <c r="C743" s="79" t="s">
        <v>72</v>
      </c>
      <c r="D743" s="84"/>
      <c r="E743" s="79" t="s">
        <v>1199</v>
      </c>
      <c r="F743" s="79" t="s">
        <v>1200</v>
      </c>
      <c r="G743" s="79" t="s">
        <v>1198</v>
      </c>
      <c r="H743" s="81" t="s">
        <v>10</v>
      </c>
      <c r="I743" s="82"/>
      <c r="J743" s="82"/>
      <c r="K743" s="83"/>
      <c r="L743" s="83"/>
      <c r="M743" s="83"/>
      <c r="N743" s="83"/>
      <c r="O743" s="83"/>
      <c r="P743" s="83"/>
      <c r="Q743" s="83"/>
      <c r="R743" s="83"/>
      <c r="S743" s="83"/>
      <c r="T743" s="83"/>
      <c r="U743" s="83"/>
      <c r="V743" s="83"/>
      <c r="W743" s="83"/>
      <c r="X743" s="83"/>
      <c r="Y743" s="83"/>
      <c r="Z743" s="83"/>
      <c r="AA743" s="83"/>
    </row>
    <row r="744" ht="55.5" customHeight="1">
      <c r="A744" s="79" t="s">
        <v>1183</v>
      </c>
      <c r="B744" s="12"/>
      <c r="C744" s="79" t="s">
        <v>75</v>
      </c>
      <c r="D744" s="12"/>
      <c r="E744" s="79" t="s">
        <v>1201</v>
      </c>
      <c r="F744" s="79" t="s">
        <v>1202</v>
      </c>
      <c r="G744" s="79" t="s">
        <v>1198</v>
      </c>
      <c r="H744" s="81" t="s">
        <v>10</v>
      </c>
      <c r="I744" s="82"/>
      <c r="J744" s="110" t="s">
        <v>1203</v>
      </c>
      <c r="K744" s="100"/>
      <c r="L744" s="100"/>
      <c r="M744" s="100"/>
      <c r="N744" s="100"/>
      <c r="O744" s="100"/>
      <c r="P744" s="100"/>
      <c r="Q744" s="100"/>
      <c r="R744" s="100"/>
      <c r="S744" s="100"/>
      <c r="T744" s="100"/>
      <c r="U744" s="100"/>
      <c r="V744" s="100"/>
      <c r="W744" s="100"/>
      <c r="X744" s="100"/>
      <c r="Y744" s="100"/>
      <c r="Z744" s="100"/>
      <c r="AA744" s="100"/>
    </row>
    <row r="745" ht="55.5" customHeight="1">
      <c r="A745" s="79" t="s">
        <v>1204</v>
      </c>
      <c r="B745" s="80" t="s">
        <v>1205</v>
      </c>
      <c r="C745" s="79" t="s">
        <v>634</v>
      </c>
      <c r="D745" s="80" t="s">
        <v>1206</v>
      </c>
      <c r="E745" s="79" t="s">
        <v>1207</v>
      </c>
      <c r="F745" s="79" t="s">
        <v>1208</v>
      </c>
      <c r="G745" s="79" t="s">
        <v>1209</v>
      </c>
      <c r="H745" s="81" t="s">
        <v>10</v>
      </c>
      <c r="I745" s="82"/>
      <c r="J745" s="82"/>
      <c r="K745" s="83"/>
      <c r="L745" s="83"/>
      <c r="M745" s="83"/>
      <c r="N745" s="83"/>
      <c r="O745" s="83"/>
      <c r="P745" s="83"/>
      <c r="Q745" s="83"/>
      <c r="R745" s="83"/>
      <c r="S745" s="83"/>
      <c r="T745" s="83"/>
      <c r="U745" s="83"/>
      <c r="V745" s="83"/>
      <c r="W745" s="83"/>
      <c r="X745" s="83"/>
      <c r="Y745" s="83"/>
      <c r="Z745" s="83"/>
      <c r="AA745" s="83"/>
    </row>
    <row r="746" ht="55.5" customHeight="1">
      <c r="A746" s="79" t="s">
        <v>1204</v>
      </c>
      <c r="B746" s="84"/>
      <c r="C746" s="79" t="s">
        <v>638</v>
      </c>
      <c r="D746" s="84"/>
      <c r="E746" s="79" t="s">
        <v>1210</v>
      </c>
      <c r="F746" s="79" t="s">
        <v>1211</v>
      </c>
      <c r="G746" s="79" t="s">
        <v>1212</v>
      </c>
      <c r="H746" s="81" t="s">
        <v>10</v>
      </c>
      <c r="I746" s="82"/>
      <c r="J746" s="82"/>
      <c r="K746" s="83"/>
      <c r="L746" s="83"/>
      <c r="M746" s="83"/>
      <c r="N746" s="83"/>
      <c r="O746" s="83"/>
      <c r="P746" s="83"/>
      <c r="Q746" s="83"/>
      <c r="R746" s="83"/>
      <c r="S746" s="83"/>
      <c r="T746" s="83"/>
      <c r="U746" s="83"/>
      <c r="V746" s="83"/>
      <c r="W746" s="83"/>
      <c r="X746" s="83"/>
      <c r="Y746" s="83"/>
      <c r="Z746" s="83"/>
      <c r="AA746" s="83"/>
    </row>
    <row r="747" ht="55.5" customHeight="1">
      <c r="A747" s="79" t="s">
        <v>1204</v>
      </c>
      <c r="B747" s="84"/>
      <c r="C747" s="79" t="s">
        <v>641</v>
      </c>
      <c r="D747" s="84"/>
      <c r="E747" s="79" t="s">
        <v>1213</v>
      </c>
      <c r="F747" s="79" t="s">
        <v>1214</v>
      </c>
      <c r="G747" s="79" t="s">
        <v>1215</v>
      </c>
      <c r="H747" s="81" t="s">
        <v>10</v>
      </c>
      <c r="I747" s="82"/>
      <c r="J747" s="82"/>
      <c r="K747" s="83"/>
      <c r="L747" s="83"/>
      <c r="M747" s="83"/>
      <c r="N747" s="83"/>
      <c r="O747" s="83"/>
      <c r="P747" s="83"/>
      <c r="Q747" s="83"/>
      <c r="R747" s="83"/>
      <c r="S747" s="83"/>
      <c r="T747" s="83"/>
      <c r="U747" s="83"/>
      <c r="V747" s="83"/>
      <c r="W747" s="83"/>
      <c r="X747" s="83"/>
      <c r="Y747" s="83"/>
      <c r="Z747" s="83"/>
      <c r="AA747" s="83"/>
    </row>
    <row r="748" ht="55.5" customHeight="1">
      <c r="A748" s="79" t="s">
        <v>1204</v>
      </c>
      <c r="B748" s="84"/>
      <c r="C748" s="79" t="s">
        <v>644</v>
      </c>
      <c r="D748" s="84"/>
      <c r="E748" s="79" t="s">
        <v>1216</v>
      </c>
      <c r="F748" s="79" t="s">
        <v>1217</v>
      </c>
      <c r="G748" s="79" t="s">
        <v>1218</v>
      </c>
      <c r="H748" s="81" t="s">
        <v>10</v>
      </c>
      <c r="I748" s="82"/>
      <c r="J748" s="82"/>
      <c r="K748" s="83"/>
      <c r="L748" s="83"/>
      <c r="M748" s="83"/>
      <c r="N748" s="83"/>
      <c r="O748" s="83"/>
      <c r="P748" s="83"/>
      <c r="Q748" s="83"/>
      <c r="R748" s="83"/>
      <c r="S748" s="83"/>
      <c r="T748" s="83"/>
      <c r="U748" s="83"/>
      <c r="V748" s="83"/>
      <c r="W748" s="83"/>
      <c r="X748" s="83"/>
      <c r="Y748" s="83"/>
      <c r="Z748" s="83"/>
      <c r="AA748" s="83"/>
    </row>
    <row r="749" ht="55.5" customHeight="1">
      <c r="A749" s="79" t="s">
        <v>1204</v>
      </c>
      <c r="B749" s="84"/>
      <c r="C749" s="79" t="s">
        <v>647</v>
      </c>
      <c r="D749" s="12"/>
      <c r="E749" s="79" t="s">
        <v>1219</v>
      </c>
      <c r="F749" s="79" t="s">
        <v>1220</v>
      </c>
      <c r="G749" s="79" t="s">
        <v>1221</v>
      </c>
      <c r="H749" s="98" t="s">
        <v>11</v>
      </c>
      <c r="I749" s="82"/>
      <c r="J749" s="110" t="s">
        <v>1127</v>
      </c>
      <c r="K749" s="83"/>
      <c r="L749" s="83"/>
      <c r="M749" s="83"/>
      <c r="N749" s="83"/>
      <c r="O749" s="83"/>
      <c r="P749" s="83"/>
      <c r="Q749" s="83"/>
      <c r="R749" s="83"/>
      <c r="S749" s="83"/>
      <c r="T749" s="83"/>
      <c r="U749" s="83"/>
      <c r="V749" s="83"/>
      <c r="W749" s="83"/>
      <c r="X749" s="83"/>
      <c r="Y749" s="83"/>
      <c r="Z749" s="83"/>
      <c r="AA749" s="83"/>
    </row>
    <row r="750" ht="55.5" customHeight="1">
      <c r="A750" s="79" t="s">
        <v>1204</v>
      </c>
      <c r="B750" s="84"/>
      <c r="C750" s="79" t="s">
        <v>650</v>
      </c>
      <c r="D750" s="80" t="s">
        <v>1222</v>
      </c>
      <c r="E750" s="79" t="s">
        <v>1223</v>
      </c>
      <c r="F750" s="79" t="s">
        <v>1224</v>
      </c>
      <c r="G750" s="79" t="s">
        <v>1225</v>
      </c>
      <c r="H750" s="81" t="s">
        <v>10</v>
      </c>
      <c r="I750" s="82"/>
      <c r="J750" s="82"/>
      <c r="K750" s="83"/>
      <c r="L750" s="83"/>
      <c r="M750" s="83"/>
      <c r="N750" s="83"/>
      <c r="O750" s="83"/>
      <c r="P750" s="83"/>
      <c r="Q750" s="83"/>
      <c r="R750" s="83"/>
      <c r="S750" s="83"/>
      <c r="T750" s="83"/>
      <c r="U750" s="83"/>
      <c r="V750" s="83"/>
      <c r="W750" s="83"/>
      <c r="X750" s="83"/>
      <c r="Y750" s="83"/>
      <c r="Z750" s="83"/>
      <c r="AA750" s="83"/>
    </row>
    <row r="751" ht="55.5" customHeight="1">
      <c r="A751" s="79" t="s">
        <v>1204</v>
      </c>
      <c r="B751" s="84"/>
      <c r="C751" s="79" t="s">
        <v>653</v>
      </c>
      <c r="D751" s="84"/>
      <c r="E751" s="79" t="s">
        <v>1226</v>
      </c>
      <c r="F751" s="79" t="s">
        <v>1227</v>
      </c>
      <c r="G751" s="79" t="s">
        <v>1228</v>
      </c>
      <c r="H751" s="81" t="s">
        <v>10</v>
      </c>
      <c r="I751" s="82"/>
      <c r="J751" s="82"/>
      <c r="K751" s="83"/>
      <c r="L751" s="83"/>
      <c r="M751" s="83"/>
      <c r="N751" s="83"/>
      <c r="O751" s="83"/>
      <c r="P751" s="83"/>
      <c r="Q751" s="83"/>
      <c r="R751" s="83"/>
      <c r="S751" s="83"/>
      <c r="T751" s="83"/>
      <c r="U751" s="83"/>
      <c r="V751" s="83"/>
      <c r="W751" s="83"/>
      <c r="X751" s="83"/>
      <c r="Y751" s="83"/>
      <c r="Z751" s="83"/>
      <c r="AA751" s="83"/>
    </row>
    <row r="752" ht="55.5" customHeight="1">
      <c r="A752" s="79" t="s">
        <v>1204</v>
      </c>
      <c r="B752" s="84"/>
      <c r="C752" s="79" t="s">
        <v>654</v>
      </c>
      <c r="D752" s="84"/>
      <c r="E752" s="79" t="s">
        <v>1229</v>
      </c>
      <c r="F752" s="79" t="s">
        <v>1230</v>
      </c>
      <c r="G752" s="79" t="s">
        <v>1231</v>
      </c>
      <c r="H752" s="81" t="s">
        <v>10</v>
      </c>
      <c r="I752" s="82"/>
      <c r="J752" s="82"/>
      <c r="K752" s="83"/>
      <c r="L752" s="83"/>
      <c r="M752" s="83"/>
      <c r="N752" s="83"/>
      <c r="O752" s="83"/>
      <c r="P752" s="83"/>
      <c r="Q752" s="83"/>
      <c r="R752" s="83"/>
      <c r="S752" s="83"/>
      <c r="T752" s="83"/>
      <c r="U752" s="83"/>
      <c r="V752" s="83"/>
      <c r="W752" s="83"/>
      <c r="X752" s="83"/>
      <c r="Y752" s="83"/>
      <c r="Z752" s="83"/>
      <c r="AA752" s="83"/>
    </row>
    <row r="753" ht="55.5" customHeight="1">
      <c r="A753" s="79" t="s">
        <v>1204</v>
      </c>
      <c r="B753" s="84"/>
      <c r="C753" s="79" t="s">
        <v>655</v>
      </c>
      <c r="D753" s="84"/>
      <c r="E753" s="79" t="s">
        <v>1232</v>
      </c>
      <c r="F753" s="79" t="s">
        <v>1233</v>
      </c>
      <c r="G753" s="79" t="s">
        <v>1218</v>
      </c>
      <c r="H753" s="81" t="s">
        <v>10</v>
      </c>
      <c r="I753" s="82"/>
      <c r="J753" s="82"/>
      <c r="K753" s="83"/>
      <c r="L753" s="83"/>
      <c r="M753" s="83"/>
      <c r="N753" s="83"/>
      <c r="O753" s="83"/>
      <c r="P753" s="83"/>
      <c r="Q753" s="83"/>
      <c r="R753" s="83"/>
      <c r="S753" s="83"/>
      <c r="T753" s="83"/>
      <c r="U753" s="83"/>
      <c r="V753" s="83"/>
      <c r="W753" s="83"/>
      <c r="X753" s="83"/>
      <c r="Y753" s="83"/>
      <c r="Z753" s="83"/>
      <c r="AA753" s="83"/>
    </row>
    <row r="754" ht="55.5" customHeight="1">
      <c r="A754" s="79" t="s">
        <v>1204</v>
      </c>
      <c r="B754" s="84"/>
      <c r="C754" s="79" t="s">
        <v>657</v>
      </c>
      <c r="D754" s="84"/>
      <c r="E754" s="79" t="s">
        <v>1234</v>
      </c>
      <c r="F754" s="79" t="s">
        <v>1235</v>
      </c>
      <c r="G754" s="79" t="s">
        <v>1236</v>
      </c>
      <c r="H754" s="81" t="s">
        <v>10</v>
      </c>
      <c r="I754" s="82"/>
      <c r="J754" s="82"/>
      <c r="K754" s="83"/>
      <c r="L754" s="83"/>
      <c r="M754" s="83"/>
      <c r="N754" s="83"/>
      <c r="O754" s="83"/>
      <c r="P754" s="83"/>
      <c r="Q754" s="83"/>
      <c r="R754" s="83"/>
      <c r="S754" s="83"/>
      <c r="T754" s="83"/>
      <c r="U754" s="83"/>
      <c r="V754" s="83"/>
      <c r="W754" s="83"/>
      <c r="X754" s="83"/>
      <c r="Y754" s="83"/>
      <c r="Z754" s="83"/>
      <c r="AA754" s="83"/>
    </row>
    <row r="755" ht="55.5" customHeight="1">
      <c r="A755" s="79" t="s">
        <v>1204</v>
      </c>
      <c r="B755" s="84"/>
      <c r="C755" s="79" t="s">
        <v>658</v>
      </c>
      <c r="D755" s="12"/>
      <c r="E755" s="79" t="s">
        <v>1237</v>
      </c>
      <c r="F755" s="79" t="s">
        <v>1238</v>
      </c>
      <c r="G755" s="79" t="s">
        <v>1239</v>
      </c>
      <c r="H755" s="81" t="s">
        <v>10</v>
      </c>
      <c r="I755" s="82"/>
      <c r="J755" s="82"/>
      <c r="K755" s="83"/>
      <c r="L755" s="83"/>
      <c r="M755" s="83"/>
      <c r="N755" s="83"/>
      <c r="O755" s="83"/>
      <c r="P755" s="83"/>
      <c r="Q755" s="83"/>
      <c r="R755" s="83"/>
      <c r="S755" s="83"/>
      <c r="T755" s="83"/>
      <c r="U755" s="83"/>
      <c r="V755" s="83"/>
      <c r="W755" s="83"/>
      <c r="X755" s="83"/>
      <c r="Y755" s="83"/>
      <c r="Z755" s="83"/>
      <c r="AA755" s="83"/>
    </row>
    <row r="756" ht="55.5" customHeight="1">
      <c r="A756" s="79" t="s">
        <v>1204</v>
      </c>
      <c r="B756" s="84"/>
      <c r="C756" s="79" t="s">
        <v>659</v>
      </c>
      <c r="D756" s="78"/>
      <c r="E756" s="79" t="s">
        <v>1240</v>
      </c>
      <c r="F756" s="79" t="s">
        <v>1241</v>
      </c>
      <c r="G756" s="79" t="s">
        <v>1236</v>
      </c>
      <c r="H756" s="81" t="s">
        <v>10</v>
      </c>
      <c r="I756" s="82"/>
      <c r="J756" s="82"/>
      <c r="K756" s="83"/>
      <c r="L756" s="83"/>
      <c r="M756" s="83"/>
      <c r="N756" s="83"/>
      <c r="O756" s="83"/>
      <c r="P756" s="83"/>
      <c r="Q756" s="83"/>
      <c r="R756" s="83"/>
      <c r="S756" s="83"/>
      <c r="T756" s="83"/>
      <c r="U756" s="83"/>
      <c r="V756" s="83"/>
      <c r="W756" s="83"/>
      <c r="X756" s="83"/>
      <c r="Y756" s="83"/>
      <c r="Z756" s="83"/>
      <c r="AA756" s="83"/>
    </row>
    <row r="757" ht="55.5" customHeight="1">
      <c r="A757" s="79" t="s">
        <v>1204</v>
      </c>
      <c r="B757" s="84"/>
      <c r="C757" s="79" t="s">
        <v>660</v>
      </c>
      <c r="D757" s="78"/>
      <c r="E757" s="79" t="s">
        <v>1242</v>
      </c>
      <c r="F757" s="79" t="s">
        <v>1243</v>
      </c>
      <c r="G757" s="79" t="s">
        <v>1244</v>
      </c>
      <c r="H757" s="81" t="s">
        <v>10</v>
      </c>
      <c r="I757" s="82"/>
      <c r="J757" s="82"/>
      <c r="K757" s="83"/>
      <c r="L757" s="83"/>
      <c r="M757" s="83"/>
      <c r="N757" s="83"/>
      <c r="O757" s="83"/>
      <c r="P757" s="83"/>
      <c r="Q757" s="83"/>
      <c r="R757" s="83"/>
      <c r="S757" s="83"/>
      <c r="T757" s="83"/>
      <c r="U757" s="83"/>
      <c r="V757" s="83"/>
      <c r="W757" s="83"/>
      <c r="X757" s="83"/>
      <c r="Y757" s="83"/>
      <c r="Z757" s="83"/>
      <c r="AA757" s="83"/>
    </row>
    <row r="758" ht="55.5" customHeight="1">
      <c r="A758" s="79" t="s">
        <v>1204</v>
      </c>
      <c r="B758" s="84"/>
      <c r="C758" s="79" t="s">
        <v>661</v>
      </c>
      <c r="D758" s="78"/>
      <c r="E758" s="79" t="s">
        <v>1245</v>
      </c>
      <c r="F758" s="79" t="s">
        <v>1246</v>
      </c>
      <c r="G758" s="79" t="s">
        <v>1247</v>
      </c>
      <c r="H758" s="81" t="s">
        <v>10</v>
      </c>
      <c r="I758" s="82"/>
      <c r="J758" s="82"/>
      <c r="K758" s="83"/>
      <c r="L758" s="83"/>
      <c r="M758" s="83"/>
      <c r="N758" s="83"/>
      <c r="O758" s="83"/>
      <c r="P758" s="83"/>
      <c r="Q758" s="83"/>
      <c r="R758" s="83"/>
      <c r="S758" s="83"/>
      <c r="T758" s="83"/>
      <c r="U758" s="83"/>
      <c r="V758" s="83"/>
      <c r="W758" s="83"/>
      <c r="X758" s="83"/>
      <c r="Y758" s="83"/>
      <c r="Z758" s="83"/>
      <c r="AA758" s="83"/>
    </row>
    <row r="759" ht="55.5" customHeight="1">
      <c r="A759" s="79" t="s">
        <v>1204</v>
      </c>
      <c r="B759" s="84"/>
      <c r="C759" s="79" t="s">
        <v>666</v>
      </c>
      <c r="D759" s="94"/>
      <c r="E759" s="79" t="s">
        <v>1248</v>
      </c>
      <c r="F759" s="79" t="s">
        <v>1249</v>
      </c>
      <c r="G759" s="79" t="s">
        <v>1250</v>
      </c>
      <c r="H759" s="81" t="s">
        <v>10</v>
      </c>
      <c r="I759" s="85"/>
      <c r="J759" s="110" t="s">
        <v>1203</v>
      </c>
      <c r="K759" s="100"/>
      <c r="L759" s="100"/>
      <c r="M759" s="100"/>
      <c r="N759" s="100"/>
      <c r="O759" s="100"/>
      <c r="P759" s="100"/>
      <c r="Q759" s="100"/>
      <c r="R759" s="100"/>
      <c r="S759" s="100"/>
      <c r="T759" s="100"/>
      <c r="U759" s="100"/>
      <c r="V759" s="100"/>
      <c r="W759" s="100"/>
      <c r="X759" s="100"/>
      <c r="Y759" s="100"/>
      <c r="Z759" s="100"/>
      <c r="AA759" s="100"/>
    </row>
    <row r="760" ht="55.5" customHeight="1">
      <c r="A760" s="79" t="s">
        <v>1204</v>
      </c>
      <c r="B760" s="84"/>
      <c r="C760" s="79" t="s">
        <v>667</v>
      </c>
      <c r="D760" s="94"/>
      <c r="E760" s="79" t="s">
        <v>1251</v>
      </c>
      <c r="F760" s="79" t="s">
        <v>1252</v>
      </c>
      <c r="G760" s="79" t="s">
        <v>1253</v>
      </c>
      <c r="H760" s="81" t="s">
        <v>10</v>
      </c>
      <c r="I760" s="85"/>
      <c r="J760" s="110" t="s">
        <v>1127</v>
      </c>
      <c r="K760" s="100"/>
      <c r="L760" s="100"/>
      <c r="M760" s="100"/>
      <c r="N760" s="100"/>
      <c r="O760" s="100"/>
      <c r="P760" s="100"/>
      <c r="Q760" s="100"/>
      <c r="R760" s="100"/>
      <c r="S760" s="100"/>
      <c r="T760" s="100"/>
      <c r="U760" s="100"/>
      <c r="V760" s="100"/>
      <c r="W760" s="100"/>
      <c r="X760" s="100"/>
      <c r="Y760" s="100"/>
      <c r="Z760" s="100"/>
      <c r="AA760" s="100"/>
    </row>
    <row r="761" ht="55.5" customHeight="1">
      <c r="A761" s="79" t="s">
        <v>1204</v>
      </c>
      <c r="B761" s="84"/>
      <c r="C761" s="79" t="s">
        <v>668</v>
      </c>
      <c r="D761" s="94"/>
      <c r="E761" s="79" t="s">
        <v>1254</v>
      </c>
      <c r="F761" s="79" t="s">
        <v>1252</v>
      </c>
      <c r="G761" s="79" t="s">
        <v>1255</v>
      </c>
      <c r="H761" s="81" t="s">
        <v>10</v>
      </c>
      <c r="I761" s="82"/>
      <c r="J761" s="82"/>
      <c r="K761" s="83"/>
      <c r="L761" s="83"/>
      <c r="M761" s="83"/>
      <c r="N761" s="83"/>
      <c r="O761" s="83"/>
      <c r="P761" s="83"/>
      <c r="Q761" s="83"/>
      <c r="R761" s="83"/>
      <c r="S761" s="83"/>
      <c r="T761" s="83"/>
      <c r="U761" s="83"/>
      <c r="V761" s="83"/>
      <c r="W761" s="83"/>
      <c r="X761" s="83"/>
      <c r="Y761" s="83"/>
      <c r="Z761" s="83"/>
      <c r="AA761" s="83"/>
    </row>
    <row r="762" ht="55.5" customHeight="1">
      <c r="A762" s="79" t="s">
        <v>1204</v>
      </c>
      <c r="B762" s="84"/>
      <c r="C762" s="79" t="s">
        <v>669</v>
      </c>
      <c r="D762" s="94"/>
      <c r="E762" s="79" t="s">
        <v>1256</v>
      </c>
      <c r="F762" s="79" t="s">
        <v>1257</v>
      </c>
      <c r="G762" s="79" t="s">
        <v>1258</v>
      </c>
      <c r="H762" s="81" t="s">
        <v>10</v>
      </c>
      <c r="I762" s="82"/>
      <c r="J762" s="82"/>
      <c r="K762" s="83"/>
      <c r="L762" s="83"/>
      <c r="M762" s="83"/>
      <c r="N762" s="83"/>
      <c r="O762" s="83"/>
      <c r="P762" s="83"/>
      <c r="Q762" s="83"/>
      <c r="R762" s="83"/>
      <c r="S762" s="83"/>
      <c r="T762" s="83"/>
      <c r="U762" s="83"/>
      <c r="V762" s="83"/>
      <c r="W762" s="83"/>
      <c r="X762" s="83"/>
      <c r="Y762" s="83"/>
      <c r="Z762" s="83"/>
      <c r="AA762" s="83"/>
    </row>
    <row r="763" ht="55.5" customHeight="1">
      <c r="A763" s="79" t="s">
        <v>1204</v>
      </c>
      <c r="B763" s="12"/>
      <c r="C763" s="79" t="s">
        <v>673</v>
      </c>
      <c r="D763" s="94"/>
      <c r="E763" s="79" t="s">
        <v>1259</v>
      </c>
      <c r="F763" s="79" t="s">
        <v>1252</v>
      </c>
      <c r="G763" s="79" t="s">
        <v>1253</v>
      </c>
      <c r="H763" s="81" t="s">
        <v>10</v>
      </c>
      <c r="I763" s="82"/>
      <c r="J763" s="82"/>
      <c r="K763" s="83"/>
      <c r="L763" s="83"/>
      <c r="M763" s="83"/>
      <c r="N763" s="83"/>
      <c r="O763" s="83"/>
      <c r="P763" s="83"/>
      <c r="Q763" s="83"/>
      <c r="R763" s="83"/>
      <c r="S763" s="83"/>
      <c r="T763" s="83"/>
      <c r="U763" s="83"/>
      <c r="V763" s="83"/>
      <c r="W763" s="83"/>
      <c r="X763" s="83"/>
      <c r="Y763" s="83"/>
      <c r="Z763" s="83"/>
      <c r="AA763" s="83"/>
    </row>
    <row r="764" ht="55.5" customHeight="1">
      <c r="A764" s="79" t="s">
        <v>1260</v>
      </c>
      <c r="B764" s="80" t="s">
        <v>1261</v>
      </c>
      <c r="C764" s="79" t="s">
        <v>47</v>
      </c>
      <c r="D764" s="80" t="s">
        <v>1262</v>
      </c>
      <c r="E764" s="79" t="s">
        <v>1263</v>
      </c>
      <c r="F764" s="79" t="s">
        <v>1264</v>
      </c>
      <c r="G764" s="79" t="s">
        <v>1265</v>
      </c>
      <c r="H764" s="81" t="s">
        <v>10</v>
      </c>
      <c r="I764" s="82"/>
      <c r="J764" s="82"/>
      <c r="K764" s="83"/>
      <c r="L764" s="83"/>
      <c r="M764" s="83"/>
      <c r="N764" s="83"/>
      <c r="O764" s="83"/>
      <c r="P764" s="83"/>
      <c r="Q764" s="83"/>
      <c r="R764" s="83"/>
      <c r="S764" s="83"/>
      <c r="T764" s="83"/>
      <c r="U764" s="83"/>
      <c r="V764" s="83"/>
      <c r="W764" s="83"/>
      <c r="X764" s="83"/>
      <c r="Y764" s="83"/>
      <c r="Z764" s="83"/>
      <c r="AA764" s="83"/>
    </row>
    <row r="765" ht="55.5" customHeight="1">
      <c r="A765" s="79" t="s">
        <v>1260</v>
      </c>
      <c r="B765" s="84"/>
      <c r="C765" s="79" t="s">
        <v>52</v>
      </c>
      <c r="D765" s="84"/>
      <c r="E765" s="79" t="s">
        <v>1266</v>
      </c>
      <c r="F765" s="79" t="s">
        <v>1267</v>
      </c>
      <c r="G765" s="79" t="s">
        <v>1268</v>
      </c>
      <c r="H765" s="81" t="s">
        <v>10</v>
      </c>
      <c r="I765" s="82"/>
      <c r="J765" s="82"/>
      <c r="K765" s="83"/>
      <c r="L765" s="83"/>
      <c r="M765" s="83"/>
      <c r="N765" s="83"/>
      <c r="O765" s="83"/>
      <c r="P765" s="83"/>
      <c r="Q765" s="83"/>
      <c r="R765" s="83"/>
      <c r="S765" s="83"/>
      <c r="T765" s="83"/>
      <c r="U765" s="83"/>
      <c r="V765" s="83"/>
      <c r="W765" s="83"/>
      <c r="X765" s="83"/>
      <c r="Y765" s="83"/>
      <c r="Z765" s="83"/>
      <c r="AA765" s="83"/>
    </row>
    <row r="766" ht="55.5" customHeight="1">
      <c r="A766" s="79" t="s">
        <v>1260</v>
      </c>
      <c r="B766" s="84"/>
      <c r="C766" s="79" t="s">
        <v>55</v>
      </c>
      <c r="D766" s="84"/>
      <c r="E766" s="79" t="s">
        <v>1269</v>
      </c>
      <c r="F766" s="79" t="s">
        <v>1270</v>
      </c>
      <c r="G766" s="79" t="s">
        <v>1271</v>
      </c>
      <c r="H766" s="81" t="s">
        <v>10</v>
      </c>
      <c r="I766" s="82"/>
      <c r="J766" s="82"/>
      <c r="K766" s="83"/>
      <c r="L766" s="83"/>
      <c r="M766" s="83"/>
      <c r="N766" s="83"/>
      <c r="O766" s="83"/>
      <c r="P766" s="83"/>
      <c r="Q766" s="83"/>
      <c r="R766" s="83"/>
      <c r="S766" s="83"/>
      <c r="T766" s="83"/>
      <c r="U766" s="83"/>
      <c r="V766" s="83"/>
      <c r="W766" s="83"/>
      <c r="X766" s="83"/>
      <c r="Y766" s="83"/>
      <c r="Z766" s="83"/>
      <c r="AA766" s="83"/>
    </row>
    <row r="767" ht="55.5" customHeight="1">
      <c r="A767" s="79" t="s">
        <v>1260</v>
      </c>
      <c r="B767" s="84"/>
      <c r="C767" s="79" t="s">
        <v>58</v>
      </c>
      <c r="D767" s="84"/>
      <c r="E767" s="79" t="s">
        <v>1272</v>
      </c>
      <c r="F767" s="79" t="s">
        <v>1273</v>
      </c>
      <c r="G767" s="79" t="s">
        <v>1274</v>
      </c>
      <c r="H767" s="98" t="s">
        <v>11</v>
      </c>
      <c r="I767" s="82"/>
      <c r="J767" s="102" t="s">
        <v>1127</v>
      </c>
      <c r="K767" s="83"/>
      <c r="L767" s="83"/>
      <c r="M767" s="83"/>
      <c r="N767" s="83"/>
      <c r="O767" s="83"/>
      <c r="P767" s="83"/>
      <c r="Q767" s="83"/>
      <c r="R767" s="83"/>
      <c r="S767" s="83"/>
      <c r="T767" s="83"/>
      <c r="U767" s="83"/>
      <c r="V767" s="83"/>
      <c r="W767" s="83"/>
      <c r="X767" s="83"/>
      <c r="Y767" s="83"/>
      <c r="Z767" s="83"/>
      <c r="AA767" s="83"/>
    </row>
    <row r="768" ht="55.5" customHeight="1">
      <c r="A768" s="79" t="s">
        <v>1260</v>
      </c>
      <c r="B768" s="84"/>
      <c r="C768" s="79" t="s">
        <v>62</v>
      </c>
      <c r="D768" s="84"/>
      <c r="E768" s="79" t="s">
        <v>1275</v>
      </c>
      <c r="F768" s="79" t="s">
        <v>1276</v>
      </c>
      <c r="G768" s="79" t="s">
        <v>1277</v>
      </c>
      <c r="H768" s="98" t="s">
        <v>11</v>
      </c>
      <c r="I768" s="82"/>
      <c r="J768" s="102" t="s">
        <v>1127</v>
      </c>
      <c r="K768" s="83"/>
      <c r="L768" s="83"/>
      <c r="M768" s="83"/>
      <c r="N768" s="83"/>
      <c r="O768" s="83"/>
      <c r="P768" s="83"/>
      <c r="Q768" s="83"/>
      <c r="R768" s="83"/>
      <c r="S768" s="83"/>
      <c r="T768" s="83"/>
      <c r="U768" s="83"/>
      <c r="V768" s="83"/>
      <c r="W768" s="83"/>
      <c r="X768" s="83"/>
      <c r="Y768" s="83"/>
      <c r="Z768" s="83"/>
      <c r="AA768" s="83"/>
    </row>
    <row r="769" ht="55.5" customHeight="1">
      <c r="A769" s="79" t="s">
        <v>1260</v>
      </c>
      <c r="B769" s="84"/>
      <c r="C769" s="79" t="s">
        <v>64</v>
      </c>
      <c r="D769" s="84"/>
      <c r="E769" s="79" t="s">
        <v>1278</v>
      </c>
      <c r="F769" s="79" t="s">
        <v>1279</v>
      </c>
      <c r="G769" s="79" t="s">
        <v>1280</v>
      </c>
      <c r="H769" s="81" t="s">
        <v>10</v>
      </c>
      <c r="I769" s="82"/>
      <c r="J769" s="82"/>
      <c r="K769" s="83"/>
      <c r="L769" s="83"/>
      <c r="M769" s="83"/>
      <c r="N769" s="83"/>
      <c r="O769" s="83"/>
      <c r="P769" s="83"/>
      <c r="Q769" s="83"/>
      <c r="R769" s="83"/>
      <c r="S769" s="83"/>
      <c r="T769" s="83"/>
      <c r="U769" s="83"/>
      <c r="V769" s="83"/>
      <c r="W769" s="83"/>
      <c r="X769" s="83"/>
      <c r="Y769" s="83"/>
      <c r="Z769" s="83"/>
      <c r="AA769" s="83"/>
    </row>
    <row r="770" ht="55.5" customHeight="1">
      <c r="A770" s="79" t="s">
        <v>1260</v>
      </c>
      <c r="B770" s="84"/>
      <c r="C770" s="79" t="s">
        <v>69</v>
      </c>
      <c r="D770" s="84"/>
      <c r="E770" s="79" t="s">
        <v>1281</v>
      </c>
      <c r="F770" s="79" t="s">
        <v>1282</v>
      </c>
      <c r="G770" s="79" t="s">
        <v>1283</v>
      </c>
      <c r="H770" s="81" t="s">
        <v>10</v>
      </c>
      <c r="I770" s="82"/>
      <c r="J770" s="110" t="s">
        <v>1284</v>
      </c>
      <c r="K770" s="100"/>
      <c r="L770" s="100"/>
      <c r="M770" s="100"/>
      <c r="N770" s="100"/>
      <c r="O770" s="100"/>
      <c r="P770" s="100"/>
      <c r="Q770" s="100"/>
      <c r="R770" s="100"/>
      <c r="S770" s="100"/>
      <c r="T770" s="100"/>
      <c r="U770" s="100"/>
      <c r="V770" s="100"/>
      <c r="W770" s="100"/>
      <c r="X770" s="100"/>
      <c r="Y770" s="100"/>
      <c r="Z770" s="100"/>
      <c r="AA770" s="100"/>
    </row>
    <row r="771" ht="55.5" customHeight="1">
      <c r="A771" s="79" t="s">
        <v>1260</v>
      </c>
      <c r="B771" s="84"/>
      <c r="C771" s="79" t="s">
        <v>72</v>
      </c>
      <c r="D771" s="84"/>
      <c r="E771" s="79" t="s">
        <v>1285</v>
      </c>
      <c r="F771" s="79" t="s">
        <v>1286</v>
      </c>
      <c r="G771" s="79" t="s">
        <v>1287</v>
      </c>
      <c r="H771" s="81" t="s">
        <v>10</v>
      </c>
      <c r="I771" s="82"/>
      <c r="J771" s="82"/>
      <c r="K771" s="83"/>
      <c r="L771" s="83"/>
      <c r="M771" s="83"/>
      <c r="N771" s="83"/>
      <c r="O771" s="83"/>
      <c r="P771" s="83"/>
      <c r="Q771" s="83"/>
      <c r="R771" s="83"/>
      <c r="S771" s="83"/>
      <c r="T771" s="83"/>
      <c r="U771" s="83"/>
      <c r="V771" s="83"/>
      <c r="W771" s="83"/>
      <c r="X771" s="83"/>
      <c r="Y771" s="83"/>
      <c r="Z771" s="83"/>
      <c r="AA771" s="83"/>
    </row>
    <row r="772" ht="55.5" customHeight="1">
      <c r="A772" s="79" t="s">
        <v>1260</v>
      </c>
      <c r="B772" s="84"/>
      <c r="C772" s="79" t="s">
        <v>75</v>
      </c>
      <c r="D772" s="84"/>
      <c r="E772" s="79" t="s">
        <v>1288</v>
      </c>
      <c r="F772" s="79" t="s">
        <v>1289</v>
      </c>
      <c r="G772" s="79" t="s">
        <v>1290</v>
      </c>
      <c r="H772" s="81" t="s">
        <v>10</v>
      </c>
      <c r="I772" s="82"/>
      <c r="J772" s="82"/>
      <c r="K772" s="83"/>
      <c r="L772" s="83"/>
      <c r="M772" s="83"/>
      <c r="N772" s="83"/>
      <c r="O772" s="83"/>
      <c r="P772" s="83"/>
      <c r="Q772" s="83"/>
      <c r="R772" s="83"/>
      <c r="S772" s="83"/>
      <c r="T772" s="83"/>
      <c r="U772" s="83"/>
      <c r="V772" s="83"/>
      <c r="W772" s="83"/>
      <c r="X772" s="83"/>
      <c r="Y772" s="83"/>
      <c r="Z772" s="83"/>
      <c r="AA772" s="83"/>
    </row>
    <row r="773" ht="55.5" customHeight="1">
      <c r="A773" s="79" t="s">
        <v>1260</v>
      </c>
      <c r="B773" s="84"/>
      <c r="C773" s="79" t="s">
        <v>79</v>
      </c>
      <c r="D773" s="84"/>
      <c r="E773" s="79" t="s">
        <v>1291</v>
      </c>
      <c r="F773" s="79" t="s">
        <v>1292</v>
      </c>
      <c r="G773" s="79" t="s">
        <v>1293</v>
      </c>
      <c r="H773" s="81" t="s">
        <v>10</v>
      </c>
      <c r="I773" s="82"/>
      <c r="J773" s="82"/>
      <c r="K773" s="83"/>
      <c r="L773" s="83"/>
      <c r="M773" s="83"/>
      <c r="N773" s="83"/>
      <c r="O773" s="83"/>
      <c r="P773" s="83"/>
      <c r="Q773" s="83"/>
      <c r="R773" s="83"/>
      <c r="S773" s="83"/>
      <c r="T773" s="83"/>
      <c r="U773" s="83"/>
      <c r="V773" s="83"/>
      <c r="W773" s="83"/>
      <c r="X773" s="83"/>
      <c r="Y773" s="83"/>
      <c r="Z773" s="83"/>
      <c r="AA773" s="83"/>
    </row>
    <row r="774" ht="55.5" customHeight="1">
      <c r="A774" s="79" t="s">
        <v>1260</v>
      </c>
      <c r="B774" s="84"/>
      <c r="C774" s="79" t="s">
        <v>83</v>
      </c>
      <c r="D774" s="84"/>
      <c r="E774" s="79" t="s">
        <v>1294</v>
      </c>
      <c r="F774" s="79" t="s">
        <v>1295</v>
      </c>
      <c r="G774" s="79" t="s">
        <v>1296</v>
      </c>
      <c r="H774" s="81" t="s">
        <v>10</v>
      </c>
      <c r="I774" s="82"/>
      <c r="J774" s="82"/>
      <c r="K774" s="83"/>
      <c r="L774" s="83"/>
      <c r="M774" s="83"/>
      <c r="N774" s="83"/>
      <c r="O774" s="83"/>
      <c r="P774" s="83"/>
      <c r="Q774" s="83"/>
      <c r="R774" s="83"/>
      <c r="S774" s="83"/>
      <c r="T774" s="83"/>
      <c r="U774" s="83"/>
      <c r="V774" s="83"/>
      <c r="W774" s="83"/>
      <c r="X774" s="83"/>
      <c r="Y774" s="83"/>
      <c r="Z774" s="83"/>
      <c r="AA774" s="83"/>
    </row>
    <row r="775" ht="55.5" customHeight="1">
      <c r="A775" s="79" t="s">
        <v>1260</v>
      </c>
      <c r="B775" s="12"/>
      <c r="C775" s="79" t="s">
        <v>86</v>
      </c>
      <c r="D775" s="12"/>
      <c r="E775" s="79" t="s">
        <v>1297</v>
      </c>
      <c r="F775" s="79" t="s">
        <v>1298</v>
      </c>
      <c r="G775" s="79" t="s">
        <v>1299</v>
      </c>
      <c r="H775" s="81" t="s">
        <v>10</v>
      </c>
      <c r="I775" s="82"/>
      <c r="J775" s="82"/>
      <c r="K775" s="83"/>
      <c r="L775" s="83"/>
      <c r="M775" s="83"/>
      <c r="N775" s="83"/>
      <c r="O775" s="83"/>
      <c r="P775" s="83"/>
      <c r="Q775" s="83"/>
      <c r="R775" s="83"/>
      <c r="S775" s="83"/>
      <c r="T775" s="83"/>
      <c r="U775" s="83"/>
      <c r="V775" s="83"/>
      <c r="W775" s="83"/>
      <c r="X775" s="83"/>
      <c r="Y775" s="83"/>
      <c r="Z775" s="83"/>
      <c r="AA775" s="83"/>
    </row>
    <row r="776" ht="55.5" customHeight="1">
      <c r="A776" s="94" t="s">
        <v>1300</v>
      </c>
      <c r="B776" s="111" t="s">
        <v>1301</v>
      </c>
      <c r="C776" s="94" t="s">
        <v>634</v>
      </c>
      <c r="D776" s="94" t="s">
        <v>1302</v>
      </c>
      <c r="E776" s="94" t="s">
        <v>1303</v>
      </c>
      <c r="F776" s="94" t="s">
        <v>1304</v>
      </c>
      <c r="G776" s="94" t="s">
        <v>1305</v>
      </c>
      <c r="H776" s="81" t="s">
        <v>10</v>
      </c>
      <c r="I776" s="112"/>
      <c r="J776" s="112"/>
      <c r="K776" s="83"/>
      <c r="L776" s="83"/>
      <c r="M776" s="83"/>
      <c r="N776" s="83"/>
      <c r="O776" s="83"/>
      <c r="P776" s="83"/>
      <c r="Q776" s="83"/>
      <c r="R776" s="83"/>
      <c r="S776" s="83"/>
      <c r="T776" s="83"/>
      <c r="U776" s="83"/>
      <c r="V776" s="83"/>
      <c r="W776" s="83"/>
      <c r="X776" s="83"/>
      <c r="Y776" s="83"/>
      <c r="Z776" s="83"/>
      <c r="AA776" s="83"/>
    </row>
    <row r="777" ht="55.5" customHeight="1">
      <c r="A777" s="79" t="s">
        <v>1300</v>
      </c>
      <c r="B777" s="84"/>
      <c r="C777" s="79" t="s">
        <v>638</v>
      </c>
      <c r="D777" s="113"/>
      <c r="E777" s="79" t="s">
        <v>1306</v>
      </c>
      <c r="F777" s="79" t="s">
        <v>1307</v>
      </c>
      <c r="G777" s="79" t="s">
        <v>1305</v>
      </c>
      <c r="H777" s="81" t="s">
        <v>10</v>
      </c>
      <c r="I777" s="114"/>
      <c r="J777" s="114"/>
    </row>
    <row r="778" ht="55.5" customHeight="1">
      <c r="A778" s="79" t="s">
        <v>1300</v>
      </c>
      <c r="B778" s="84"/>
      <c r="C778" s="79" t="s">
        <v>641</v>
      </c>
      <c r="D778" s="113"/>
      <c r="E778" s="79" t="s">
        <v>1308</v>
      </c>
      <c r="F778" s="79" t="s">
        <v>1309</v>
      </c>
      <c r="G778" s="79" t="s">
        <v>1305</v>
      </c>
      <c r="H778" s="98" t="s">
        <v>11</v>
      </c>
      <c r="I778" s="114"/>
      <c r="J778" s="115" t="s">
        <v>1134</v>
      </c>
    </row>
    <row r="779" ht="55.5" customHeight="1">
      <c r="A779" s="79" t="s">
        <v>1300</v>
      </c>
      <c r="B779" s="84"/>
      <c r="C779" s="79" t="s">
        <v>644</v>
      </c>
      <c r="D779" s="113"/>
      <c r="E779" s="79" t="s">
        <v>1310</v>
      </c>
      <c r="F779" s="79" t="s">
        <v>1311</v>
      </c>
      <c r="G779" s="79" t="s">
        <v>1305</v>
      </c>
      <c r="H779" s="81" t="s">
        <v>10</v>
      </c>
      <c r="I779" s="114"/>
      <c r="J779" s="114"/>
    </row>
    <row r="780" ht="55.5" customHeight="1">
      <c r="A780" s="79" t="s">
        <v>1300</v>
      </c>
      <c r="B780" s="84"/>
      <c r="C780" s="79" t="s">
        <v>647</v>
      </c>
      <c r="D780" s="113"/>
      <c r="E780" s="79" t="s">
        <v>1312</v>
      </c>
      <c r="F780" s="79" t="s">
        <v>1313</v>
      </c>
      <c r="G780" s="79" t="s">
        <v>1314</v>
      </c>
      <c r="H780" s="81" t="s">
        <v>10</v>
      </c>
      <c r="I780" s="114"/>
      <c r="J780" s="114"/>
    </row>
    <row r="781" ht="55.5" customHeight="1">
      <c r="A781" s="79" t="s">
        <v>1300</v>
      </c>
      <c r="B781" s="84"/>
      <c r="C781" s="79" t="s">
        <v>650</v>
      </c>
      <c r="D781" s="113"/>
      <c r="E781" s="79" t="s">
        <v>1315</v>
      </c>
      <c r="F781" s="79" t="s">
        <v>1316</v>
      </c>
      <c r="G781" s="79" t="s">
        <v>1314</v>
      </c>
      <c r="H781" s="81" t="s">
        <v>10</v>
      </c>
      <c r="I781" s="114"/>
      <c r="J781" s="114"/>
    </row>
    <row r="782" ht="55.5" customHeight="1">
      <c r="A782" s="79" t="s">
        <v>1300</v>
      </c>
      <c r="B782" s="84"/>
      <c r="C782" s="79" t="s">
        <v>653</v>
      </c>
      <c r="D782" s="113"/>
      <c r="E782" s="79" t="s">
        <v>1317</v>
      </c>
      <c r="F782" s="79" t="s">
        <v>1318</v>
      </c>
      <c r="G782" s="79" t="s">
        <v>1314</v>
      </c>
      <c r="H782" s="81" t="s">
        <v>10</v>
      </c>
      <c r="I782" s="114"/>
      <c r="J782" s="114"/>
    </row>
    <row r="783" ht="55.5" customHeight="1">
      <c r="A783" s="79" t="s">
        <v>1300</v>
      </c>
      <c r="B783" s="12"/>
      <c r="C783" s="79" t="s">
        <v>654</v>
      </c>
      <c r="D783" s="113"/>
      <c r="E783" s="79" t="s">
        <v>1319</v>
      </c>
      <c r="F783" s="79" t="s">
        <v>1320</v>
      </c>
      <c r="G783" s="79" t="s">
        <v>1314</v>
      </c>
      <c r="H783" s="81" t="s">
        <v>10</v>
      </c>
      <c r="I783" s="114"/>
      <c r="J783" s="114"/>
    </row>
    <row r="784" ht="55.5" customHeight="1">
      <c r="A784" s="85" t="s">
        <v>1321</v>
      </c>
      <c r="B784" s="116" t="s">
        <v>1322</v>
      </c>
      <c r="C784" s="85" t="s">
        <v>47</v>
      </c>
      <c r="D784" s="116" t="s">
        <v>1323</v>
      </c>
      <c r="E784" s="85" t="s">
        <v>1324</v>
      </c>
      <c r="F784" s="85" t="s">
        <v>1325</v>
      </c>
      <c r="G784" s="85" t="s">
        <v>1326</v>
      </c>
      <c r="H784" s="81" t="s">
        <v>10</v>
      </c>
      <c r="I784" s="114"/>
      <c r="J784" s="114"/>
    </row>
    <row r="785" ht="55.5" customHeight="1">
      <c r="A785" s="85" t="s">
        <v>1321</v>
      </c>
      <c r="B785" s="84"/>
      <c r="C785" s="85" t="s">
        <v>52</v>
      </c>
      <c r="D785" s="84"/>
      <c r="E785" s="85" t="s">
        <v>1327</v>
      </c>
      <c r="F785" s="85" t="s">
        <v>1328</v>
      </c>
      <c r="G785" s="85" t="s">
        <v>1329</v>
      </c>
      <c r="H785" s="81" t="s">
        <v>10</v>
      </c>
      <c r="I785" s="114"/>
      <c r="J785" s="114"/>
    </row>
    <row r="786" ht="55.5" customHeight="1">
      <c r="A786" s="85" t="s">
        <v>1321</v>
      </c>
      <c r="B786" s="84"/>
      <c r="C786" s="85" t="s">
        <v>55</v>
      </c>
      <c r="D786" s="84"/>
      <c r="E786" s="85" t="s">
        <v>1330</v>
      </c>
      <c r="F786" s="85" t="s">
        <v>1331</v>
      </c>
      <c r="G786" s="85" t="s">
        <v>1332</v>
      </c>
      <c r="H786" s="81" t="s">
        <v>10</v>
      </c>
      <c r="I786" s="114"/>
      <c r="J786" s="114"/>
    </row>
    <row r="787" ht="55.5" customHeight="1">
      <c r="A787" s="85" t="s">
        <v>1321</v>
      </c>
      <c r="B787" s="84"/>
      <c r="C787" s="85" t="s">
        <v>58</v>
      </c>
      <c r="D787" s="84"/>
      <c r="E787" s="85" t="s">
        <v>1333</v>
      </c>
      <c r="F787" s="85" t="s">
        <v>1328</v>
      </c>
      <c r="G787" s="85" t="s">
        <v>1334</v>
      </c>
      <c r="H787" s="81" t="s">
        <v>10</v>
      </c>
      <c r="I787" s="114"/>
      <c r="J787" s="114"/>
    </row>
    <row r="788" ht="55.5" customHeight="1">
      <c r="A788" s="85" t="s">
        <v>1321</v>
      </c>
      <c r="B788" s="84"/>
      <c r="C788" s="85" t="s">
        <v>62</v>
      </c>
      <c r="D788" s="84"/>
      <c r="E788" s="85" t="s">
        <v>1335</v>
      </c>
      <c r="F788" s="85" t="s">
        <v>1336</v>
      </c>
      <c r="G788" s="85" t="s">
        <v>1228</v>
      </c>
      <c r="H788" s="81" t="s">
        <v>10</v>
      </c>
      <c r="I788" s="114"/>
      <c r="J788" s="114"/>
    </row>
    <row r="789" ht="55.5" customHeight="1">
      <c r="A789" s="85" t="s">
        <v>1321</v>
      </c>
      <c r="B789" s="84"/>
      <c r="C789" s="85" t="s">
        <v>64</v>
      </c>
      <c r="D789" s="84"/>
      <c r="E789" s="85" t="s">
        <v>1337</v>
      </c>
      <c r="F789" s="85" t="s">
        <v>1338</v>
      </c>
      <c r="G789" s="85" t="s">
        <v>1228</v>
      </c>
      <c r="H789" s="81" t="s">
        <v>10</v>
      </c>
      <c r="I789" s="114"/>
      <c r="J789" s="114"/>
    </row>
    <row r="790" ht="55.5" customHeight="1">
      <c r="A790" s="85" t="s">
        <v>1321</v>
      </c>
      <c r="B790" s="84"/>
      <c r="C790" s="85" t="s">
        <v>69</v>
      </c>
      <c r="D790" s="84"/>
      <c r="E790" s="85" t="s">
        <v>1339</v>
      </c>
      <c r="F790" s="85" t="s">
        <v>1340</v>
      </c>
      <c r="G790" s="85" t="s">
        <v>1341</v>
      </c>
      <c r="H790" s="81" t="s">
        <v>10</v>
      </c>
      <c r="I790" s="114"/>
      <c r="J790" s="114"/>
    </row>
    <row r="791" ht="55.5" customHeight="1">
      <c r="A791" s="85" t="s">
        <v>1321</v>
      </c>
      <c r="B791" s="84"/>
      <c r="C791" s="85" t="s">
        <v>72</v>
      </c>
      <c r="D791" s="84"/>
      <c r="E791" s="85" t="s">
        <v>1342</v>
      </c>
      <c r="F791" s="85" t="s">
        <v>1343</v>
      </c>
      <c r="G791" s="85" t="s">
        <v>1344</v>
      </c>
      <c r="H791" s="81" t="s">
        <v>10</v>
      </c>
      <c r="I791" s="114"/>
      <c r="J791" s="114"/>
    </row>
    <row r="792" ht="55.5" customHeight="1">
      <c r="A792" s="85" t="s">
        <v>1321</v>
      </c>
      <c r="B792" s="84"/>
      <c r="C792" s="85" t="s">
        <v>75</v>
      </c>
      <c r="D792" s="84"/>
      <c r="E792" s="85" t="s">
        <v>1345</v>
      </c>
      <c r="F792" s="85" t="s">
        <v>1345</v>
      </c>
      <c r="G792" s="85" t="s">
        <v>1344</v>
      </c>
      <c r="H792" s="81" t="s">
        <v>10</v>
      </c>
      <c r="I792" s="114"/>
      <c r="J792" s="114"/>
    </row>
    <row r="793" ht="55.5" customHeight="1">
      <c r="A793" s="85" t="s">
        <v>1321</v>
      </c>
      <c r="B793" s="12"/>
      <c r="C793" s="85" t="s">
        <v>79</v>
      </c>
      <c r="D793" s="12"/>
      <c r="E793" s="85" t="s">
        <v>1346</v>
      </c>
      <c r="F793" s="85" t="s">
        <v>1346</v>
      </c>
      <c r="G793" s="85" t="s">
        <v>1347</v>
      </c>
      <c r="H793" s="81" t="s">
        <v>10</v>
      </c>
      <c r="I793" s="114"/>
      <c r="J793" s="114"/>
    </row>
    <row r="794" ht="55.5" customHeight="1">
      <c r="A794" s="85" t="s">
        <v>1348</v>
      </c>
      <c r="B794" s="116" t="s">
        <v>1349</v>
      </c>
      <c r="C794" s="85" t="s">
        <v>47</v>
      </c>
      <c r="D794" s="117"/>
      <c r="E794" s="85" t="s">
        <v>1350</v>
      </c>
      <c r="F794" s="85" t="s">
        <v>1351</v>
      </c>
      <c r="G794" s="85" t="s">
        <v>1352</v>
      </c>
      <c r="H794" s="81" t="s">
        <v>10</v>
      </c>
      <c r="I794" s="114"/>
      <c r="J794" s="114"/>
    </row>
    <row r="795" ht="55.5" customHeight="1">
      <c r="A795" s="85" t="s">
        <v>1348</v>
      </c>
      <c r="B795" s="84"/>
      <c r="C795" s="85" t="s">
        <v>52</v>
      </c>
      <c r="D795" s="117"/>
      <c r="E795" s="85" t="s">
        <v>1353</v>
      </c>
      <c r="F795" s="85" t="s">
        <v>1354</v>
      </c>
      <c r="G795" s="85" t="s">
        <v>1355</v>
      </c>
      <c r="H795" s="81" t="s">
        <v>10</v>
      </c>
      <c r="I795" s="114"/>
      <c r="J795" s="114"/>
    </row>
    <row r="796" ht="55.5" customHeight="1">
      <c r="A796" s="85" t="s">
        <v>1348</v>
      </c>
      <c r="B796" s="84"/>
      <c r="C796" s="85" t="s">
        <v>55</v>
      </c>
      <c r="D796" s="117"/>
      <c r="E796" s="85" t="s">
        <v>1356</v>
      </c>
      <c r="F796" s="85" t="s">
        <v>1354</v>
      </c>
      <c r="G796" s="85" t="s">
        <v>1357</v>
      </c>
      <c r="H796" s="81" t="s">
        <v>10</v>
      </c>
      <c r="I796" s="114"/>
      <c r="J796" s="114"/>
    </row>
    <row r="797" ht="55.5" customHeight="1">
      <c r="A797" s="85" t="s">
        <v>1348</v>
      </c>
      <c r="B797" s="84"/>
      <c r="C797" s="85" t="s">
        <v>58</v>
      </c>
      <c r="D797" s="117"/>
      <c r="E797" s="85" t="s">
        <v>1358</v>
      </c>
      <c r="F797" s="85" t="s">
        <v>1354</v>
      </c>
      <c r="G797" s="85" t="s">
        <v>1359</v>
      </c>
      <c r="H797" s="81" t="s">
        <v>10</v>
      </c>
      <c r="I797" s="114"/>
      <c r="J797" s="114"/>
    </row>
    <row r="798" ht="55.5" customHeight="1">
      <c r="A798" s="85" t="s">
        <v>1348</v>
      </c>
      <c r="B798" s="84"/>
      <c r="C798" s="85" t="s">
        <v>62</v>
      </c>
      <c r="D798" s="117"/>
      <c r="E798" s="85" t="s">
        <v>1360</v>
      </c>
      <c r="F798" s="85" t="s">
        <v>1361</v>
      </c>
      <c r="G798" s="105" t="s">
        <v>1362</v>
      </c>
      <c r="H798" s="81" t="s">
        <v>10</v>
      </c>
      <c r="I798" s="114"/>
      <c r="J798" s="114"/>
    </row>
    <row r="799" ht="55.5" customHeight="1">
      <c r="A799" s="85" t="s">
        <v>1348</v>
      </c>
      <c r="B799" s="84"/>
      <c r="C799" s="85" t="s">
        <v>64</v>
      </c>
      <c r="D799" s="117"/>
      <c r="E799" s="85" t="s">
        <v>1363</v>
      </c>
      <c r="F799" s="85" t="s">
        <v>1354</v>
      </c>
      <c r="G799" s="85" t="s">
        <v>1364</v>
      </c>
      <c r="H799" s="81" t="s">
        <v>10</v>
      </c>
      <c r="I799" s="114"/>
      <c r="J799" s="114"/>
    </row>
    <row r="800" ht="55.5" customHeight="1">
      <c r="A800" s="85" t="s">
        <v>1348</v>
      </c>
      <c r="B800" s="84"/>
      <c r="C800" s="85" t="s">
        <v>69</v>
      </c>
      <c r="D800" s="116" t="s">
        <v>1365</v>
      </c>
      <c r="E800" s="85" t="s">
        <v>1366</v>
      </c>
      <c r="F800" s="85" t="s">
        <v>1367</v>
      </c>
      <c r="G800" s="85" t="s">
        <v>1314</v>
      </c>
      <c r="H800" s="81" t="s">
        <v>10</v>
      </c>
      <c r="I800" s="114"/>
      <c r="J800" s="114"/>
    </row>
    <row r="801" ht="55.5" customHeight="1">
      <c r="A801" s="85" t="s">
        <v>1348</v>
      </c>
      <c r="B801" s="84"/>
      <c r="C801" s="85" t="s">
        <v>72</v>
      </c>
      <c r="D801" s="84"/>
      <c r="E801" s="85" t="s">
        <v>1368</v>
      </c>
      <c r="F801" s="85" t="s">
        <v>1369</v>
      </c>
      <c r="G801" s="85" t="s">
        <v>1314</v>
      </c>
      <c r="H801" s="81" t="s">
        <v>10</v>
      </c>
      <c r="I801" s="114"/>
      <c r="J801" s="114"/>
    </row>
    <row r="802" ht="55.5" customHeight="1">
      <c r="A802" s="85" t="s">
        <v>1348</v>
      </c>
      <c r="B802" s="84"/>
      <c r="C802" s="85" t="s">
        <v>75</v>
      </c>
      <c r="D802" s="12"/>
      <c r="E802" s="85" t="s">
        <v>1370</v>
      </c>
      <c r="F802" s="85" t="s">
        <v>1371</v>
      </c>
      <c r="G802" s="85" t="s">
        <v>1314</v>
      </c>
      <c r="H802" s="81" t="s">
        <v>10</v>
      </c>
      <c r="I802" s="114"/>
      <c r="J802" s="114"/>
    </row>
    <row r="803" ht="55.5" customHeight="1">
      <c r="A803" s="85" t="s">
        <v>1348</v>
      </c>
      <c r="B803" s="12"/>
      <c r="C803" s="85" t="s">
        <v>79</v>
      </c>
      <c r="D803" s="117"/>
      <c r="E803" s="85" t="s">
        <v>1372</v>
      </c>
      <c r="F803" s="85" t="s">
        <v>1373</v>
      </c>
      <c r="G803" s="85" t="s">
        <v>1314</v>
      </c>
      <c r="H803" s="81" t="s">
        <v>10</v>
      </c>
      <c r="I803" s="114"/>
      <c r="J803" s="114"/>
    </row>
    <row r="804" ht="55.5" customHeight="1">
      <c r="A804" s="85" t="s">
        <v>1374</v>
      </c>
      <c r="B804" s="116" t="s">
        <v>1375</v>
      </c>
      <c r="C804" s="85" t="s">
        <v>47</v>
      </c>
      <c r="D804" s="117"/>
      <c r="E804" s="85" t="s">
        <v>1376</v>
      </c>
      <c r="F804" s="85" t="s">
        <v>1377</v>
      </c>
      <c r="G804" s="85" t="s">
        <v>1378</v>
      </c>
      <c r="H804" s="81" t="s">
        <v>10</v>
      </c>
      <c r="I804" s="114"/>
      <c r="J804" s="114"/>
    </row>
    <row r="805" ht="55.5" customHeight="1">
      <c r="A805" s="85" t="s">
        <v>1374</v>
      </c>
      <c r="B805" s="84"/>
      <c r="C805" s="85" t="s">
        <v>52</v>
      </c>
      <c r="D805" s="117"/>
      <c r="E805" s="85" t="s">
        <v>1379</v>
      </c>
      <c r="F805" s="85" t="s">
        <v>1380</v>
      </c>
      <c r="G805" s="85" t="s">
        <v>1381</v>
      </c>
      <c r="H805" s="81" t="s">
        <v>10</v>
      </c>
      <c r="I805" s="114"/>
      <c r="J805" s="114"/>
    </row>
    <row r="806" ht="55.5" customHeight="1">
      <c r="A806" s="85" t="s">
        <v>1374</v>
      </c>
      <c r="B806" s="84"/>
      <c r="C806" s="85" t="s">
        <v>55</v>
      </c>
      <c r="D806" s="117"/>
      <c r="E806" s="85" t="s">
        <v>1382</v>
      </c>
      <c r="F806" s="85" t="s">
        <v>1383</v>
      </c>
      <c r="G806" s="85" t="s">
        <v>1384</v>
      </c>
      <c r="H806" s="81" t="s">
        <v>10</v>
      </c>
      <c r="I806" s="114"/>
      <c r="J806" s="114"/>
    </row>
    <row r="807" ht="55.5" customHeight="1">
      <c r="A807" s="85" t="s">
        <v>1374</v>
      </c>
      <c r="B807" s="84"/>
      <c r="C807" s="85" t="s">
        <v>58</v>
      </c>
      <c r="D807" s="117"/>
      <c r="E807" s="85" t="s">
        <v>1385</v>
      </c>
      <c r="F807" s="85" t="s">
        <v>1386</v>
      </c>
      <c r="G807" s="85" t="s">
        <v>1387</v>
      </c>
      <c r="H807" s="81" t="s">
        <v>10</v>
      </c>
      <c r="I807" s="114"/>
      <c r="J807" s="114"/>
    </row>
    <row r="808" ht="55.5" customHeight="1">
      <c r="A808" s="85" t="s">
        <v>1374</v>
      </c>
      <c r="B808" s="84"/>
      <c r="C808" s="85" t="s">
        <v>62</v>
      </c>
      <c r="D808" s="117"/>
      <c r="E808" s="85" t="s">
        <v>1388</v>
      </c>
      <c r="F808" s="118" t="s">
        <v>1389</v>
      </c>
      <c r="G808" s="85" t="s">
        <v>1390</v>
      </c>
      <c r="H808" s="81" t="s">
        <v>10</v>
      </c>
      <c r="I808" s="114"/>
      <c r="J808" s="114"/>
    </row>
    <row r="809" ht="55.5" customHeight="1">
      <c r="A809" s="85" t="s">
        <v>1374</v>
      </c>
      <c r="B809" s="84"/>
      <c r="C809" s="85" t="s">
        <v>64</v>
      </c>
      <c r="D809" s="117"/>
      <c r="E809" s="85" t="s">
        <v>1391</v>
      </c>
      <c r="F809" s="118" t="s">
        <v>1392</v>
      </c>
      <c r="G809" s="85" t="s">
        <v>1393</v>
      </c>
      <c r="H809" s="81" t="s">
        <v>10</v>
      </c>
      <c r="I809" s="114"/>
      <c r="J809" s="114"/>
    </row>
    <row r="810" ht="55.5" customHeight="1">
      <c r="A810" s="85" t="s">
        <v>1374</v>
      </c>
      <c r="B810" s="84"/>
      <c r="C810" s="85" t="s">
        <v>72</v>
      </c>
      <c r="D810" s="117"/>
      <c r="E810" s="85" t="s">
        <v>1394</v>
      </c>
      <c r="F810" s="118" t="s">
        <v>1395</v>
      </c>
      <c r="G810" s="85" t="s">
        <v>1396</v>
      </c>
      <c r="H810" s="81" t="s">
        <v>10</v>
      </c>
      <c r="I810" s="114"/>
      <c r="J810" s="114"/>
    </row>
    <row r="811" ht="55.5" customHeight="1">
      <c r="A811" s="85" t="s">
        <v>1374</v>
      </c>
      <c r="B811" s="12"/>
      <c r="C811" s="85" t="s">
        <v>75</v>
      </c>
      <c r="D811" s="117"/>
      <c r="E811" s="85" t="s">
        <v>1397</v>
      </c>
      <c r="F811" s="118" t="s">
        <v>1398</v>
      </c>
      <c r="G811" s="85" t="s">
        <v>1396</v>
      </c>
      <c r="H811" s="81" t="s">
        <v>10</v>
      </c>
      <c r="I811" s="114"/>
      <c r="J811" s="114"/>
    </row>
    <row r="812" ht="55.5" customHeight="1">
      <c r="A812" s="103" t="s">
        <v>1399</v>
      </c>
      <c r="B812" s="119" t="s">
        <v>1400</v>
      </c>
      <c r="C812" s="103" t="s">
        <v>634</v>
      </c>
      <c r="D812" s="119" t="s">
        <v>1401</v>
      </c>
      <c r="E812" s="103" t="s">
        <v>1402</v>
      </c>
      <c r="F812" s="103" t="s">
        <v>1403</v>
      </c>
      <c r="G812" s="103" t="s">
        <v>1404</v>
      </c>
      <c r="H812" s="81" t="s">
        <v>10</v>
      </c>
      <c r="I812" s="114"/>
      <c r="J812" s="114"/>
    </row>
    <row r="813" ht="55.5" customHeight="1">
      <c r="A813" s="103" t="s">
        <v>1399</v>
      </c>
      <c r="B813" s="84"/>
      <c r="C813" s="103" t="s">
        <v>638</v>
      </c>
      <c r="D813" s="84"/>
      <c r="E813" s="103" t="s">
        <v>1405</v>
      </c>
      <c r="F813" s="103" t="s">
        <v>1406</v>
      </c>
      <c r="G813" s="103" t="s">
        <v>1407</v>
      </c>
      <c r="H813" s="81" t="s">
        <v>10</v>
      </c>
      <c r="I813" s="114"/>
      <c r="J813" s="114"/>
    </row>
    <row r="814" ht="55.5" customHeight="1">
      <c r="A814" s="103" t="s">
        <v>1399</v>
      </c>
      <c r="B814" s="84"/>
      <c r="C814" s="103" t="s">
        <v>641</v>
      </c>
      <c r="D814" s="12"/>
      <c r="E814" s="103" t="s">
        <v>1408</v>
      </c>
      <c r="F814" s="103" t="s">
        <v>1409</v>
      </c>
      <c r="G814" s="103" t="s">
        <v>1410</v>
      </c>
      <c r="H814" s="81" t="s">
        <v>10</v>
      </c>
      <c r="I814" s="114"/>
      <c r="J814" s="114"/>
    </row>
    <row r="815" ht="55.5" customHeight="1">
      <c r="A815" s="103" t="s">
        <v>1399</v>
      </c>
      <c r="B815" s="84"/>
      <c r="C815" s="103" t="s">
        <v>644</v>
      </c>
      <c r="D815" s="119" t="s">
        <v>1411</v>
      </c>
      <c r="E815" s="103" t="s">
        <v>1412</v>
      </c>
      <c r="F815" s="103" t="s">
        <v>1413</v>
      </c>
      <c r="G815" s="103" t="s">
        <v>1414</v>
      </c>
      <c r="H815" s="81" t="s">
        <v>10</v>
      </c>
      <c r="I815" s="114"/>
      <c r="J815" s="114"/>
    </row>
    <row r="816" ht="55.5" customHeight="1">
      <c r="A816" s="103" t="s">
        <v>1399</v>
      </c>
      <c r="B816" s="84"/>
      <c r="C816" s="103" t="s">
        <v>647</v>
      </c>
      <c r="D816" s="84"/>
      <c r="E816" s="103" t="s">
        <v>1415</v>
      </c>
      <c r="F816" s="103" t="s">
        <v>1416</v>
      </c>
      <c r="G816" s="103" t="s">
        <v>1417</v>
      </c>
      <c r="H816" s="81" t="s">
        <v>10</v>
      </c>
      <c r="I816" s="114"/>
      <c r="J816" s="114"/>
    </row>
    <row r="817" ht="55.5" customHeight="1">
      <c r="A817" s="103" t="s">
        <v>1399</v>
      </c>
      <c r="B817" s="84"/>
      <c r="C817" s="103" t="s">
        <v>650</v>
      </c>
      <c r="D817" s="84"/>
      <c r="E817" s="103" t="s">
        <v>1418</v>
      </c>
      <c r="F817" s="103" t="s">
        <v>1419</v>
      </c>
      <c r="G817" s="103" t="s">
        <v>1420</v>
      </c>
      <c r="H817" s="81" t="s">
        <v>10</v>
      </c>
      <c r="I817" s="114"/>
      <c r="J817" s="114"/>
    </row>
    <row r="818" ht="55.5" customHeight="1">
      <c r="A818" s="103" t="s">
        <v>1399</v>
      </c>
      <c r="B818" s="84"/>
      <c r="C818" s="103" t="s">
        <v>653</v>
      </c>
      <c r="D818" s="84"/>
      <c r="E818" s="103" t="s">
        <v>1421</v>
      </c>
      <c r="F818" s="103" t="s">
        <v>1422</v>
      </c>
      <c r="G818" s="103" t="s">
        <v>1423</v>
      </c>
      <c r="H818" s="81" t="s">
        <v>10</v>
      </c>
      <c r="I818" s="114"/>
      <c r="J818" s="114"/>
    </row>
    <row r="819" ht="55.5" customHeight="1">
      <c r="A819" s="103" t="s">
        <v>1399</v>
      </c>
      <c r="B819" s="84"/>
      <c r="C819" s="103" t="s">
        <v>654</v>
      </c>
      <c r="D819" s="84"/>
      <c r="E819" s="103" t="s">
        <v>1424</v>
      </c>
      <c r="F819" s="103" t="s">
        <v>1425</v>
      </c>
      <c r="G819" s="103" t="s">
        <v>1426</v>
      </c>
      <c r="H819" s="81" t="s">
        <v>10</v>
      </c>
      <c r="I819" s="114"/>
      <c r="J819" s="114"/>
    </row>
    <row r="820" ht="55.5" customHeight="1">
      <c r="A820" s="103" t="s">
        <v>1399</v>
      </c>
      <c r="B820" s="84"/>
      <c r="C820" s="103" t="s">
        <v>655</v>
      </c>
      <c r="D820" s="84"/>
      <c r="E820" s="103" t="s">
        <v>1427</v>
      </c>
      <c r="F820" s="103" t="s">
        <v>1428</v>
      </c>
      <c r="G820" s="103" t="s">
        <v>1429</v>
      </c>
      <c r="H820" s="81" t="s">
        <v>10</v>
      </c>
      <c r="I820" s="114"/>
      <c r="J820" s="114"/>
    </row>
    <row r="821" ht="55.5" customHeight="1">
      <c r="A821" s="103" t="s">
        <v>1399</v>
      </c>
      <c r="B821" s="84"/>
      <c r="C821" s="103" t="s">
        <v>657</v>
      </c>
      <c r="D821" s="84"/>
      <c r="E821" s="103" t="s">
        <v>1430</v>
      </c>
      <c r="F821" s="103" t="s">
        <v>1431</v>
      </c>
      <c r="G821" s="103" t="s">
        <v>1429</v>
      </c>
      <c r="H821" s="81" t="s">
        <v>10</v>
      </c>
      <c r="I821" s="114"/>
      <c r="J821" s="114"/>
    </row>
    <row r="822" ht="55.5" customHeight="1">
      <c r="A822" s="103" t="s">
        <v>1399</v>
      </c>
      <c r="B822" s="84"/>
      <c r="C822" s="103" t="s">
        <v>658</v>
      </c>
      <c r="D822" s="84"/>
      <c r="E822" s="103" t="s">
        <v>1432</v>
      </c>
      <c r="F822" s="103" t="s">
        <v>1433</v>
      </c>
      <c r="G822" s="103" t="s">
        <v>1429</v>
      </c>
      <c r="H822" s="81" t="s">
        <v>10</v>
      </c>
      <c r="I822" s="114"/>
      <c r="J822" s="114"/>
    </row>
    <row r="823" ht="55.5" customHeight="1">
      <c r="A823" s="103" t="s">
        <v>1399</v>
      </c>
      <c r="B823" s="84"/>
      <c r="C823" s="103" t="s">
        <v>659</v>
      </c>
      <c r="D823" s="84"/>
      <c r="E823" s="103" t="s">
        <v>1434</v>
      </c>
      <c r="F823" s="103" t="s">
        <v>1435</v>
      </c>
      <c r="G823" s="103" t="s">
        <v>1436</v>
      </c>
      <c r="H823" s="81" t="s">
        <v>10</v>
      </c>
      <c r="I823" s="114"/>
      <c r="J823" s="114"/>
    </row>
    <row r="824" ht="55.5" customHeight="1">
      <c r="A824" s="103" t="s">
        <v>1399</v>
      </c>
      <c r="B824" s="84"/>
      <c r="C824" s="103" t="s">
        <v>660</v>
      </c>
      <c r="D824" s="84"/>
      <c r="E824" s="103" t="s">
        <v>1437</v>
      </c>
      <c r="F824" s="103" t="s">
        <v>1438</v>
      </c>
      <c r="G824" s="103" t="s">
        <v>1439</v>
      </c>
      <c r="H824" s="81" t="s">
        <v>10</v>
      </c>
      <c r="I824" s="114"/>
      <c r="J824" s="114"/>
    </row>
    <row r="825" ht="55.5" customHeight="1">
      <c r="A825" s="103" t="s">
        <v>1399</v>
      </c>
      <c r="B825" s="84"/>
      <c r="C825" s="103" t="s">
        <v>661</v>
      </c>
      <c r="D825" s="12"/>
      <c r="E825" s="103" t="s">
        <v>1440</v>
      </c>
      <c r="F825" s="103" t="s">
        <v>1441</v>
      </c>
      <c r="G825" s="103" t="s">
        <v>1439</v>
      </c>
      <c r="H825" s="81" t="s">
        <v>10</v>
      </c>
      <c r="I825" s="114"/>
      <c r="J825" s="114"/>
    </row>
    <row r="826" ht="55.5" customHeight="1">
      <c r="A826" s="103" t="s">
        <v>1399</v>
      </c>
      <c r="B826" s="84"/>
      <c r="C826" s="103" t="s">
        <v>662</v>
      </c>
      <c r="D826" s="119" t="s">
        <v>1442</v>
      </c>
      <c r="E826" s="103" t="s">
        <v>1443</v>
      </c>
      <c r="F826" s="103" t="s">
        <v>1444</v>
      </c>
      <c r="G826" s="103" t="s">
        <v>1445</v>
      </c>
      <c r="H826" s="81" t="s">
        <v>10</v>
      </c>
      <c r="I826" s="114"/>
      <c r="J826" s="114"/>
    </row>
    <row r="827" ht="55.5" customHeight="1">
      <c r="A827" s="103" t="s">
        <v>1399</v>
      </c>
      <c r="B827" s="84"/>
      <c r="C827" s="103" t="s">
        <v>664</v>
      </c>
      <c r="D827" s="84"/>
      <c r="E827" s="103" t="s">
        <v>1446</v>
      </c>
      <c r="F827" s="103" t="s">
        <v>1447</v>
      </c>
      <c r="G827" s="103" t="s">
        <v>1448</v>
      </c>
      <c r="H827" s="98" t="s">
        <v>11</v>
      </c>
      <c r="I827" s="114"/>
      <c r="J827" s="115" t="s">
        <v>1449</v>
      </c>
    </row>
    <row r="828" ht="55.5" customHeight="1">
      <c r="A828" s="103" t="s">
        <v>1399</v>
      </c>
      <c r="B828" s="84"/>
      <c r="C828" s="103" t="s">
        <v>665</v>
      </c>
      <c r="D828" s="84"/>
      <c r="E828" s="103" t="s">
        <v>1450</v>
      </c>
      <c r="F828" s="103" t="s">
        <v>1450</v>
      </c>
      <c r="G828" s="103" t="s">
        <v>1451</v>
      </c>
      <c r="H828" s="81" t="s">
        <v>10</v>
      </c>
      <c r="I828" s="114"/>
      <c r="J828" s="114"/>
    </row>
    <row r="829" ht="55.5" customHeight="1">
      <c r="A829" s="103" t="s">
        <v>1399</v>
      </c>
      <c r="B829" s="84"/>
      <c r="C829" s="103" t="s">
        <v>666</v>
      </c>
      <c r="D829" s="12"/>
      <c r="E829" s="103" t="s">
        <v>1452</v>
      </c>
      <c r="F829" s="103" t="s">
        <v>1453</v>
      </c>
      <c r="G829" s="103" t="s">
        <v>1454</v>
      </c>
      <c r="H829" s="98" t="s">
        <v>11</v>
      </c>
      <c r="I829" s="114"/>
      <c r="J829" s="115" t="s">
        <v>1449</v>
      </c>
    </row>
    <row r="830" ht="55.5" customHeight="1">
      <c r="A830" s="103" t="s">
        <v>1399</v>
      </c>
      <c r="B830" s="84"/>
      <c r="C830" s="103" t="s">
        <v>667</v>
      </c>
      <c r="D830" s="120"/>
      <c r="E830" s="103" t="s">
        <v>1455</v>
      </c>
      <c r="F830" s="103" t="s">
        <v>1456</v>
      </c>
      <c r="G830" s="103" t="s">
        <v>1439</v>
      </c>
      <c r="H830" s="98" t="s">
        <v>11</v>
      </c>
      <c r="I830" s="114"/>
      <c r="J830" s="115" t="s">
        <v>1449</v>
      </c>
    </row>
    <row r="831" ht="55.5" customHeight="1">
      <c r="A831" s="103" t="s">
        <v>1399</v>
      </c>
      <c r="B831" s="84"/>
      <c r="C831" s="103" t="s">
        <v>668</v>
      </c>
      <c r="D831" s="120"/>
      <c r="E831" s="103" t="s">
        <v>1457</v>
      </c>
      <c r="F831" s="103" t="s">
        <v>1457</v>
      </c>
      <c r="G831" s="103" t="s">
        <v>1439</v>
      </c>
      <c r="H831" s="81" t="s">
        <v>10</v>
      </c>
      <c r="I831" s="114"/>
      <c r="J831" s="114"/>
    </row>
    <row r="832" ht="55.5" customHeight="1">
      <c r="A832" s="103" t="s">
        <v>1399</v>
      </c>
      <c r="B832" s="12"/>
      <c r="C832" s="103" t="s">
        <v>669</v>
      </c>
      <c r="D832" s="103" t="s">
        <v>1458</v>
      </c>
      <c r="E832" s="103" t="s">
        <v>1459</v>
      </c>
      <c r="F832" s="103" t="s">
        <v>1460</v>
      </c>
      <c r="G832" s="103" t="s">
        <v>1461</v>
      </c>
      <c r="H832" s="81" t="s">
        <v>10</v>
      </c>
      <c r="I832" s="114"/>
      <c r="J832" s="114"/>
    </row>
    <row r="833" ht="55.5" customHeight="1">
      <c r="A833" s="105" t="s">
        <v>1462</v>
      </c>
      <c r="B833" s="121" t="s">
        <v>1463</v>
      </c>
      <c r="C833" s="105" t="s">
        <v>47</v>
      </c>
      <c r="D833" s="122"/>
      <c r="E833" s="105" t="s">
        <v>1464</v>
      </c>
      <c r="F833" s="105" t="s">
        <v>1465</v>
      </c>
      <c r="G833" s="105" t="s">
        <v>1466</v>
      </c>
      <c r="H833" s="81" t="s">
        <v>10</v>
      </c>
      <c r="I833" s="114"/>
      <c r="J833" s="114"/>
    </row>
    <row r="834" ht="55.5" customHeight="1">
      <c r="A834" s="105" t="s">
        <v>1462</v>
      </c>
      <c r="B834" s="84"/>
      <c r="C834" s="105" t="s">
        <v>52</v>
      </c>
      <c r="D834" s="122"/>
      <c r="E834" s="105" t="s">
        <v>1467</v>
      </c>
      <c r="F834" s="105" t="s">
        <v>1465</v>
      </c>
      <c r="G834" s="105" t="s">
        <v>1468</v>
      </c>
      <c r="H834" s="81" t="s">
        <v>10</v>
      </c>
      <c r="I834" s="114"/>
      <c r="J834" s="114"/>
    </row>
    <row r="835" ht="55.5" customHeight="1">
      <c r="A835" s="105" t="s">
        <v>1462</v>
      </c>
      <c r="B835" s="84"/>
      <c r="C835" s="105" t="s">
        <v>55</v>
      </c>
      <c r="D835" s="122"/>
      <c r="E835" s="105" t="s">
        <v>1469</v>
      </c>
      <c r="F835" s="105" t="s">
        <v>1465</v>
      </c>
      <c r="G835" s="105" t="s">
        <v>1470</v>
      </c>
      <c r="H835" s="81" t="s">
        <v>10</v>
      </c>
      <c r="I835" s="114"/>
      <c r="J835" s="114"/>
    </row>
    <row r="836" ht="55.5" customHeight="1">
      <c r="A836" s="105" t="s">
        <v>1462</v>
      </c>
      <c r="B836" s="84"/>
      <c r="C836" s="105" t="s">
        <v>58</v>
      </c>
      <c r="D836" s="122"/>
      <c r="E836" s="105" t="s">
        <v>1471</v>
      </c>
      <c r="F836" s="105" t="s">
        <v>1472</v>
      </c>
      <c r="G836" s="105" t="s">
        <v>1314</v>
      </c>
      <c r="H836" s="81" t="s">
        <v>10</v>
      </c>
      <c r="I836" s="114"/>
      <c r="J836" s="114"/>
    </row>
    <row r="837" ht="55.5" customHeight="1">
      <c r="A837" s="105" t="s">
        <v>1462</v>
      </c>
      <c r="B837" s="84"/>
      <c r="C837" s="105" t="s">
        <v>62</v>
      </c>
      <c r="D837" s="122"/>
      <c r="E837" s="105" t="s">
        <v>1473</v>
      </c>
      <c r="F837" s="105" t="s">
        <v>1474</v>
      </c>
      <c r="G837" s="105" t="s">
        <v>1314</v>
      </c>
      <c r="H837" s="81" t="s">
        <v>10</v>
      </c>
      <c r="I837" s="114"/>
      <c r="J837" s="114"/>
    </row>
    <row r="838" ht="55.5" customHeight="1">
      <c r="A838" s="105" t="s">
        <v>1462</v>
      </c>
      <c r="B838" s="84"/>
      <c r="C838" s="105" t="s">
        <v>64</v>
      </c>
      <c r="D838" s="122"/>
      <c r="E838" s="105" t="s">
        <v>1457</v>
      </c>
      <c r="F838" s="105" t="s">
        <v>1475</v>
      </c>
      <c r="G838" s="105" t="s">
        <v>1314</v>
      </c>
      <c r="H838" s="81" t="s">
        <v>10</v>
      </c>
      <c r="I838" s="114"/>
      <c r="J838" s="114"/>
    </row>
    <row r="839" ht="55.5" customHeight="1">
      <c r="A839" s="105" t="s">
        <v>1462</v>
      </c>
      <c r="B839" s="84"/>
      <c r="C839" s="105" t="s">
        <v>69</v>
      </c>
      <c r="D839" s="122"/>
      <c r="E839" s="105" t="s">
        <v>1476</v>
      </c>
      <c r="F839" s="105" t="s">
        <v>1477</v>
      </c>
      <c r="G839" s="105" t="s">
        <v>1314</v>
      </c>
      <c r="H839" s="81" t="s">
        <v>10</v>
      </c>
      <c r="I839" s="114"/>
      <c r="J839" s="114"/>
    </row>
    <row r="840" ht="55.5" customHeight="1">
      <c r="A840" s="105" t="s">
        <v>1462</v>
      </c>
      <c r="B840" s="12"/>
      <c r="C840" s="105" t="s">
        <v>72</v>
      </c>
      <c r="D840" s="122"/>
      <c r="E840" s="105" t="s">
        <v>1478</v>
      </c>
      <c r="F840" s="105" t="s">
        <v>1479</v>
      </c>
      <c r="G840" s="105" t="s">
        <v>414</v>
      </c>
      <c r="H840" s="81" t="s">
        <v>10</v>
      </c>
      <c r="I840" s="114"/>
      <c r="J840" s="114"/>
    </row>
    <row r="841" ht="55.5" customHeight="1">
      <c r="A841" s="123" t="s">
        <v>1480</v>
      </c>
      <c r="B841" s="124" t="s">
        <v>1481</v>
      </c>
      <c r="C841" s="123" t="s">
        <v>47</v>
      </c>
      <c r="D841" s="124" t="s">
        <v>1482</v>
      </c>
      <c r="E841" s="123" t="s">
        <v>1483</v>
      </c>
      <c r="F841" s="123" t="s">
        <v>1484</v>
      </c>
      <c r="G841" s="123" t="s">
        <v>1485</v>
      </c>
      <c r="H841" s="81" t="s">
        <v>10</v>
      </c>
      <c r="I841" s="114"/>
      <c r="J841" s="114"/>
    </row>
    <row r="842" ht="55.5" customHeight="1">
      <c r="A842" s="123" t="s">
        <v>1480</v>
      </c>
      <c r="B842" s="84"/>
      <c r="C842" s="123" t="s">
        <v>52</v>
      </c>
      <c r="D842" s="84"/>
      <c r="E842" s="123" t="s">
        <v>1486</v>
      </c>
      <c r="F842" s="123" t="s">
        <v>1484</v>
      </c>
      <c r="G842" s="123" t="s">
        <v>1487</v>
      </c>
      <c r="H842" s="81" t="s">
        <v>10</v>
      </c>
      <c r="I842" s="114"/>
      <c r="J842" s="114"/>
    </row>
    <row r="843" ht="55.5" customHeight="1">
      <c r="A843" s="123" t="s">
        <v>1480</v>
      </c>
      <c r="B843" s="84"/>
      <c r="C843" s="123" t="s">
        <v>55</v>
      </c>
      <c r="D843" s="84"/>
      <c r="E843" s="123" t="s">
        <v>1488</v>
      </c>
      <c r="F843" s="123" t="s">
        <v>1484</v>
      </c>
      <c r="G843" s="123" t="s">
        <v>1489</v>
      </c>
      <c r="H843" s="81" t="s">
        <v>10</v>
      </c>
      <c r="I843" s="114"/>
      <c r="J843" s="114"/>
    </row>
    <row r="844" ht="55.5" customHeight="1">
      <c r="A844" s="123" t="s">
        <v>1480</v>
      </c>
      <c r="B844" s="84"/>
      <c r="C844" s="123" t="s">
        <v>58</v>
      </c>
      <c r="D844" s="84"/>
      <c r="E844" s="123" t="s">
        <v>1490</v>
      </c>
      <c r="F844" s="123" t="s">
        <v>1484</v>
      </c>
      <c r="G844" s="123" t="s">
        <v>1491</v>
      </c>
      <c r="H844" s="81" t="s">
        <v>10</v>
      </c>
      <c r="I844" s="114"/>
      <c r="J844" s="114"/>
    </row>
    <row r="845" ht="55.5" customHeight="1">
      <c r="A845" s="123" t="s">
        <v>1480</v>
      </c>
      <c r="B845" s="84"/>
      <c r="C845" s="123" t="s">
        <v>62</v>
      </c>
      <c r="D845" s="12"/>
      <c r="E845" s="123" t="s">
        <v>1492</v>
      </c>
      <c r="F845" s="123" t="s">
        <v>1493</v>
      </c>
      <c r="G845" s="123" t="s">
        <v>1494</v>
      </c>
      <c r="H845" s="81" t="s">
        <v>10</v>
      </c>
      <c r="I845" s="114"/>
      <c r="J845" s="114"/>
    </row>
    <row r="846" ht="55.5" customHeight="1">
      <c r="A846" s="123" t="s">
        <v>1480</v>
      </c>
      <c r="B846" s="84"/>
      <c r="C846" s="123" t="s">
        <v>64</v>
      </c>
      <c r="D846" s="125"/>
      <c r="E846" s="123" t="s">
        <v>1495</v>
      </c>
      <c r="F846" s="123" t="s">
        <v>1496</v>
      </c>
      <c r="G846" s="123" t="s">
        <v>1497</v>
      </c>
      <c r="H846" s="81" t="s">
        <v>10</v>
      </c>
      <c r="I846" s="114"/>
      <c r="J846" s="114"/>
    </row>
    <row r="847" ht="55.5" customHeight="1">
      <c r="A847" s="123" t="s">
        <v>1480</v>
      </c>
      <c r="B847" s="12"/>
      <c r="C847" s="123" t="s">
        <v>69</v>
      </c>
      <c r="D847" s="125"/>
      <c r="E847" s="123" t="s">
        <v>1498</v>
      </c>
      <c r="F847" s="123" t="s">
        <v>1499</v>
      </c>
      <c r="G847" s="123" t="s">
        <v>1500</v>
      </c>
      <c r="H847" s="81" t="s">
        <v>10</v>
      </c>
      <c r="I847" s="114"/>
      <c r="J847" s="114"/>
    </row>
    <row r="848" ht="55.5" customHeight="1">
      <c r="A848" s="123" t="s">
        <v>1501</v>
      </c>
      <c r="B848" s="124" t="s">
        <v>1502</v>
      </c>
      <c r="C848" s="123" t="s">
        <v>47</v>
      </c>
      <c r="D848" s="125"/>
      <c r="E848" s="123" t="s">
        <v>1503</v>
      </c>
      <c r="F848" s="123" t="s">
        <v>1504</v>
      </c>
      <c r="G848" s="123" t="s">
        <v>1505</v>
      </c>
      <c r="H848" s="81" t="s">
        <v>10</v>
      </c>
      <c r="I848" s="114"/>
      <c r="J848" s="114"/>
    </row>
    <row r="849" ht="55.5" customHeight="1">
      <c r="A849" s="123" t="s">
        <v>1501</v>
      </c>
      <c r="B849" s="84"/>
      <c r="C849" s="123" t="s">
        <v>52</v>
      </c>
      <c r="D849" s="125"/>
      <c r="E849" s="123" t="s">
        <v>1506</v>
      </c>
      <c r="F849" s="123" t="s">
        <v>1504</v>
      </c>
      <c r="G849" s="123" t="s">
        <v>1507</v>
      </c>
      <c r="H849" s="81" t="s">
        <v>10</v>
      </c>
      <c r="I849" s="114"/>
      <c r="J849" s="114"/>
    </row>
    <row r="850" ht="55.5" customHeight="1">
      <c r="A850" s="123" t="s">
        <v>1501</v>
      </c>
      <c r="B850" s="84"/>
      <c r="C850" s="123" t="s">
        <v>55</v>
      </c>
      <c r="D850" s="125"/>
      <c r="E850" s="123" t="s">
        <v>1508</v>
      </c>
      <c r="F850" s="123" t="s">
        <v>1509</v>
      </c>
      <c r="G850" s="123" t="s">
        <v>1510</v>
      </c>
      <c r="H850" s="81" t="s">
        <v>10</v>
      </c>
      <c r="I850" s="114"/>
      <c r="J850" s="114"/>
    </row>
    <row r="851" ht="55.5" customHeight="1">
      <c r="A851" s="123" t="s">
        <v>1501</v>
      </c>
      <c r="B851" s="84"/>
      <c r="C851" s="123" t="s">
        <v>58</v>
      </c>
      <c r="D851" s="125"/>
      <c r="E851" s="123" t="s">
        <v>1511</v>
      </c>
      <c r="F851" s="123" t="s">
        <v>1512</v>
      </c>
      <c r="G851" s="123" t="s">
        <v>1513</v>
      </c>
      <c r="H851" s="81" t="s">
        <v>10</v>
      </c>
      <c r="I851" s="114"/>
      <c r="J851" s="114"/>
    </row>
    <row r="852" ht="55.5" customHeight="1">
      <c r="A852" s="123" t="s">
        <v>1501</v>
      </c>
      <c r="B852" s="84"/>
      <c r="C852" s="123" t="s">
        <v>62</v>
      </c>
      <c r="D852" s="125"/>
      <c r="E852" s="123" t="s">
        <v>1514</v>
      </c>
      <c r="F852" s="123" t="s">
        <v>1515</v>
      </c>
      <c r="G852" s="123" t="s">
        <v>1516</v>
      </c>
      <c r="H852" s="81" t="s">
        <v>10</v>
      </c>
      <c r="I852" s="114"/>
      <c r="J852" s="114"/>
    </row>
    <row r="853" ht="55.5" customHeight="1">
      <c r="A853" s="123" t="s">
        <v>1501</v>
      </c>
      <c r="B853" s="84"/>
      <c r="C853" s="123" t="s">
        <v>64</v>
      </c>
      <c r="D853" s="125"/>
      <c r="E853" s="123" t="s">
        <v>1517</v>
      </c>
      <c r="F853" s="123" t="s">
        <v>1518</v>
      </c>
      <c r="G853" s="123" t="s">
        <v>1519</v>
      </c>
      <c r="H853" s="98" t="s">
        <v>11</v>
      </c>
      <c r="I853" s="114"/>
      <c r="J853" s="126" t="s">
        <v>1520</v>
      </c>
    </row>
    <row r="854" ht="55.5" customHeight="1">
      <c r="A854" s="123" t="s">
        <v>1501</v>
      </c>
      <c r="B854" s="84"/>
      <c r="C854" s="123" t="s">
        <v>69</v>
      </c>
      <c r="D854" s="125"/>
      <c r="E854" s="123" t="s">
        <v>1521</v>
      </c>
      <c r="F854" s="123" t="s">
        <v>1522</v>
      </c>
      <c r="G854" s="123" t="s">
        <v>1523</v>
      </c>
      <c r="H854" s="81" t="s">
        <v>10</v>
      </c>
      <c r="I854" s="114"/>
      <c r="J854" s="114"/>
    </row>
    <row r="855" ht="55.5" customHeight="1">
      <c r="A855" s="123" t="s">
        <v>1501</v>
      </c>
      <c r="B855" s="84"/>
      <c r="C855" s="123" t="s">
        <v>72</v>
      </c>
      <c r="D855" s="125"/>
      <c r="E855" s="123" t="s">
        <v>1524</v>
      </c>
      <c r="F855" s="123" t="s">
        <v>1525</v>
      </c>
      <c r="G855" s="123" t="s">
        <v>1523</v>
      </c>
      <c r="H855" s="98" t="s">
        <v>11</v>
      </c>
      <c r="I855" s="114"/>
      <c r="J855" s="126" t="s">
        <v>1520</v>
      </c>
    </row>
    <row r="856" ht="55.5" customHeight="1">
      <c r="A856" s="123" t="s">
        <v>1501</v>
      </c>
      <c r="B856" s="84"/>
      <c r="C856" s="123" t="s">
        <v>75</v>
      </c>
      <c r="D856" s="125"/>
      <c r="E856" s="123" t="s">
        <v>1526</v>
      </c>
      <c r="F856" s="123" t="s">
        <v>1527</v>
      </c>
      <c r="G856" s="123" t="s">
        <v>1528</v>
      </c>
      <c r="H856" s="81" t="s">
        <v>10</v>
      </c>
      <c r="I856" s="114"/>
      <c r="J856" s="114"/>
    </row>
    <row r="857" ht="55.5" customHeight="1">
      <c r="A857" s="123" t="s">
        <v>1501</v>
      </c>
      <c r="B857" s="12"/>
      <c r="C857" s="123" t="s">
        <v>79</v>
      </c>
      <c r="D857" s="125"/>
      <c r="E857" s="123" t="s">
        <v>1529</v>
      </c>
      <c r="F857" s="123" t="s">
        <v>1530</v>
      </c>
      <c r="G857" s="123" t="s">
        <v>1531</v>
      </c>
      <c r="H857" s="81" t="s">
        <v>10</v>
      </c>
      <c r="I857" s="114"/>
      <c r="J857" s="114"/>
    </row>
    <row r="858" ht="55.5" customHeight="1">
      <c r="A858" s="123" t="s">
        <v>1532</v>
      </c>
      <c r="B858" s="124" t="s">
        <v>1533</v>
      </c>
      <c r="C858" s="123" t="s">
        <v>47</v>
      </c>
      <c r="D858" s="124" t="s">
        <v>1534</v>
      </c>
      <c r="E858" s="123" t="s">
        <v>1535</v>
      </c>
      <c r="F858" s="123" t="s">
        <v>1536</v>
      </c>
      <c r="G858" s="123" t="s">
        <v>1537</v>
      </c>
      <c r="H858" s="81" t="s">
        <v>10</v>
      </c>
      <c r="I858" s="114"/>
      <c r="J858" s="114"/>
    </row>
    <row r="859" ht="55.5" customHeight="1">
      <c r="A859" s="123" t="s">
        <v>1532</v>
      </c>
      <c r="B859" s="84"/>
      <c r="C859" s="123" t="s">
        <v>52</v>
      </c>
      <c r="D859" s="84"/>
      <c r="E859" s="123" t="s">
        <v>1538</v>
      </c>
      <c r="F859" s="123" t="s">
        <v>1539</v>
      </c>
      <c r="G859" s="123" t="s">
        <v>1540</v>
      </c>
      <c r="H859" s="81" t="s">
        <v>10</v>
      </c>
      <c r="I859" s="114"/>
      <c r="J859" s="114"/>
    </row>
    <row r="860" ht="55.5" customHeight="1">
      <c r="A860" s="123" t="s">
        <v>1532</v>
      </c>
      <c r="B860" s="84"/>
      <c r="C860" s="123" t="s">
        <v>55</v>
      </c>
      <c r="D860" s="84"/>
      <c r="E860" s="123" t="s">
        <v>1541</v>
      </c>
      <c r="F860" s="123" t="s">
        <v>1542</v>
      </c>
      <c r="G860" s="123" t="s">
        <v>1543</v>
      </c>
      <c r="H860" s="81" t="s">
        <v>10</v>
      </c>
      <c r="I860" s="114"/>
      <c r="J860" s="114"/>
    </row>
    <row r="861" ht="55.5" customHeight="1">
      <c r="A861" s="123" t="s">
        <v>1532</v>
      </c>
      <c r="B861" s="84"/>
      <c r="C861" s="123" t="s">
        <v>58</v>
      </c>
      <c r="D861" s="84"/>
      <c r="E861" s="123" t="s">
        <v>1544</v>
      </c>
      <c r="F861" s="123" t="s">
        <v>1545</v>
      </c>
      <c r="G861" s="123" t="s">
        <v>1546</v>
      </c>
      <c r="H861" s="98" t="s">
        <v>11</v>
      </c>
      <c r="I861" s="114"/>
      <c r="J861" s="115" t="s">
        <v>1547</v>
      </c>
    </row>
    <row r="862" ht="55.5" customHeight="1">
      <c r="A862" s="123" t="s">
        <v>1532</v>
      </c>
      <c r="B862" s="84"/>
      <c r="C862" s="123" t="s">
        <v>62</v>
      </c>
      <c r="D862" s="84"/>
      <c r="E862" s="123" t="s">
        <v>1548</v>
      </c>
      <c r="F862" s="123" t="s">
        <v>1549</v>
      </c>
      <c r="G862" s="123" t="s">
        <v>1550</v>
      </c>
      <c r="H862" s="81" t="s">
        <v>10</v>
      </c>
      <c r="I862" s="114"/>
      <c r="J862" s="114"/>
    </row>
    <row r="863" ht="55.5" customHeight="1">
      <c r="A863" s="123" t="s">
        <v>1532</v>
      </c>
      <c r="B863" s="84"/>
      <c r="C863" s="123" t="s">
        <v>64</v>
      </c>
      <c r="D863" s="84"/>
      <c r="E863" s="123" t="s">
        <v>1551</v>
      </c>
      <c r="F863" s="123" t="s">
        <v>1552</v>
      </c>
      <c r="G863" s="123" t="s">
        <v>1553</v>
      </c>
      <c r="H863" s="81" t="s">
        <v>10</v>
      </c>
      <c r="I863" s="114"/>
      <c r="J863" s="114"/>
    </row>
    <row r="864" ht="55.5" customHeight="1">
      <c r="A864" s="123" t="s">
        <v>1532</v>
      </c>
      <c r="B864" s="84"/>
      <c r="C864" s="123" t="s">
        <v>69</v>
      </c>
      <c r="D864" s="84"/>
      <c r="E864" s="123" t="s">
        <v>1554</v>
      </c>
      <c r="F864" s="123" t="s">
        <v>1555</v>
      </c>
      <c r="G864" s="123" t="s">
        <v>1556</v>
      </c>
      <c r="H864" s="81" t="s">
        <v>10</v>
      </c>
      <c r="I864" s="114"/>
      <c r="J864" s="114"/>
    </row>
    <row r="865" ht="55.5" customHeight="1">
      <c r="A865" s="123" t="s">
        <v>1532</v>
      </c>
      <c r="B865" s="84"/>
      <c r="C865" s="123" t="s">
        <v>72</v>
      </c>
      <c r="D865" s="84"/>
      <c r="E865" s="123" t="s">
        <v>1557</v>
      </c>
      <c r="F865" s="123" t="s">
        <v>1558</v>
      </c>
      <c r="G865" s="123" t="s">
        <v>1559</v>
      </c>
      <c r="H865" s="81" t="s">
        <v>10</v>
      </c>
      <c r="I865" s="114"/>
      <c r="J865" s="114"/>
    </row>
    <row r="866" ht="55.5" customHeight="1">
      <c r="A866" s="123" t="s">
        <v>1532</v>
      </c>
      <c r="B866" s="84"/>
      <c r="C866" s="123" t="s">
        <v>75</v>
      </c>
      <c r="D866" s="84"/>
      <c r="E866" s="123" t="s">
        <v>1560</v>
      </c>
      <c r="F866" s="123" t="s">
        <v>1561</v>
      </c>
      <c r="G866" s="123" t="s">
        <v>1562</v>
      </c>
      <c r="H866" s="81" t="s">
        <v>10</v>
      </c>
      <c r="I866" s="114"/>
      <c r="J866" s="114"/>
    </row>
    <row r="867" ht="55.5" customHeight="1">
      <c r="A867" s="123" t="s">
        <v>1532</v>
      </c>
      <c r="B867" s="84"/>
      <c r="C867" s="123" t="s">
        <v>79</v>
      </c>
      <c r="D867" s="84"/>
      <c r="E867" s="123" t="s">
        <v>1563</v>
      </c>
      <c r="F867" s="123" t="s">
        <v>1564</v>
      </c>
      <c r="G867" s="123" t="s">
        <v>1565</v>
      </c>
      <c r="H867" s="81" t="s">
        <v>10</v>
      </c>
      <c r="I867" s="114"/>
      <c r="J867" s="114"/>
    </row>
    <row r="868" ht="55.5" customHeight="1">
      <c r="A868" s="123" t="s">
        <v>1532</v>
      </c>
      <c r="B868" s="84"/>
      <c r="C868" s="123" t="s">
        <v>83</v>
      </c>
      <c r="D868" s="84"/>
      <c r="E868" s="123" t="s">
        <v>1566</v>
      </c>
      <c r="F868" s="123" t="s">
        <v>1567</v>
      </c>
      <c r="G868" s="123" t="s">
        <v>1568</v>
      </c>
      <c r="H868" s="98" t="s">
        <v>11</v>
      </c>
      <c r="I868" s="114"/>
      <c r="J868" s="115" t="s">
        <v>1547</v>
      </c>
    </row>
    <row r="869" ht="55.5" customHeight="1">
      <c r="A869" s="123" t="s">
        <v>1532</v>
      </c>
      <c r="B869" s="12"/>
      <c r="C869" s="123" t="s">
        <v>86</v>
      </c>
      <c r="D869" s="12"/>
      <c r="E869" s="123" t="s">
        <v>1569</v>
      </c>
      <c r="F869" s="123" t="s">
        <v>1570</v>
      </c>
      <c r="G869" s="123" t="s">
        <v>1571</v>
      </c>
      <c r="H869" s="81" t="s">
        <v>10</v>
      </c>
      <c r="I869" s="114"/>
      <c r="J869" s="114"/>
    </row>
    <row r="870" ht="55.5" customHeight="1">
      <c r="A870" s="123" t="s">
        <v>1572</v>
      </c>
      <c r="B870" s="124" t="s">
        <v>1573</v>
      </c>
      <c r="C870" s="123" t="s">
        <v>47</v>
      </c>
      <c r="D870" s="124" t="s">
        <v>1574</v>
      </c>
      <c r="E870" s="127" t="s">
        <v>1575</v>
      </c>
      <c r="F870" s="123" t="s">
        <v>1576</v>
      </c>
      <c r="G870" s="123" t="s">
        <v>1577</v>
      </c>
      <c r="H870" s="81" t="s">
        <v>10</v>
      </c>
      <c r="I870" s="114"/>
      <c r="J870" s="114"/>
    </row>
    <row r="871" ht="55.5" customHeight="1">
      <c r="A871" s="123" t="s">
        <v>1572</v>
      </c>
      <c r="B871" s="84"/>
      <c r="C871" s="123" t="s">
        <v>52</v>
      </c>
      <c r="D871" s="84"/>
      <c r="E871" s="127" t="s">
        <v>1578</v>
      </c>
      <c r="F871" s="123" t="s">
        <v>1579</v>
      </c>
      <c r="G871" s="123" t="s">
        <v>1580</v>
      </c>
      <c r="H871" s="81" t="s">
        <v>10</v>
      </c>
      <c r="I871" s="114"/>
      <c r="J871" s="114"/>
    </row>
    <row r="872" ht="55.5" customHeight="1">
      <c r="A872" s="123" t="s">
        <v>1572</v>
      </c>
      <c r="B872" s="84"/>
      <c r="C872" s="123" t="s">
        <v>55</v>
      </c>
      <c r="D872" s="84"/>
      <c r="E872" s="127" t="s">
        <v>1581</v>
      </c>
      <c r="F872" s="123" t="s">
        <v>1582</v>
      </c>
      <c r="G872" s="123" t="s">
        <v>1583</v>
      </c>
      <c r="H872" s="81" t="s">
        <v>10</v>
      </c>
      <c r="I872" s="114"/>
      <c r="J872" s="114"/>
    </row>
    <row r="873" ht="55.5" customHeight="1">
      <c r="A873" s="123" t="s">
        <v>1572</v>
      </c>
      <c r="B873" s="84"/>
      <c r="C873" s="123" t="s">
        <v>58</v>
      </c>
      <c r="D873" s="84"/>
      <c r="E873" s="127" t="s">
        <v>1584</v>
      </c>
      <c r="F873" s="123" t="s">
        <v>1585</v>
      </c>
      <c r="G873" s="123" t="s">
        <v>1586</v>
      </c>
      <c r="H873" s="81" t="s">
        <v>10</v>
      </c>
      <c r="I873" s="114"/>
      <c r="J873" s="114"/>
    </row>
    <row r="874" ht="55.5" customHeight="1">
      <c r="A874" s="123" t="s">
        <v>1572</v>
      </c>
      <c r="B874" s="84"/>
      <c r="C874" s="123" t="s">
        <v>62</v>
      </c>
      <c r="D874" s="84"/>
      <c r="E874" s="127" t="s">
        <v>1587</v>
      </c>
      <c r="F874" s="123" t="s">
        <v>1588</v>
      </c>
      <c r="G874" s="123" t="s">
        <v>1589</v>
      </c>
      <c r="H874" s="81" t="s">
        <v>10</v>
      </c>
      <c r="I874" s="114"/>
      <c r="J874" s="114"/>
    </row>
    <row r="875" ht="55.5" customHeight="1">
      <c r="A875" s="123" t="s">
        <v>1572</v>
      </c>
      <c r="B875" s="12"/>
      <c r="C875" s="123" t="s">
        <v>64</v>
      </c>
      <c r="D875" s="12"/>
      <c r="E875" s="127" t="s">
        <v>1590</v>
      </c>
      <c r="F875" s="123" t="s">
        <v>1591</v>
      </c>
      <c r="G875" s="123" t="s">
        <v>1592</v>
      </c>
      <c r="H875" s="81" t="s">
        <v>10</v>
      </c>
      <c r="I875" s="114"/>
      <c r="J875" s="114"/>
    </row>
    <row r="876" ht="55.5" customHeight="1">
      <c r="A876" s="128" t="s">
        <v>1593</v>
      </c>
      <c r="B876" s="128" t="s">
        <v>1594</v>
      </c>
      <c r="C876" s="128" t="s">
        <v>1595</v>
      </c>
      <c r="D876" s="128"/>
      <c r="E876" s="129" t="s">
        <v>1596</v>
      </c>
      <c r="F876" s="128" t="s">
        <v>1596</v>
      </c>
      <c r="G876" s="130" t="s">
        <v>1597</v>
      </c>
      <c r="H876" s="131" t="s">
        <v>11</v>
      </c>
      <c r="I876" s="132"/>
      <c r="J876" s="133" t="s">
        <v>1598</v>
      </c>
    </row>
    <row r="877" ht="55.5" customHeight="1">
      <c r="A877" s="128" t="s">
        <v>1599</v>
      </c>
      <c r="B877" s="128" t="s">
        <v>1600</v>
      </c>
      <c r="C877" s="128" t="s">
        <v>634</v>
      </c>
      <c r="D877" s="128"/>
      <c r="E877" s="129" t="s">
        <v>1601</v>
      </c>
      <c r="F877" s="128" t="s">
        <v>1602</v>
      </c>
      <c r="G877" s="128" t="s">
        <v>1603</v>
      </c>
      <c r="H877" s="131" t="s">
        <v>11</v>
      </c>
      <c r="I877" s="132"/>
      <c r="J877" s="132"/>
    </row>
    <row r="878" ht="55.5" customHeight="1">
      <c r="A878" s="134"/>
      <c r="B878" s="134"/>
      <c r="C878" s="134"/>
      <c r="D878" s="135"/>
      <c r="E878" s="136"/>
      <c r="F878" s="134"/>
      <c r="G878" s="134"/>
      <c r="H878" s="134"/>
    </row>
    <row r="879" ht="55.5" customHeight="1">
      <c r="A879" s="134"/>
      <c r="B879" s="134"/>
      <c r="C879" s="134"/>
      <c r="D879" s="135"/>
      <c r="E879" s="136"/>
      <c r="F879" s="134"/>
      <c r="G879" s="134"/>
      <c r="H879" s="134"/>
    </row>
    <row r="880" ht="55.5" customHeight="1">
      <c r="A880" s="134"/>
      <c r="B880" s="134"/>
      <c r="C880" s="134"/>
      <c r="D880" s="134"/>
      <c r="E880" s="136"/>
      <c r="F880" s="134"/>
      <c r="G880" s="134"/>
      <c r="H880" s="134"/>
    </row>
    <row r="881" ht="55.5" customHeight="1">
      <c r="A881" s="134"/>
      <c r="B881" s="134"/>
      <c r="C881" s="134"/>
      <c r="D881" s="134"/>
      <c r="E881" s="136"/>
      <c r="F881" s="134"/>
      <c r="G881" s="134"/>
      <c r="H881" s="134"/>
    </row>
    <row r="882" ht="55.5" customHeight="1">
      <c r="A882" s="134"/>
      <c r="B882" s="134"/>
      <c r="C882" s="134"/>
      <c r="D882" s="134"/>
      <c r="E882" s="136"/>
      <c r="F882" s="134"/>
      <c r="G882" s="134"/>
      <c r="H882" s="134"/>
    </row>
    <row r="883" ht="55.5" customHeight="1">
      <c r="A883" s="134"/>
      <c r="B883" s="134"/>
      <c r="C883" s="134"/>
      <c r="D883" s="134"/>
      <c r="E883" s="136"/>
      <c r="F883" s="134"/>
      <c r="G883" s="134"/>
      <c r="H883" s="134"/>
    </row>
    <row r="884" ht="55.5" customHeight="1">
      <c r="A884" s="134"/>
      <c r="B884" s="134"/>
      <c r="C884" s="134"/>
      <c r="D884" s="134"/>
      <c r="E884" s="136"/>
      <c r="F884" s="134"/>
      <c r="G884" s="134"/>
      <c r="H884" s="134"/>
    </row>
    <row r="885" ht="55.5" customHeight="1">
      <c r="A885" s="134"/>
      <c r="B885" s="134"/>
      <c r="C885" s="134"/>
      <c r="D885" s="134"/>
      <c r="E885" s="136"/>
      <c r="F885" s="134"/>
      <c r="G885" s="134"/>
      <c r="H885" s="134"/>
    </row>
    <row r="886" ht="55.5" customHeight="1">
      <c r="A886" s="134"/>
      <c r="B886" s="134"/>
      <c r="C886" s="134"/>
      <c r="D886" s="134"/>
      <c r="E886" s="136"/>
      <c r="F886" s="134"/>
      <c r="G886" s="134"/>
      <c r="H886" s="134"/>
    </row>
    <row r="887" ht="55.5" customHeight="1">
      <c r="A887" s="134"/>
      <c r="B887" s="134"/>
      <c r="C887" s="134"/>
      <c r="D887" s="134"/>
      <c r="E887" s="136"/>
      <c r="F887" s="134"/>
      <c r="G887" s="134"/>
      <c r="H887" s="134"/>
    </row>
    <row r="888" ht="55.5" customHeight="1">
      <c r="A888" s="134"/>
      <c r="B888" s="134"/>
      <c r="C888" s="134"/>
      <c r="D888" s="134"/>
      <c r="E888" s="136"/>
      <c r="F888" s="134"/>
      <c r="G888" s="134"/>
      <c r="H888" s="134"/>
    </row>
    <row r="889" ht="55.5" customHeight="1">
      <c r="A889" s="134"/>
      <c r="B889" s="134"/>
      <c r="C889" s="134"/>
      <c r="D889" s="134"/>
      <c r="E889" s="136"/>
      <c r="F889" s="134"/>
      <c r="G889" s="134"/>
      <c r="H889" s="134"/>
    </row>
    <row r="890" ht="55.5" customHeight="1">
      <c r="A890" s="134"/>
      <c r="B890" s="134"/>
      <c r="C890" s="134"/>
      <c r="D890" s="134"/>
      <c r="E890" s="136"/>
      <c r="F890" s="134"/>
      <c r="G890" s="134"/>
      <c r="H890" s="134"/>
    </row>
    <row r="891" ht="55.5" customHeight="1">
      <c r="A891" s="134"/>
      <c r="B891" s="134"/>
      <c r="C891" s="134"/>
      <c r="D891" s="134"/>
      <c r="E891" s="136"/>
      <c r="F891" s="134"/>
      <c r="G891" s="134"/>
      <c r="H891" s="134"/>
    </row>
    <row r="892" ht="55.5" customHeight="1">
      <c r="A892" s="134"/>
      <c r="B892" s="134"/>
      <c r="C892" s="134"/>
      <c r="D892" s="134"/>
      <c r="E892" s="136"/>
      <c r="F892" s="134"/>
      <c r="G892" s="134"/>
      <c r="H892" s="134"/>
    </row>
    <row r="893" ht="55.5" customHeight="1">
      <c r="A893" s="134"/>
      <c r="B893" s="134"/>
      <c r="C893" s="134"/>
      <c r="D893" s="134"/>
      <c r="E893" s="136"/>
      <c r="F893" s="134"/>
      <c r="G893" s="134"/>
      <c r="H893" s="134"/>
    </row>
    <row r="894" ht="55.5" customHeight="1">
      <c r="A894" s="134"/>
      <c r="B894" s="134"/>
      <c r="C894" s="134"/>
      <c r="D894" s="134"/>
      <c r="E894" s="136"/>
      <c r="F894" s="134"/>
      <c r="G894" s="134"/>
      <c r="H894" s="134"/>
    </row>
    <row r="895" ht="55.5" customHeight="1">
      <c r="A895" s="134"/>
      <c r="B895" s="134"/>
      <c r="C895" s="134"/>
      <c r="D895" s="134"/>
      <c r="E895" s="136"/>
      <c r="F895" s="134"/>
      <c r="G895" s="134"/>
      <c r="H895" s="134"/>
    </row>
    <row r="896" ht="55.5" customHeight="1">
      <c r="A896" s="134"/>
      <c r="B896" s="134"/>
      <c r="C896" s="134"/>
      <c r="D896" s="134"/>
      <c r="E896" s="136"/>
      <c r="F896" s="134"/>
      <c r="G896" s="134"/>
      <c r="H896" s="134"/>
    </row>
    <row r="897" ht="55.5" customHeight="1">
      <c r="A897" s="134"/>
      <c r="B897" s="134"/>
      <c r="C897" s="134"/>
      <c r="D897" s="134"/>
      <c r="E897" s="136"/>
      <c r="F897" s="134"/>
      <c r="G897" s="134"/>
      <c r="H897" s="134"/>
    </row>
    <row r="898" ht="55.5" customHeight="1">
      <c r="A898" s="134"/>
      <c r="B898" s="134"/>
      <c r="C898" s="134"/>
      <c r="D898" s="134"/>
      <c r="E898" s="136"/>
      <c r="F898" s="134"/>
      <c r="G898" s="134"/>
      <c r="H898" s="134"/>
    </row>
    <row r="899" ht="55.5" customHeight="1">
      <c r="A899" s="134"/>
      <c r="B899" s="134"/>
      <c r="C899" s="134"/>
      <c r="D899" s="134"/>
      <c r="E899" s="136"/>
      <c r="F899" s="134"/>
      <c r="G899" s="134"/>
      <c r="H899" s="134"/>
    </row>
    <row r="900" ht="55.5" customHeight="1">
      <c r="A900" s="134"/>
      <c r="B900" s="134"/>
      <c r="C900" s="134"/>
      <c r="D900" s="134"/>
      <c r="E900" s="136"/>
      <c r="F900" s="134"/>
      <c r="G900" s="134"/>
      <c r="H900" s="134"/>
    </row>
    <row r="901" ht="55.5" customHeight="1">
      <c r="A901" s="134"/>
      <c r="B901" s="134"/>
      <c r="C901" s="134"/>
      <c r="D901" s="134"/>
      <c r="E901" s="136"/>
      <c r="F901" s="134"/>
      <c r="G901" s="134"/>
      <c r="H901" s="134"/>
    </row>
    <row r="902" ht="55.5" customHeight="1">
      <c r="A902" s="134"/>
      <c r="B902" s="134"/>
      <c r="C902" s="134"/>
      <c r="D902" s="134"/>
      <c r="E902" s="136"/>
      <c r="F902" s="134"/>
      <c r="G902" s="134"/>
      <c r="H902" s="134"/>
    </row>
    <row r="903" ht="55.5" customHeight="1">
      <c r="A903" s="134"/>
      <c r="B903" s="134"/>
      <c r="C903" s="134"/>
      <c r="D903" s="134"/>
      <c r="E903" s="136"/>
      <c r="F903" s="134"/>
      <c r="G903" s="134"/>
      <c r="H903" s="134"/>
    </row>
    <row r="904" ht="55.5" customHeight="1">
      <c r="A904" s="134"/>
      <c r="B904" s="134"/>
      <c r="C904" s="134"/>
      <c r="D904" s="134"/>
      <c r="E904" s="136"/>
      <c r="F904" s="134"/>
      <c r="G904" s="134"/>
      <c r="H904" s="134"/>
    </row>
    <row r="905" ht="55.5" customHeight="1">
      <c r="A905" s="134"/>
      <c r="B905" s="134"/>
      <c r="C905" s="134"/>
      <c r="D905" s="134"/>
      <c r="E905" s="136"/>
      <c r="F905" s="134"/>
      <c r="G905" s="134"/>
      <c r="H905" s="134"/>
    </row>
    <row r="906" ht="55.5" customHeight="1">
      <c r="A906" s="134"/>
      <c r="B906" s="134"/>
      <c r="C906" s="134"/>
      <c r="D906" s="134"/>
      <c r="E906" s="136"/>
      <c r="F906" s="134"/>
      <c r="G906" s="134"/>
      <c r="H906" s="134"/>
    </row>
    <row r="907" ht="55.5" customHeight="1">
      <c r="A907" s="134"/>
      <c r="B907" s="134"/>
      <c r="C907" s="134"/>
      <c r="D907" s="134"/>
      <c r="E907" s="136"/>
      <c r="F907" s="134"/>
      <c r="G907" s="134"/>
      <c r="H907" s="134"/>
    </row>
    <row r="908" ht="55.5" customHeight="1">
      <c r="A908" s="134"/>
      <c r="B908" s="134"/>
      <c r="C908" s="134"/>
      <c r="D908" s="134"/>
      <c r="E908" s="136"/>
      <c r="F908" s="134"/>
      <c r="G908" s="134"/>
      <c r="H908" s="134"/>
    </row>
    <row r="909" ht="55.5" customHeight="1">
      <c r="A909" s="134"/>
      <c r="B909" s="134"/>
      <c r="C909" s="134"/>
      <c r="D909" s="134"/>
      <c r="E909" s="136"/>
      <c r="F909" s="134"/>
      <c r="G909" s="134"/>
      <c r="H909" s="134"/>
    </row>
    <row r="910" ht="55.5" customHeight="1">
      <c r="A910" s="134"/>
      <c r="B910" s="134"/>
      <c r="C910" s="134"/>
      <c r="D910" s="134"/>
      <c r="E910" s="136"/>
      <c r="F910" s="134"/>
      <c r="G910" s="134"/>
      <c r="H910" s="134"/>
    </row>
    <row r="911" ht="55.5" customHeight="1">
      <c r="A911" s="134"/>
      <c r="B911" s="134"/>
      <c r="C911" s="134"/>
      <c r="D911" s="134"/>
      <c r="E911" s="136"/>
      <c r="F911" s="134"/>
      <c r="G911" s="134"/>
      <c r="H911" s="134"/>
    </row>
    <row r="912" ht="55.5" customHeight="1">
      <c r="A912" s="134"/>
      <c r="B912" s="134"/>
      <c r="C912" s="134"/>
      <c r="D912" s="134"/>
      <c r="E912" s="136"/>
      <c r="F912" s="134"/>
      <c r="G912" s="134"/>
      <c r="H912" s="134"/>
    </row>
    <row r="913" ht="55.5" customHeight="1">
      <c r="A913" s="134"/>
      <c r="B913" s="134"/>
      <c r="C913" s="134"/>
      <c r="D913" s="134"/>
      <c r="E913" s="136"/>
      <c r="F913" s="134"/>
      <c r="G913" s="134"/>
      <c r="H913" s="134"/>
    </row>
    <row r="914" ht="55.5" customHeight="1">
      <c r="A914" s="134"/>
      <c r="B914" s="134"/>
      <c r="C914" s="134"/>
      <c r="D914" s="134"/>
      <c r="E914" s="136"/>
      <c r="F914" s="134"/>
      <c r="G914" s="134"/>
      <c r="H914" s="134"/>
    </row>
    <row r="915" ht="55.5" customHeight="1">
      <c r="A915" s="134"/>
      <c r="B915" s="134"/>
      <c r="C915" s="134"/>
      <c r="D915" s="134"/>
      <c r="E915" s="136"/>
      <c r="F915" s="134"/>
      <c r="G915" s="134"/>
      <c r="H915" s="134"/>
    </row>
    <row r="916" ht="55.5" customHeight="1">
      <c r="A916" s="134"/>
      <c r="B916" s="134"/>
      <c r="C916" s="134"/>
      <c r="D916" s="134"/>
      <c r="E916" s="136"/>
      <c r="F916" s="134"/>
      <c r="G916" s="134"/>
      <c r="H916" s="134"/>
    </row>
    <row r="917" ht="55.5" customHeight="1">
      <c r="A917" s="134"/>
      <c r="B917" s="134"/>
      <c r="C917" s="134"/>
      <c r="D917" s="134"/>
      <c r="E917" s="136"/>
      <c r="F917" s="134"/>
      <c r="G917" s="134"/>
      <c r="H917" s="134"/>
    </row>
    <row r="918" ht="55.5" customHeight="1">
      <c r="A918" s="134"/>
      <c r="B918" s="134"/>
      <c r="C918" s="134"/>
      <c r="D918" s="134"/>
      <c r="E918" s="136"/>
      <c r="F918" s="134"/>
      <c r="G918" s="134"/>
      <c r="H918" s="134"/>
    </row>
    <row r="919" ht="55.5" customHeight="1">
      <c r="A919" s="134"/>
      <c r="B919" s="134"/>
      <c r="C919" s="134"/>
      <c r="D919" s="134"/>
      <c r="E919" s="136"/>
      <c r="F919" s="134"/>
      <c r="G919" s="134"/>
      <c r="H919" s="134"/>
    </row>
    <row r="920" ht="55.5" customHeight="1">
      <c r="A920" s="134"/>
      <c r="B920" s="134"/>
      <c r="C920" s="134"/>
      <c r="D920" s="134"/>
      <c r="E920" s="136"/>
      <c r="F920" s="134"/>
      <c r="G920" s="134"/>
      <c r="H920" s="134"/>
    </row>
    <row r="921" ht="55.5" customHeight="1">
      <c r="A921" s="134"/>
      <c r="B921" s="134"/>
      <c r="C921" s="134"/>
      <c r="D921" s="134"/>
      <c r="E921" s="136"/>
      <c r="F921" s="134"/>
      <c r="G921" s="134"/>
      <c r="H921" s="134"/>
    </row>
    <row r="922" ht="55.5" customHeight="1">
      <c r="A922" s="134"/>
      <c r="B922" s="134"/>
      <c r="C922" s="134"/>
      <c r="D922" s="134"/>
      <c r="E922" s="136"/>
      <c r="F922" s="134"/>
      <c r="G922" s="134"/>
      <c r="H922" s="134"/>
    </row>
    <row r="923" ht="55.5" customHeight="1">
      <c r="A923" s="134"/>
      <c r="B923" s="134"/>
      <c r="C923" s="134"/>
      <c r="D923" s="134"/>
      <c r="E923" s="136"/>
      <c r="F923" s="134"/>
      <c r="G923" s="134"/>
      <c r="H923" s="134"/>
    </row>
    <row r="924" ht="55.5" customHeight="1">
      <c r="A924" s="134"/>
      <c r="B924" s="134"/>
      <c r="C924" s="134"/>
      <c r="D924" s="134"/>
      <c r="E924" s="136"/>
      <c r="F924" s="134"/>
      <c r="G924" s="134"/>
      <c r="H924" s="134"/>
    </row>
    <row r="925" ht="55.5" customHeight="1">
      <c r="A925" s="134"/>
      <c r="B925" s="134"/>
      <c r="C925" s="134"/>
      <c r="D925" s="134"/>
      <c r="E925" s="136"/>
      <c r="F925" s="134"/>
      <c r="G925" s="134"/>
      <c r="H925" s="134"/>
    </row>
    <row r="926" ht="55.5" customHeight="1">
      <c r="A926" s="134"/>
      <c r="B926" s="134"/>
      <c r="C926" s="134"/>
      <c r="D926" s="134"/>
      <c r="E926" s="136"/>
      <c r="F926" s="134"/>
      <c r="G926" s="134"/>
      <c r="H926" s="134"/>
    </row>
    <row r="927" ht="55.5" customHeight="1">
      <c r="A927" s="134"/>
      <c r="B927" s="134"/>
      <c r="C927" s="134"/>
      <c r="D927" s="134"/>
      <c r="E927" s="136"/>
      <c r="F927" s="134"/>
      <c r="G927" s="134"/>
      <c r="H927" s="134"/>
    </row>
    <row r="928" ht="55.5" customHeight="1">
      <c r="A928" s="134"/>
      <c r="B928" s="134"/>
      <c r="C928" s="134"/>
      <c r="D928" s="134"/>
      <c r="E928" s="136"/>
      <c r="F928" s="134"/>
      <c r="G928" s="134"/>
      <c r="H928" s="134"/>
    </row>
    <row r="929" ht="55.5" customHeight="1">
      <c r="A929" s="134"/>
      <c r="B929" s="134"/>
      <c r="C929" s="134"/>
      <c r="D929" s="134"/>
      <c r="E929" s="136"/>
      <c r="F929" s="134"/>
      <c r="G929" s="134"/>
      <c r="H929" s="134"/>
    </row>
    <row r="930" ht="55.5" customHeight="1">
      <c r="A930" s="134"/>
      <c r="B930" s="134"/>
      <c r="C930" s="134"/>
      <c r="D930" s="134"/>
      <c r="E930" s="136"/>
      <c r="F930" s="134"/>
      <c r="G930" s="134"/>
      <c r="H930" s="134"/>
    </row>
    <row r="931" ht="55.5" customHeight="1">
      <c r="A931" s="134"/>
      <c r="B931" s="134"/>
      <c r="C931" s="134"/>
      <c r="D931" s="134"/>
      <c r="E931" s="136"/>
      <c r="F931" s="134"/>
      <c r="G931" s="134"/>
      <c r="H931" s="134"/>
    </row>
    <row r="932" ht="55.5" customHeight="1">
      <c r="A932" s="134"/>
      <c r="B932" s="134"/>
      <c r="C932" s="134"/>
      <c r="D932" s="134"/>
      <c r="E932" s="136"/>
      <c r="F932" s="134"/>
      <c r="G932" s="134"/>
      <c r="H932" s="134"/>
    </row>
    <row r="933" ht="55.5" customHeight="1">
      <c r="A933" s="134"/>
      <c r="B933" s="134"/>
      <c r="C933" s="134"/>
      <c r="D933" s="134"/>
      <c r="E933" s="136"/>
      <c r="F933" s="134"/>
      <c r="G933" s="134"/>
      <c r="H933" s="134"/>
    </row>
    <row r="934" ht="55.5" customHeight="1">
      <c r="A934" s="134"/>
      <c r="B934" s="134"/>
      <c r="C934" s="134"/>
      <c r="D934" s="134"/>
      <c r="E934" s="136"/>
      <c r="F934" s="134"/>
      <c r="G934" s="134"/>
      <c r="H934" s="134"/>
    </row>
    <row r="935" ht="55.5" customHeight="1">
      <c r="A935" s="134"/>
      <c r="B935" s="134"/>
      <c r="C935" s="134"/>
      <c r="D935" s="134"/>
      <c r="E935" s="136"/>
      <c r="F935" s="134"/>
      <c r="G935" s="134"/>
      <c r="H935" s="134"/>
    </row>
    <row r="936" ht="55.5" customHeight="1">
      <c r="A936" s="134"/>
      <c r="B936" s="134"/>
      <c r="C936" s="134"/>
      <c r="D936" s="134"/>
      <c r="E936" s="136"/>
      <c r="F936" s="134"/>
      <c r="G936" s="134"/>
      <c r="H936" s="134"/>
    </row>
    <row r="937" ht="55.5" customHeight="1">
      <c r="A937" s="134"/>
      <c r="B937" s="134"/>
      <c r="C937" s="134"/>
      <c r="D937" s="134"/>
      <c r="E937" s="136"/>
      <c r="F937" s="134"/>
      <c r="G937" s="134"/>
      <c r="H937" s="134"/>
    </row>
    <row r="938" ht="55.5" customHeight="1">
      <c r="A938" s="134"/>
      <c r="B938" s="134"/>
      <c r="C938" s="134"/>
      <c r="D938" s="134"/>
      <c r="E938" s="136"/>
      <c r="F938" s="134"/>
      <c r="G938" s="134"/>
      <c r="H938" s="134"/>
    </row>
    <row r="939" ht="55.5" customHeight="1">
      <c r="A939" s="134"/>
      <c r="B939" s="134"/>
      <c r="C939" s="134"/>
      <c r="D939" s="134"/>
      <c r="E939" s="136"/>
      <c r="F939" s="134"/>
      <c r="G939" s="134"/>
      <c r="H939" s="134"/>
    </row>
    <row r="940" ht="55.5" customHeight="1">
      <c r="A940" s="134"/>
      <c r="B940" s="134"/>
      <c r="C940" s="134"/>
      <c r="D940" s="134"/>
      <c r="E940" s="136"/>
      <c r="F940" s="134"/>
      <c r="G940" s="134"/>
      <c r="H940" s="134"/>
    </row>
    <row r="941" ht="55.5" customHeight="1">
      <c r="A941" s="134"/>
      <c r="B941" s="134"/>
      <c r="C941" s="134"/>
      <c r="D941" s="134"/>
      <c r="E941" s="136"/>
      <c r="F941" s="134"/>
      <c r="G941" s="134"/>
      <c r="H941" s="134"/>
    </row>
    <row r="942" ht="55.5" customHeight="1">
      <c r="A942" s="134"/>
      <c r="B942" s="134"/>
      <c r="C942" s="134"/>
      <c r="D942" s="134"/>
      <c r="E942" s="136"/>
      <c r="F942" s="134"/>
      <c r="G942" s="134"/>
      <c r="H942" s="134"/>
    </row>
    <row r="943" ht="55.5" customHeight="1">
      <c r="A943" s="134"/>
      <c r="B943" s="134"/>
      <c r="C943" s="134"/>
      <c r="D943" s="134"/>
      <c r="E943" s="136"/>
      <c r="F943" s="134"/>
      <c r="G943" s="134"/>
      <c r="H943" s="134"/>
    </row>
    <row r="944" ht="55.5" customHeight="1">
      <c r="A944" s="134"/>
      <c r="B944" s="134"/>
      <c r="C944" s="134"/>
      <c r="D944" s="134"/>
      <c r="E944" s="136"/>
      <c r="F944" s="134"/>
      <c r="G944" s="134"/>
      <c r="H944" s="134"/>
    </row>
    <row r="945" ht="55.5" customHeight="1">
      <c r="A945" s="134"/>
      <c r="B945" s="134"/>
      <c r="C945" s="134"/>
      <c r="D945" s="134"/>
      <c r="E945" s="136"/>
      <c r="F945" s="134"/>
      <c r="G945" s="134"/>
      <c r="H945" s="134"/>
    </row>
    <row r="946" ht="55.5" customHeight="1">
      <c r="A946" s="134"/>
      <c r="B946" s="134"/>
      <c r="C946" s="134"/>
      <c r="D946" s="134"/>
      <c r="E946" s="136"/>
      <c r="F946" s="134"/>
      <c r="G946" s="134"/>
      <c r="H946" s="134"/>
    </row>
    <row r="947" ht="55.5" customHeight="1">
      <c r="A947" s="134"/>
      <c r="B947" s="134"/>
      <c r="C947" s="134"/>
      <c r="D947" s="134"/>
      <c r="E947" s="136"/>
      <c r="F947" s="134"/>
      <c r="G947" s="134"/>
      <c r="H947" s="134"/>
    </row>
    <row r="948" ht="55.5" customHeight="1">
      <c r="A948" s="134"/>
      <c r="B948" s="134"/>
      <c r="C948" s="134"/>
      <c r="D948" s="134"/>
      <c r="E948" s="136"/>
      <c r="F948" s="134"/>
      <c r="G948" s="134"/>
      <c r="H948" s="134"/>
    </row>
    <row r="949" ht="55.5" customHeight="1">
      <c r="A949" s="134"/>
      <c r="B949" s="134"/>
      <c r="C949" s="134"/>
      <c r="D949" s="134"/>
      <c r="E949" s="136"/>
      <c r="F949" s="134"/>
      <c r="G949" s="134"/>
      <c r="H949" s="134"/>
    </row>
    <row r="950" ht="55.5" customHeight="1">
      <c r="A950" s="134"/>
      <c r="B950" s="134"/>
      <c r="C950" s="134"/>
      <c r="D950" s="134"/>
      <c r="E950" s="136"/>
      <c r="F950" s="134"/>
      <c r="G950" s="134"/>
      <c r="H950" s="134"/>
    </row>
    <row r="951" ht="55.5" customHeight="1">
      <c r="A951" s="134"/>
      <c r="B951" s="134"/>
      <c r="C951" s="134"/>
      <c r="D951" s="134"/>
      <c r="E951" s="136"/>
      <c r="F951" s="134"/>
      <c r="G951" s="134"/>
      <c r="H951" s="134"/>
    </row>
    <row r="952" ht="55.5" customHeight="1">
      <c r="A952" s="134"/>
      <c r="B952" s="134"/>
      <c r="C952" s="134"/>
      <c r="D952" s="134"/>
      <c r="E952" s="136"/>
      <c r="F952" s="134"/>
      <c r="G952" s="134"/>
      <c r="H952" s="134"/>
    </row>
    <row r="953" ht="55.5" customHeight="1">
      <c r="A953" s="134"/>
      <c r="B953" s="134"/>
      <c r="C953" s="134"/>
      <c r="D953" s="134"/>
      <c r="E953" s="136"/>
      <c r="F953" s="134"/>
      <c r="G953" s="134"/>
      <c r="H953" s="134"/>
    </row>
    <row r="954" ht="55.5" customHeight="1">
      <c r="A954" s="134"/>
      <c r="B954" s="134"/>
      <c r="C954" s="134"/>
      <c r="D954" s="134"/>
      <c r="E954" s="136"/>
      <c r="F954" s="134"/>
      <c r="G954" s="134"/>
      <c r="H954" s="134"/>
    </row>
    <row r="955" ht="55.5" customHeight="1">
      <c r="A955" s="134"/>
      <c r="B955" s="134"/>
      <c r="C955" s="134"/>
      <c r="D955" s="134"/>
      <c r="E955" s="136"/>
      <c r="F955" s="134"/>
      <c r="G955" s="134"/>
      <c r="H955" s="134"/>
    </row>
    <row r="956" ht="55.5" customHeight="1">
      <c r="A956" s="134"/>
      <c r="B956" s="134"/>
      <c r="C956" s="134"/>
      <c r="D956" s="134"/>
      <c r="E956" s="136"/>
      <c r="F956" s="134"/>
      <c r="G956" s="134"/>
      <c r="H956" s="134"/>
    </row>
    <row r="957" ht="55.5" customHeight="1">
      <c r="A957" s="134"/>
      <c r="B957" s="134"/>
      <c r="C957" s="134"/>
      <c r="D957" s="134"/>
      <c r="E957" s="136"/>
      <c r="F957" s="134"/>
      <c r="G957" s="134"/>
      <c r="H957" s="134"/>
    </row>
    <row r="958" ht="55.5" customHeight="1">
      <c r="A958" s="134"/>
      <c r="B958" s="134"/>
      <c r="C958" s="134"/>
      <c r="D958" s="134"/>
      <c r="E958" s="136"/>
      <c r="F958" s="134"/>
      <c r="G958" s="134"/>
      <c r="H958" s="134"/>
    </row>
    <row r="959" ht="55.5" customHeight="1">
      <c r="A959" s="134"/>
      <c r="B959" s="134"/>
      <c r="C959" s="134"/>
      <c r="D959" s="134"/>
      <c r="E959" s="136"/>
      <c r="F959" s="134"/>
      <c r="G959" s="134"/>
      <c r="H959" s="134"/>
    </row>
    <row r="960" ht="55.5" customHeight="1">
      <c r="A960" s="134"/>
      <c r="B960" s="134"/>
      <c r="C960" s="134"/>
      <c r="D960" s="134"/>
      <c r="E960" s="136"/>
      <c r="F960" s="134"/>
      <c r="G960" s="134"/>
      <c r="H960" s="134"/>
    </row>
    <row r="961" ht="55.5" customHeight="1">
      <c r="A961" s="134"/>
      <c r="B961" s="134"/>
      <c r="C961" s="134"/>
      <c r="D961" s="134"/>
      <c r="E961" s="136"/>
      <c r="F961" s="134"/>
      <c r="G961" s="134"/>
      <c r="H961" s="134"/>
    </row>
    <row r="962" ht="55.5" customHeight="1">
      <c r="A962" s="134"/>
      <c r="B962" s="134"/>
      <c r="C962" s="134"/>
      <c r="D962" s="134"/>
      <c r="E962" s="136"/>
      <c r="F962" s="134"/>
      <c r="G962" s="134"/>
      <c r="H962" s="134"/>
    </row>
    <row r="963" ht="55.5" customHeight="1">
      <c r="A963" s="134"/>
      <c r="B963" s="134"/>
      <c r="C963" s="134"/>
      <c r="D963" s="134"/>
      <c r="E963" s="136"/>
      <c r="F963" s="134"/>
      <c r="G963" s="134"/>
      <c r="H963" s="134"/>
    </row>
    <row r="964" ht="55.5" customHeight="1">
      <c r="A964" s="134"/>
      <c r="B964" s="134"/>
      <c r="C964" s="134"/>
      <c r="D964" s="134"/>
      <c r="E964" s="136"/>
      <c r="F964" s="134"/>
      <c r="G964" s="134"/>
      <c r="H964" s="134"/>
    </row>
    <row r="965" ht="55.5" customHeight="1">
      <c r="A965" s="134"/>
      <c r="B965" s="134"/>
      <c r="C965" s="134"/>
      <c r="D965" s="134"/>
      <c r="E965" s="136"/>
      <c r="F965" s="134"/>
      <c r="G965" s="134"/>
      <c r="H965" s="134"/>
    </row>
    <row r="966" ht="55.5" customHeight="1">
      <c r="A966" s="134"/>
      <c r="B966" s="134"/>
      <c r="C966" s="134"/>
      <c r="D966" s="134"/>
      <c r="E966" s="136"/>
      <c r="F966" s="134"/>
      <c r="G966" s="134"/>
      <c r="H966" s="134"/>
    </row>
    <row r="967" ht="55.5" customHeight="1">
      <c r="A967" s="134"/>
      <c r="B967" s="134"/>
      <c r="C967" s="134"/>
      <c r="D967" s="134"/>
      <c r="E967" s="136"/>
      <c r="F967" s="134"/>
      <c r="G967" s="134"/>
      <c r="H967" s="134"/>
    </row>
    <row r="968" ht="55.5" customHeight="1">
      <c r="A968" s="134"/>
      <c r="B968" s="134"/>
      <c r="C968" s="134"/>
      <c r="D968" s="134"/>
      <c r="E968" s="136"/>
      <c r="F968" s="134"/>
      <c r="G968" s="134"/>
      <c r="H968" s="134"/>
    </row>
    <row r="969" ht="55.5" customHeight="1">
      <c r="A969" s="134"/>
      <c r="B969" s="134"/>
      <c r="C969" s="134"/>
      <c r="D969" s="134"/>
      <c r="E969" s="136"/>
      <c r="F969" s="134"/>
      <c r="G969" s="134"/>
      <c r="H969" s="134"/>
    </row>
    <row r="970" ht="55.5" customHeight="1">
      <c r="A970" s="134"/>
      <c r="B970" s="134"/>
      <c r="C970" s="134"/>
      <c r="D970" s="134"/>
      <c r="E970" s="136"/>
      <c r="F970" s="134"/>
      <c r="G970" s="134"/>
      <c r="H970" s="134"/>
    </row>
    <row r="971" ht="55.5" customHeight="1">
      <c r="A971" s="134"/>
      <c r="B971" s="134"/>
      <c r="C971" s="134"/>
      <c r="D971" s="134"/>
      <c r="E971" s="136"/>
      <c r="F971" s="134"/>
      <c r="G971" s="134"/>
      <c r="H971" s="134"/>
    </row>
    <row r="972" ht="55.5" customHeight="1">
      <c r="A972" s="134"/>
      <c r="B972" s="134"/>
      <c r="C972" s="134"/>
      <c r="D972" s="134"/>
      <c r="E972" s="136"/>
      <c r="F972" s="134"/>
      <c r="G972" s="134"/>
      <c r="H972" s="134"/>
    </row>
    <row r="973" ht="55.5" customHeight="1">
      <c r="A973" s="134"/>
      <c r="B973" s="134"/>
      <c r="C973" s="134"/>
      <c r="D973" s="134"/>
      <c r="E973" s="136"/>
      <c r="F973" s="134"/>
      <c r="G973" s="134"/>
      <c r="H973" s="134"/>
    </row>
    <row r="974" ht="55.5" customHeight="1">
      <c r="A974" s="134"/>
      <c r="B974" s="134"/>
      <c r="C974" s="134"/>
      <c r="D974" s="134"/>
      <c r="E974" s="136"/>
      <c r="F974" s="134"/>
      <c r="G974" s="134"/>
      <c r="H974" s="134"/>
    </row>
    <row r="975" ht="55.5" customHeight="1">
      <c r="A975" s="134"/>
      <c r="B975" s="134"/>
      <c r="C975" s="134"/>
      <c r="D975" s="134"/>
      <c r="E975" s="136"/>
      <c r="F975" s="134"/>
      <c r="G975" s="134"/>
      <c r="H975" s="134"/>
    </row>
    <row r="976" ht="55.5" customHeight="1">
      <c r="A976" s="134"/>
      <c r="B976" s="134"/>
      <c r="C976" s="134"/>
      <c r="D976" s="134"/>
      <c r="E976" s="136"/>
      <c r="F976" s="134"/>
      <c r="G976" s="134"/>
      <c r="H976" s="134"/>
    </row>
    <row r="977" ht="55.5" customHeight="1">
      <c r="A977" s="134"/>
      <c r="B977" s="134"/>
      <c r="C977" s="134"/>
      <c r="D977" s="134"/>
      <c r="E977" s="136"/>
      <c r="F977" s="134"/>
      <c r="G977" s="134"/>
      <c r="H977" s="134"/>
    </row>
    <row r="978" ht="55.5" customHeight="1">
      <c r="A978" s="134"/>
      <c r="B978" s="134"/>
      <c r="C978" s="134"/>
      <c r="D978" s="134"/>
      <c r="E978" s="136"/>
      <c r="F978" s="134"/>
      <c r="G978" s="134"/>
      <c r="H978" s="134"/>
    </row>
    <row r="979" ht="55.5" customHeight="1">
      <c r="A979" s="134"/>
      <c r="B979" s="134"/>
      <c r="C979" s="134"/>
      <c r="D979" s="134"/>
      <c r="E979" s="136"/>
      <c r="F979" s="134"/>
      <c r="G979" s="134"/>
      <c r="H979" s="134"/>
    </row>
    <row r="980" ht="55.5" customHeight="1">
      <c r="A980" s="134"/>
      <c r="B980" s="134"/>
      <c r="C980" s="134"/>
      <c r="D980" s="134"/>
      <c r="E980" s="136"/>
      <c r="F980" s="134"/>
      <c r="G980" s="134"/>
      <c r="H980" s="134"/>
    </row>
    <row r="981" ht="55.5" customHeight="1">
      <c r="A981" s="134"/>
      <c r="B981" s="134"/>
      <c r="C981" s="134"/>
      <c r="D981" s="134"/>
      <c r="E981" s="136"/>
      <c r="F981" s="134"/>
      <c r="G981" s="134"/>
      <c r="H981" s="134"/>
    </row>
    <row r="982" ht="55.5" customHeight="1">
      <c r="A982" s="134"/>
      <c r="B982" s="134"/>
      <c r="C982" s="134"/>
      <c r="D982" s="134"/>
      <c r="E982" s="136"/>
      <c r="F982" s="134"/>
      <c r="G982" s="134"/>
      <c r="H982" s="134"/>
    </row>
    <row r="983" ht="55.5" customHeight="1">
      <c r="A983" s="134"/>
      <c r="B983" s="134"/>
      <c r="C983" s="134"/>
      <c r="D983" s="134"/>
      <c r="E983" s="136"/>
      <c r="F983" s="134"/>
      <c r="G983" s="134"/>
      <c r="H983" s="134"/>
    </row>
    <row r="984" ht="55.5" customHeight="1">
      <c r="A984" s="134"/>
      <c r="B984" s="134"/>
      <c r="C984" s="134"/>
      <c r="D984" s="134"/>
      <c r="E984" s="136"/>
      <c r="F984" s="134"/>
      <c r="G984" s="134"/>
      <c r="H984" s="134"/>
    </row>
    <row r="985" ht="55.5" customHeight="1">
      <c r="A985" s="134"/>
      <c r="B985" s="134"/>
      <c r="C985" s="134"/>
      <c r="D985" s="134"/>
      <c r="E985" s="136"/>
      <c r="F985" s="134"/>
      <c r="G985" s="134"/>
      <c r="H985" s="134"/>
    </row>
    <row r="986" ht="55.5" customHeight="1">
      <c r="A986" s="134"/>
      <c r="B986" s="134"/>
      <c r="C986" s="134"/>
      <c r="D986" s="134"/>
      <c r="E986" s="136"/>
      <c r="F986" s="134"/>
      <c r="G986" s="134"/>
      <c r="H986" s="134"/>
    </row>
    <row r="987" ht="55.5" customHeight="1">
      <c r="A987" s="134"/>
      <c r="B987" s="134"/>
      <c r="C987" s="134"/>
      <c r="D987" s="134"/>
      <c r="E987" s="136"/>
      <c r="F987" s="134"/>
      <c r="G987" s="134"/>
      <c r="H987" s="134"/>
    </row>
    <row r="988" ht="55.5" customHeight="1">
      <c r="A988" s="134"/>
      <c r="B988" s="134"/>
      <c r="C988" s="134"/>
      <c r="D988" s="134"/>
      <c r="E988" s="136"/>
      <c r="F988" s="134"/>
      <c r="G988" s="134"/>
      <c r="H988" s="134"/>
    </row>
    <row r="989" ht="55.5" customHeight="1">
      <c r="A989" s="134"/>
      <c r="B989" s="134"/>
      <c r="C989" s="134"/>
      <c r="D989" s="134"/>
      <c r="E989" s="136"/>
      <c r="F989" s="134"/>
      <c r="G989" s="134"/>
      <c r="H989" s="134"/>
    </row>
    <row r="990" ht="55.5" customHeight="1">
      <c r="A990" s="134"/>
      <c r="B990" s="134"/>
      <c r="C990" s="134"/>
      <c r="D990" s="134"/>
      <c r="E990" s="136"/>
      <c r="F990" s="134"/>
      <c r="G990" s="134"/>
      <c r="H990" s="134"/>
    </row>
    <row r="991" ht="55.5" customHeight="1">
      <c r="A991" s="134"/>
      <c r="B991" s="134"/>
      <c r="C991" s="134"/>
      <c r="D991" s="134"/>
      <c r="E991" s="136"/>
      <c r="F991" s="134"/>
      <c r="G991" s="134"/>
      <c r="H991" s="134"/>
    </row>
    <row r="992" ht="55.5" customHeight="1">
      <c r="A992" s="134"/>
      <c r="B992" s="134"/>
      <c r="C992" s="134"/>
      <c r="D992" s="134"/>
      <c r="E992" s="136"/>
      <c r="F992" s="134"/>
      <c r="G992" s="134"/>
      <c r="H992" s="134"/>
    </row>
    <row r="993" ht="55.5" customHeight="1">
      <c r="A993" s="134"/>
      <c r="B993" s="134"/>
      <c r="C993" s="134"/>
      <c r="D993" s="134"/>
      <c r="E993" s="136"/>
      <c r="F993" s="134"/>
      <c r="G993" s="134"/>
      <c r="H993" s="134"/>
    </row>
    <row r="994" ht="55.5" customHeight="1">
      <c r="A994" s="134"/>
      <c r="B994" s="134"/>
      <c r="C994" s="134"/>
      <c r="D994" s="134"/>
      <c r="E994" s="136"/>
      <c r="F994" s="134"/>
      <c r="G994" s="134"/>
      <c r="H994" s="134"/>
    </row>
    <row r="995" ht="55.5" customHeight="1">
      <c r="A995" s="134"/>
      <c r="B995" s="134"/>
      <c r="C995" s="134"/>
      <c r="D995" s="134"/>
      <c r="E995" s="136"/>
      <c r="F995" s="134"/>
      <c r="G995" s="134"/>
      <c r="H995" s="134"/>
    </row>
    <row r="996" ht="55.5" customHeight="1">
      <c r="A996" s="134"/>
      <c r="B996" s="134"/>
      <c r="C996" s="134"/>
      <c r="D996" s="134"/>
      <c r="E996" s="136"/>
      <c r="F996" s="134"/>
      <c r="G996" s="134"/>
      <c r="H996" s="134"/>
    </row>
    <row r="997" ht="55.5" customHeight="1">
      <c r="A997" s="134"/>
      <c r="B997" s="134"/>
      <c r="C997" s="134"/>
      <c r="D997" s="134"/>
      <c r="E997" s="136"/>
      <c r="F997" s="134"/>
      <c r="G997" s="134"/>
      <c r="H997" s="134"/>
    </row>
    <row r="998" ht="55.5" customHeight="1">
      <c r="A998" s="134"/>
      <c r="B998" s="134"/>
      <c r="C998" s="134"/>
      <c r="D998" s="134"/>
      <c r="E998" s="136"/>
      <c r="F998" s="134"/>
      <c r="G998" s="134"/>
      <c r="H998" s="134"/>
    </row>
    <row r="999" ht="55.5" customHeight="1">
      <c r="A999" s="134"/>
      <c r="B999" s="134"/>
      <c r="C999" s="134"/>
      <c r="D999" s="134"/>
      <c r="E999" s="136"/>
      <c r="F999" s="134"/>
      <c r="G999" s="134"/>
      <c r="H999" s="134"/>
    </row>
    <row r="1000" ht="55.5" customHeight="1">
      <c r="A1000" s="134"/>
      <c r="B1000" s="134"/>
      <c r="C1000" s="134"/>
      <c r="D1000" s="134"/>
      <c r="E1000" s="136"/>
      <c r="F1000" s="134"/>
      <c r="G1000" s="134"/>
      <c r="H1000" s="134"/>
    </row>
    <row r="1001" ht="55.5" customHeight="1">
      <c r="A1001" s="134"/>
      <c r="B1001" s="134"/>
      <c r="C1001" s="134"/>
      <c r="D1001" s="134"/>
      <c r="E1001" s="136"/>
      <c r="F1001" s="134"/>
      <c r="G1001" s="134"/>
      <c r="H1001" s="134"/>
    </row>
    <row r="1002" ht="55.5" customHeight="1">
      <c r="A1002" s="134"/>
      <c r="B1002" s="134"/>
      <c r="C1002" s="134"/>
      <c r="D1002" s="134"/>
      <c r="E1002" s="136"/>
      <c r="F1002" s="134"/>
      <c r="G1002" s="134"/>
      <c r="H1002" s="134"/>
    </row>
    <row r="1003" ht="55.5" customHeight="1">
      <c r="A1003" s="134"/>
      <c r="B1003" s="134"/>
      <c r="C1003" s="134"/>
      <c r="D1003" s="134"/>
      <c r="E1003" s="136"/>
      <c r="F1003" s="134"/>
      <c r="G1003" s="134"/>
      <c r="H1003" s="134"/>
    </row>
    <row r="1004" ht="55.5" customHeight="1">
      <c r="A1004" s="134"/>
      <c r="B1004" s="134"/>
      <c r="C1004" s="134"/>
      <c r="D1004" s="134"/>
      <c r="E1004" s="136"/>
      <c r="F1004" s="134"/>
      <c r="G1004" s="134"/>
      <c r="H1004" s="134"/>
    </row>
    <row r="1005" ht="55.5" customHeight="1">
      <c r="A1005" s="134"/>
      <c r="B1005" s="134"/>
      <c r="C1005" s="134"/>
      <c r="D1005" s="134"/>
      <c r="E1005" s="136"/>
      <c r="F1005" s="134"/>
      <c r="G1005" s="134"/>
      <c r="H1005" s="134"/>
    </row>
    <row r="1006" ht="55.5" customHeight="1">
      <c r="A1006" s="134"/>
      <c r="B1006" s="134"/>
      <c r="C1006" s="134"/>
      <c r="D1006" s="134"/>
      <c r="E1006" s="136"/>
      <c r="F1006" s="134"/>
      <c r="G1006" s="134"/>
      <c r="H1006" s="134"/>
    </row>
    <row r="1007" ht="55.5" customHeight="1">
      <c r="A1007" s="134"/>
      <c r="B1007" s="134"/>
      <c r="C1007" s="134"/>
      <c r="D1007" s="134"/>
      <c r="E1007" s="136"/>
      <c r="F1007" s="134"/>
      <c r="G1007" s="134"/>
      <c r="H1007" s="134"/>
    </row>
    <row r="1008" ht="55.5" customHeight="1">
      <c r="A1008" s="134"/>
      <c r="B1008" s="134"/>
      <c r="C1008" s="134"/>
      <c r="D1008" s="134"/>
      <c r="E1008" s="136"/>
      <c r="F1008" s="134"/>
      <c r="G1008" s="134"/>
      <c r="H1008" s="134"/>
    </row>
    <row r="1009" ht="55.5" customHeight="1">
      <c r="A1009" s="134"/>
      <c r="B1009" s="134"/>
      <c r="C1009" s="134"/>
      <c r="D1009" s="134"/>
      <c r="E1009" s="136"/>
      <c r="F1009" s="134"/>
      <c r="G1009" s="134"/>
      <c r="H1009" s="134"/>
    </row>
    <row r="1010" ht="55.5" customHeight="1">
      <c r="A1010" s="134"/>
      <c r="B1010" s="134"/>
      <c r="C1010" s="134"/>
      <c r="D1010" s="134"/>
      <c r="E1010" s="136"/>
      <c r="F1010" s="134"/>
      <c r="G1010" s="134"/>
      <c r="H1010" s="134"/>
    </row>
    <row r="1011" ht="55.5" customHeight="1">
      <c r="A1011" s="134"/>
      <c r="B1011" s="134"/>
      <c r="C1011" s="134"/>
      <c r="D1011" s="134"/>
      <c r="E1011" s="136"/>
      <c r="F1011" s="134"/>
      <c r="G1011" s="134"/>
      <c r="H1011" s="134"/>
    </row>
    <row r="1012" ht="55.5" customHeight="1">
      <c r="A1012" s="134"/>
      <c r="B1012" s="134"/>
      <c r="C1012" s="134"/>
      <c r="D1012" s="134"/>
      <c r="E1012" s="136"/>
      <c r="F1012" s="134"/>
      <c r="G1012" s="134"/>
      <c r="H1012" s="134"/>
    </row>
    <row r="1013" ht="55.5" customHeight="1">
      <c r="A1013" s="134"/>
      <c r="B1013" s="134"/>
      <c r="C1013" s="134"/>
      <c r="D1013" s="134"/>
      <c r="E1013" s="136"/>
      <c r="F1013" s="134"/>
      <c r="G1013" s="134"/>
      <c r="H1013" s="134"/>
    </row>
    <row r="1014" ht="55.5" customHeight="1">
      <c r="A1014" s="134"/>
      <c r="B1014" s="134"/>
      <c r="C1014" s="134"/>
      <c r="D1014" s="134"/>
      <c r="E1014" s="136"/>
      <c r="F1014" s="134"/>
      <c r="G1014" s="134"/>
      <c r="H1014" s="134"/>
    </row>
    <row r="1015" ht="55.5" customHeight="1">
      <c r="A1015" s="134"/>
      <c r="B1015" s="134"/>
      <c r="C1015" s="134"/>
      <c r="D1015" s="134"/>
      <c r="E1015" s="136"/>
      <c r="F1015" s="134"/>
      <c r="G1015" s="134"/>
      <c r="H1015" s="134"/>
    </row>
    <row r="1016" ht="55.5" customHeight="1">
      <c r="A1016" s="134"/>
      <c r="B1016" s="134"/>
      <c r="C1016" s="134"/>
      <c r="D1016" s="134"/>
      <c r="E1016" s="136"/>
      <c r="F1016" s="134"/>
      <c r="G1016" s="134"/>
      <c r="H1016" s="134"/>
    </row>
    <row r="1017" ht="55.5" customHeight="1">
      <c r="A1017" s="134"/>
      <c r="B1017" s="134"/>
      <c r="C1017" s="134"/>
      <c r="D1017" s="134"/>
      <c r="E1017" s="136"/>
      <c r="F1017" s="134"/>
      <c r="G1017" s="134"/>
      <c r="H1017" s="134"/>
    </row>
    <row r="1018" ht="55.5" customHeight="1">
      <c r="A1018" s="134"/>
      <c r="B1018" s="134"/>
      <c r="C1018" s="134"/>
      <c r="D1018" s="134"/>
      <c r="E1018" s="136"/>
      <c r="F1018" s="134"/>
      <c r="G1018" s="134"/>
      <c r="H1018" s="134"/>
    </row>
    <row r="1019" ht="55.5" customHeight="1">
      <c r="A1019" s="134"/>
      <c r="B1019" s="134"/>
      <c r="C1019" s="134"/>
      <c r="D1019" s="134"/>
      <c r="E1019" s="136"/>
      <c r="F1019" s="134"/>
      <c r="G1019" s="134"/>
      <c r="H1019" s="134"/>
    </row>
    <row r="1020" ht="55.5" customHeight="1">
      <c r="A1020" s="134"/>
      <c r="B1020" s="134"/>
      <c r="C1020" s="134"/>
      <c r="D1020" s="134"/>
      <c r="E1020" s="136"/>
      <c r="F1020" s="134"/>
      <c r="G1020" s="134"/>
      <c r="H1020" s="134"/>
    </row>
    <row r="1021" ht="55.5" customHeight="1">
      <c r="A1021" s="134"/>
      <c r="B1021" s="134"/>
      <c r="C1021" s="134"/>
      <c r="D1021" s="134"/>
      <c r="E1021" s="136"/>
      <c r="F1021" s="134"/>
      <c r="G1021" s="134"/>
      <c r="H1021" s="134"/>
    </row>
    <row r="1022" ht="55.5" customHeight="1">
      <c r="A1022" s="134"/>
      <c r="B1022" s="134"/>
      <c r="C1022" s="134"/>
      <c r="D1022" s="134"/>
      <c r="E1022" s="136"/>
      <c r="F1022" s="134"/>
      <c r="G1022" s="134"/>
      <c r="H1022" s="134"/>
    </row>
    <row r="1023" ht="55.5" customHeight="1">
      <c r="A1023" s="134"/>
      <c r="B1023" s="134"/>
      <c r="C1023" s="134"/>
      <c r="D1023" s="134"/>
      <c r="E1023" s="136"/>
      <c r="F1023" s="134"/>
      <c r="G1023" s="134"/>
      <c r="H1023" s="134"/>
    </row>
    <row r="1024" ht="55.5" customHeight="1">
      <c r="A1024" s="134"/>
      <c r="B1024" s="134"/>
      <c r="C1024" s="134"/>
      <c r="D1024" s="134"/>
      <c r="E1024" s="136"/>
      <c r="F1024" s="134"/>
      <c r="G1024" s="134"/>
      <c r="H1024" s="134"/>
    </row>
    <row r="1025" ht="55.5" customHeight="1">
      <c r="A1025" s="134"/>
      <c r="B1025" s="134"/>
      <c r="C1025" s="134"/>
      <c r="D1025" s="134"/>
      <c r="E1025" s="136"/>
      <c r="F1025" s="134"/>
      <c r="G1025" s="134"/>
      <c r="H1025" s="134"/>
    </row>
    <row r="1026" ht="55.5" customHeight="1">
      <c r="A1026" s="134"/>
      <c r="B1026" s="134"/>
      <c r="C1026" s="134"/>
      <c r="D1026" s="134"/>
      <c r="E1026" s="136"/>
      <c r="F1026" s="134"/>
      <c r="G1026" s="134"/>
      <c r="H1026" s="134"/>
    </row>
    <row r="1027" ht="55.5" customHeight="1">
      <c r="A1027" s="134"/>
      <c r="B1027" s="134"/>
      <c r="C1027" s="134"/>
      <c r="D1027" s="134"/>
      <c r="E1027" s="136"/>
      <c r="F1027" s="134"/>
      <c r="G1027" s="134"/>
      <c r="H1027" s="134"/>
    </row>
    <row r="1028" ht="55.5" customHeight="1">
      <c r="A1028" s="134"/>
      <c r="B1028" s="134"/>
      <c r="C1028" s="134"/>
      <c r="D1028" s="134"/>
      <c r="E1028" s="136"/>
      <c r="F1028" s="134"/>
      <c r="G1028" s="134"/>
      <c r="H1028" s="134"/>
    </row>
    <row r="1029" ht="55.5" customHeight="1">
      <c r="A1029" s="134"/>
      <c r="B1029" s="134"/>
      <c r="C1029" s="134"/>
      <c r="D1029" s="134"/>
      <c r="E1029" s="136"/>
      <c r="F1029" s="134"/>
      <c r="G1029" s="134"/>
      <c r="H1029" s="134"/>
    </row>
    <row r="1030" ht="55.5" customHeight="1">
      <c r="A1030" s="134"/>
      <c r="B1030" s="134"/>
      <c r="C1030" s="134"/>
      <c r="D1030" s="134"/>
      <c r="E1030" s="136"/>
      <c r="F1030" s="134"/>
      <c r="G1030" s="134"/>
      <c r="H1030" s="134"/>
    </row>
    <row r="1031" ht="55.5" customHeight="1">
      <c r="A1031" s="134"/>
      <c r="B1031" s="134"/>
      <c r="C1031" s="134"/>
      <c r="D1031" s="134"/>
      <c r="E1031" s="136"/>
      <c r="F1031" s="134"/>
      <c r="G1031" s="134"/>
      <c r="H1031" s="134"/>
    </row>
    <row r="1032" ht="55.5" customHeight="1">
      <c r="A1032" s="134"/>
      <c r="B1032" s="134"/>
      <c r="C1032" s="134"/>
      <c r="D1032" s="134"/>
      <c r="E1032" s="136"/>
      <c r="F1032" s="134"/>
      <c r="G1032" s="134"/>
      <c r="H1032" s="134"/>
    </row>
    <row r="1033" ht="55.5" customHeight="1">
      <c r="A1033" s="134"/>
      <c r="B1033" s="134"/>
      <c r="C1033" s="134"/>
      <c r="D1033" s="134"/>
      <c r="E1033" s="136"/>
      <c r="F1033" s="134"/>
      <c r="G1033" s="134"/>
      <c r="H1033" s="134"/>
    </row>
    <row r="1034" ht="55.5" customHeight="1">
      <c r="A1034" s="134"/>
      <c r="B1034" s="134"/>
      <c r="C1034" s="134"/>
      <c r="D1034" s="134"/>
      <c r="E1034" s="136"/>
      <c r="F1034" s="134"/>
      <c r="G1034" s="134"/>
      <c r="H1034" s="134"/>
    </row>
    <row r="1035" ht="55.5" customHeight="1">
      <c r="A1035" s="134"/>
      <c r="B1035" s="134"/>
      <c r="C1035" s="134"/>
      <c r="D1035" s="134"/>
      <c r="E1035" s="136"/>
      <c r="F1035" s="134"/>
      <c r="G1035" s="134"/>
      <c r="H1035" s="134"/>
    </row>
    <row r="1036" ht="55.5" customHeight="1">
      <c r="A1036" s="134"/>
      <c r="B1036" s="134"/>
      <c r="C1036" s="134"/>
      <c r="D1036" s="134"/>
      <c r="E1036" s="136"/>
      <c r="F1036" s="134"/>
      <c r="G1036" s="134"/>
      <c r="H1036" s="134"/>
    </row>
    <row r="1037" ht="55.5" customHeight="1">
      <c r="A1037" s="134"/>
      <c r="B1037" s="134"/>
      <c r="C1037" s="134"/>
      <c r="D1037" s="134"/>
      <c r="E1037" s="136"/>
      <c r="F1037" s="134"/>
      <c r="G1037" s="134"/>
      <c r="H1037" s="134"/>
    </row>
    <row r="1038" ht="55.5" customHeight="1">
      <c r="A1038" s="134"/>
      <c r="B1038" s="134"/>
      <c r="C1038" s="134"/>
      <c r="D1038" s="134"/>
      <c r="E1038" s="136"/>
      <c r="F1038" s="134"/>
      <c r="G1038" s="134"/>
      <c r="H1038" s="134"/>
    </row>
    <row r="1039" ht="55.5" customHeight="1">
      <c r="A1039" s="134"/>
      <c r="B1039" s="134"/>
      <c r="C1039" s="134"/>
      <c r="D1039" s="134"/>
      <c r="E1039" s="136"/>
      <c r="F1039" s="134"/>
      <c r="G1039" s="134"/>
      <c r="H1039" s="134"/>
    </row>
    <row r="1040" ht="55.5" customHeight="1">
      <c r="A1040" s="134"/>
      <c r="B1040" s="134"/>
      <c r="C1040" s="134"/>
      <c r="D1040" s="134"/>
      <c r="E1040" s="136"/>
      <c r="F1040" s="134"/>
      <c r="G1040" s="134"/>
      <c r="H1040" s="134"/>
    </row>
    <row r="1041" ht="55.5" customHeight="1">
      <c r="A1041" s="134"/>
      <c r="B1041" s="134"/>
      <c r="C1041" s="134"/>
      <c r="D1041" s="134"/>
      <c r="E1041" s="136"/>
      <c r="F1041" s="134"/>
      <c r="G1041" s="134"/>
      <c r="H1041" s="134"/>
    </row>
    <row r="1042" ht="55.5" customHeight="1">
      <c r="A1042" s="134"/>
      <c r="B1042" s="134"/>
      <c r="C1042" s="134"/>
      <c r="D1042" s="134"/>
      <c r="E1042" s="136"/>
      <c r="F1042" s="134"/>
      <c r="G1042" s="134"/>
      <c r="H1042" s="134"/>
    </row>
    <row r="1043" ht="55.5" customHeight="1">
      <c r="A1043" s="134"/>
      <c r="B1043" s="134"/>
      <c r="C1043" s="134"/>
      <c r="D1043" s="134"/>
      <c r="E1043" s="136"/>
      <c r="F1043" s="134"/>
      <c r="G1043" s="134"/>
      <c r="H1043" s="134"/>
    </row>
    <row r="1044" ht="55.5" customHeight="1">
      <c r="A1044" s="134"/>
      <c r="B1044" s="134"/>
      <c r="C1044" s="134"/>
      <c r="D1044" s="134"/>
      <c r="E1044" s="136"/>
      <c r="F1044" s="134"/>
      <c r="G1044" s="134"/>
      <c r="H1044" s="134"/>
    </row>
    <row r="1045" ht="55.5" customHeight="1">
      <c r="A1045" s="134"/>
      <c r="B1045" s="134"/>
      <c r="C1045" s="134"/>
      <c r="D1045" s="134"/>
      <c r="E1045" s="136"/>
      <c r="F1045" s="134"/>
      <c r="G1045" s="134"/>
      <c r="H1045" s="134"/>
    </row>
    <row r="1046" ht="55.5" customHeight="1">
      <c r="A1046" s="134"/>
      <c r="B1046" s="134"/>
      <c r="C1046" s="134"/>
      <c r="D1046" s="134"/>
      <c r="E1046" s="136"/>
      <c r="F1046" s="134"/>
      <c r="G1046" s="134"/>
      <c r="H1046" s="134"/>
    </row>
    <row r="1047" ht="55.5" customHeight="1">
      <c r="A1047" s="134"/>
      <c r="B1047" s="134"/>
      <c r="C1047" s="134"/>
      <c r="D1047" s="134"/>
      <c r="E1047" s="136"/>
      <c r="F1047" s="134"/>
      <c r="G1047" s="134"/>
      <c r="H1047" s="134"/>
    </row>
    <row r="1048" ht="55.5" customHeight="1">
      <c r="A1048" s="134"/>
      <c r="B1048" s="134"/>
      <c r="C1048" s="134"/>
      <c r="D1048" s="134"/>
      <c r="E1048" s="136"/>
      <c r="F1048" s="134"/>
      <c r="G1048" s="134"/>
      <c r="H1048" s="134"/>
    </row>
    <row r="1049" ht="55.5" customHeight="1">
      <c r="A1049" s="134"/>
      <c r="B1049" s="134"/>
      <c r="C1049" s="134"/>
      <c r="D1049" s="134"/>
      <c r="E1049" s="136"/>
      <c r="F1049" s="134"/>
      <c r="G1049" s="134"/>
      <c r="H1049" s="134"/>
    </row>
    <row r="1050" ht="55.5" customHeight="1">
      <c r="A1050" s="134"/>
      <c r="B1050" s="134"/>
      <c r="C1050" s="134"/>
      <c r="D1050" s="134"/>
      <c r="E1050" s="136"/>
      <c r="F1050" s="134"/>
      <c r="G1050" s="134"/>
      <c r="H1050" s="134"/>
    </row>
    <row r="1051" ht="55.5" customHeight="1">
      <c r="A1051" s="134"/>
      <c r="B1051" s="134"/>
      <c r="C1051" s="134"/>
      <c r="D1051" s="134"/>
      <c r="E1051" s="136"/>
      <c r="F1051" s="134"/>
      <c r="G1051" s="134"/>
      <c r="H1051" s="134"/>
    </row>
    <row r="1052" ht="55.5" customHeight="1">
      <c r="A1052" s="134"/>
      <c r="B1052" s="134"/>
      <c r="C1052" s="134"/>
      <c r="D1052" s="134"/>
      <c r="E1052" s="136"/>
      <c r="F1052" s="134"/>
      <c r="G1052" s="134"/>
      <c r="H1052" s="134"/>
    </row>
    <row r="1053" ht="55.5" customHeight="1">
      <c r="A1053" s="134"/>
      <c r="B1053" s="134"/>
      <c r="C1053" s="134"/>
      <c r="D1053" s="134"/>
      <c r="E1053" s="136"/>
      <c r="F1053" s="134"/>
      <c r="G1053" s="134"/>
      <c r="H1053" s="134"/>
    </row>
    <row r="1054" ht="55.5" customHeight="1">
      <c r="A1054" s="134"/>
      <c r="B1054" s="134"/>
      <c r="C1054" s="134"/>
      <c r="D1054" s="134"/>
      <c r="E1054" s="136"/>
      <c r="F1054" s="134"/>
      <c r="G1054" s="134"/>
      <c r="H1054" s="134"/>
    </row>
    <row r="1055" ht="55.5" customHeight="1">
      <c r="A1055" s="134"/>
      <c r="B1055" s="134"/>
      <c r="C1055" s="134"/>
      <c r="D1055" s="134"/>
      <c r="E1055" s="136"/>
      <c r="F1055" s="134"/>
      <c r="G1055" s="134"/>
      <c r="H1055" s="134"/>
    </row>
    <row r="1056" ht="55.5" customHeight="1">
      <c r="A1056" s="134"/>
      <c r="B1056" s="134"/>
      <c r="C1056" s="134"/>
      <c r="D1056" s="134"/>
      <c r="E1056" s="136"/>
      <c r="F1056" s="134"/>
      <c r="G1056" s="134"/>
      <c r="H1056" s="134"/>
    </row>
    <row r="1057" ht="55.5" customHeight="1">
      <c r="A1057" s="134"/>
      <c r="B1057" s="134"/>
      <c r="C1057" s="134"/>
      <c r="D1057" s="134"/>
      <c r="E1057" s="136"/>
      <c r="F1057" s="134"/>
      <c r="G1057" s="134"/>
      <c r="H1057" s="134"/>
    </row>
    <row r="1058" ht="55.5" customHeight="1">
      <c r="A1058" s="134"/>
      <c r="B1058" s="134"/>
      <c r="C1058" s="134"/>
      <c r="D1058" s="134"/>
      <c r="E1058" s="136"/>
      <c r="F1058" s="134"/>
      <c r="G1058" s="134"/>
      <c r="H1058" s="134"/>
    </row>
    <row r="1059" ht="55.5" customHeight="1">
      <c r="A1059" s="134"/>
      <c r="B1059" s="134"/>
      <c r="C1059" s="134"/>
      <c r="D1059" s="134"/>
      <c r="E1059" s="136"/>
      <c r="F1059" s="134"/>
      <c r="G1059" s="134"/>
      <c r="H1059" s="134"/>
    </row>
    <row r="1060" ht="55.5" customHeight="1">
      <c r="A1060" s="134"/>
      <c r="B1060" s="134"/>
      <c r="C1060" s="134"/>
      <c r="D1060" s="134"/>
      <c r="E1060" s="136"/>
      <c r="F1060" s="134"/>
      <c r="G1060" s="134"/>
      <c r="H1060" s="134"/>
    </row>
    <row r="1061" ht="55.5" customHeight="1">
      <c r="A1061" s="134"/>
      <c r="B1061" s="134"/>
      <c r="C1061" s="134"/>
      <c r="D1061" s="134"/>
      <c r="E1061" s="136"/>
      <c r="F1061" s="134"/>
      <c r="G1061" s="134"/>
      <c r="H1061" s="134"/>
    </row>
    <row r="1062" ht="55.5" customHeight="1">
      <c r="A1062" s="134"/>
      <c r="B1062" s="134"/>
      <c r="C1062" s="134"/>
      <c r="D1062" s="134"/>
      <c r="E1062" s="136"/>
      <c r="F1062" s="134"/>
      <c r="G1062" s="134"/>
      <c r="H1062" s="134"/>
    </row>
    <row r="1063" ht="55.5" customHeight="1">
      <c r="A1063" s="134"/>
      <c r="B1063" s="134"/>
      <c r="C1063" s="134"/>
      <c r="D1063" s="134"/>
      <c r="E1063" s="136"/>
      <c r="F1063" s="134"/>
      <c r="G1063" s="134"/>
      <c r="H1063" s="134"/>
    </row>
    <row r="1064" ht="55.5" customHeight="1">
      <c r="A1064" s="134"/>
      <c r="B1064" s="134"/>
      <c r="C1064" s="134"/>
      <c r="D1064" s="134"/>
      <c r="E1064" s="136"/>
      <c r="F1064" s="134"/>
      <c r="G1064" s="134"/>
      <c r="H1064" s="134"/>
    </row>
    <row r="1065" ht="55.5" customHeight="1">
      <c r="A1065" s="134"/>
      <c r="B1065" s="134"/>
      <c r="C1065" s="134"/>
      <c r="D1065" s="134"/>
      <c r="E1065" s="136"/>
      <c r="F1065" s="134"/>
      <c r="G1065" s="134"/>
      <c r="H1065" s="134"/>
    </row>
    <row r="1066" ht="55.5" customHeight="1">
      <c r="A1066" s="134"/>
      <c r="B1066" s="134"/>
      <c r="C1066" s="134"/>
      <c r="D1066" s="134"/>
      <c r="E1066" s="136"/>
      <c r="F1066" s="134"/>
      <c r="G1066" s="134"/>
      <c r="H1066" s="134"/>
    </row>
    <row r="1067" ht="55.5" customHeight="1">
      <c r="A1067" s="134"/>
      <c r="B1067" s="134"/>
      <c r="C1067" s="134"/>
      <c r="D1067" s="134"/>
      <c r="E1067" s="136"/>
      <c r="F1067" s="134"/>
      <c r="G1067" s="134"/>
      <c r="H1067" s="134"/>
    </row>
    <row r="1068" ht="55.5" customHeight="1">
      <c r="A1068" s="134"/>
      <c r="B1068" s="134"/>
      <c r="C1068" s="134"/>
      <c r="D1068" s="134"/>
      <c r="E1068" s="136"/>
      <c r="F1068" s="134"/>
      <c r="G1068" s="134"/>
      <c r="H1068" s="134"/>
    </row>
    <row r="1069" ht="55.5" customHeight="1">
      <c r="A1069" s="134"/>
      <c r="B1069" s="134"/>
      <c r="C1069" s="134"/>
      <c r="D1069" s="134"/>
      <c r="E1069" s="136"/>
      <c r="F1069" s="134"/>
      <c r="G1069" s="134"/>
      <c r="H1069" s="134"/>
    </row>
    <row r="1070" ht="55.5" customHeight="1">
      <c r="A1070" s="134"/>
      <c r="B1070" s="134"/>
      <c r="C1070" s="134"/>
      <c r="D1070" s="134"/>
      <c r="E1070" s="136"/>
      <c r="F1070" s="134"/>
      <c r="G1070" s="134"/>
      <c r="H1070" s="134"/>
    </row>
    <row r="1071" ht="55.5" customHeight="1">
      <c r="A1071" s="134"/>
      <c r="B1071" s="134"/>
      <c r="C1071" s="134"/>
      <c r="D1071" s="134"/>
      <c r="E1071" s="136"/>
      <c r="F1071" s="134"/>
      <c r="G1071" s="134"/>
      <c r="H1071" s="134"/>
    </row>
    <row r="1072" ht="55.5" customHeight="1">
      <c r="A1072" s="134"/>
      <c r="B1072" s="134"/>
      <c r="C1072" s="134"/>
      <c r="D1072" s="134"/>
      <c r="E1072" s="136"/>
      <c r="F1072" s="134"/>
      <c r="G1072" s="134"/>
      <c r="H1072" s="134"/>
    </row>
    <row r="1073" ht="55.5" customHeight="1">
      <c r="A1073" s="134"/>
      <c r="B1073" s="134"/>
      <c r="C1073" s="134"/>
      <c r="D1073" s="134"/>
      <c r="E1073" s="136"/>
      <c r="F1073" s="134"/>
      <c r="G1073" s="134"/>
      <c r="H1073" s="134"/>
    </row>
    <row r="1074" ht="55.5" customHeight="1">
      <c r="A1074" s="134"/>
      <c r="B1074" s="134"/>
      <c r="C1074" s="134"/>
      <c r="D1074" s="134"/>
      <c r="E1074" s="136"/>
      <c r="F1074" s="134"/>
      <c r="G1074" s="134"/>
      <c r="H1074" s="134"/>
    </row>
    <row r="1075" ht="55.5" customHeight="1">
      <c r="A1075" s="134"/>
      <c r="B1075" s="134"/>
      <c r="C1075" s="134"/>
      <c r="D1075" s="134"/>
      <c r="E1075" s="136"/>
      <c r="F1075" s="134"/>
      <c r="G1075" s="134"/>
      <c r="H1075" s="134"/>
    </row>
    <row r="1076" ht="55.5" customHeight="1">
      <c r="A1076" s="134"/>
      <c r="B1076" s="134"/>
      <c r="C1076" s="134"/>
      <c r="D1076" s="134"/>
      <c r="E1076" s="136"/>
      <c r="F1076" s="134"/>
      <c r="G1076" s="134"/>
      <c r="H1076" s="134"/>
    </row>
    <row r="1077" ht="55.5" customHeight="1">
      <c r="A1077" s="134"/>
      <c r="B1077" s="134"/>
      <c r="C1077" s="134"/>
      <c r="D1077" s="134"/>
      <c r="E1077" s="136"/>
      <c r="F1077" s="134"/>
      <c r="G1077" s="134"/>
      <c r="H1077" s="134"/>
    </row>
    <row r="1078" ht="55.5" customHeight="1">
      <c r="A1078" s="134"/>
      <c r="B1078" s="134"/>
      <c r="C1078" s="134"/>
      <c r="D1078" s="134"/>
      <c r="E1078" s="136"/>
      <c r="F1078" s="134"/>
      <c r="G1078" s="134"/>
      <c r="H1078" s="134"/>
    </row>
    <row r="1079" ht="55.5" customHeight="1">
      <c r="A1079" s="134"/>
      <c r="B1079" s="134"/>
      <c r="C1079" s="134"/>
      <c r="D1079" s="134"/>
      <c r="E1079" s="136"/>
      <c r="F1079" s="134"/>
      <c r="G1079" s="134"/>
      <c r="H1079" s="134"/>
    </row>
    <row r="1080" ht="55.5" customHeight="1">
      <c r="A1080" s="134"/>
      <c r="B1080" s="134"/>
      <c r="C1080" s="134"/>
      <c r="D1080" s="134"/>
      <c r="E1080" s="136"/>
      <c r="F1080" s="134"/>
      <c r="G1080" s="134"/>
      <c r="H1080" s="134"/>
    </row>
    <row r="1081" ht="55.5" customHeight="1">
      <c r="A1081" s="134"/>
      <c r="B1081" s="134"/>
      <c r="C1081" s="134"/>
      <c r="D1081" s="134"/>
      <c r="E1081" s="136"/>
      <c r="F1081" s="134"/>
      <c r="G1081" s="134"/>
      <c r="H1081" s="134"/>
    </row>
    <row r="1082" ht="55.5" customHeight="1">
      <c r="A1082" s="134"/>
      <c r="B1082" s="134"/>
      <c r="C1082" s="134"/>
      <c r="D1082" s="134"/>
      <c r="E1082" s="136"/>
      <c r="F1082" s="134"/>
      <c r="G1082" s="134"/>
      <c r="H1082" s="134"/>
    </row>
    <row r="1083" ht="55.5" customHeight="1">
      <c r="A1083" s="134"/>
      <c r="B1083" s="134"/>
      <c r="C1083" s="134"/>
      <c r="D1083" s="134"/>
      <c r="E1083" s="136"/>
      <c r="F1083" s="134"/>
      <c r="G1083" s="134"/>
      <c r="H1083" s="134"/>
    </row>
    <row r="1084" ht="55.5" customHeight="1">
      <c r="A1084" s="134"/>
      <c r="B1084" s="134"/>
      <c r="C1084" s="134"/>
      <c r="D1084" s="134"/>
      <c r="E1084" s="136"/>
      <c r="F1084" s="134"/>
      <c r="G1084" s="134"/>
      <c r="H1084" s="134"/>
    </row>
    <row r="1085" ht="55.5" customHeight="1">
      <c r="A1085" s="134"/>
      <c r="B1085" s="134"/>
      <c r="C1085" s="134"/>
      <c r="D1085" s="134"/>
      <c r="E1085" s="136"/>
      <c r="F1085" s="134"/>
      <c r="G1085" s="134"/>
      <c r="H1085" s="134"/>
    </row>
    <row r="1086" ht="55.5" customHeight="1">
      <c r="A1086" s="134"/>
      <c r="B1086" s="134"/>
      <c r="C1086" s="134"/>
      <c r="D1086" s="134"/>
      <c r="E1086" s="136"/>
      <c r="F1086" s="134"/>
      <c r="G1086" s="134"/>
      <c r="H1086" s="134"/>
    </row>
    <row r="1087" ht="55.5" customHeight="1">
      <c r="A1087" s="134"/>
      <c r="B1087" s="134"/>
      <c r="C1087" s="134"/>
      <c r="D1087" s="134"/>
      <c r="E1087" s="136"/>
      <c r="F1087" s="134"/>
      <c r="G1087" s="134"/>
      <c r="H1087" s="134"/>
    </row>
    <row r="1088" ht="55.5" customHeight="1">
      <c r="A1088" s="134"/>
      <c r="B1088" s="134"/>
      <c r="C1088" s="134"/>
      <c r="D1088" s="134"/>
      <c r="E1088" s="136"/>
      <c r="F1088" s="134"/>
      <c r="G1088" s="134"/>
      <c r="H1088" s="134"/>
    </row>
    <row r="1089" ht="55.5" customHeight="1">
      <c r="A1089" s="134"/>
      <c r="B1089" s="134"/>
      <c r="C1089" s="134"/>
      <c r="D1089" s="134"/>
      <c r="E1089" s="136"/>
      <c r="F1089" s="134"/>
      <c r="G1089" s="134"/>
      <c r="H1089" s="134"/>
    </row>
    <row r="1090" ht="55.5" customHeight="1">
      <c r="A1090" s="134"/>
      <c r="B1090" s="134"/>
      <c r="C1090" s="134"/>
      <c r="D1090" s="134"/>
      <c r="E1090" s="136"/>
      <c r="F1090" s="134"/>
      <c r="G1090" s="134"/>
      <c r="H1090" s="134"/>
    </row>
    <row r="1091" ht="55.5" customHeight="1">
      <c r="A1091" s="134"/>
      <c r="B1091" s="134"/>
      <c r="C1091" s="134"/>
      <c r="D1091" s="134"/>
      <c r="E1091" s="136"/>
      <c r="F1091" s="134"/>
      <c r="G1091" s="134"/>
      <c r="H1091" s="134"/>
    </row>
    <row r="1092" ht="55.5" customHeight="1">
      <c r="A1092" s="134"/>
      <c r="B1092" s="134"/>
      <c r="C1092" s="134"/>
      <c r="D1092" s="134"/>
      <c r="E1092" s="136"/>
      <c r="F1092" s="134"/>
      <c r="G1092" s="134"/>
      <c r="H1092" s="134"/>
    </row>
    <row r="1093" ht="55.5" customHeight="1">
      <c r="A1093" s="134"/>
      <c r="B1093" s="134"/>
      <c r="C1093" s="134"/>
      <c r="D1093" s="134"/>
      <c r="E1093" s="136"/>
      <c r="F1093" s="134"/>
      <c r="G1093" s="134"/>
      <c r="H1093" s="134"/>
    </row>
    <row r="1094" ht="55.5" customHeight="1">
      <c r="A1094" s="134"/>
      <c r="B1094" s="134"/>
      <c r="C1094" s="134"/>
      <c r="D1094" s="134"/>
      <c r="E1094" s="136"/>
      <c r="F1094" s="134"/>
      <c r="G1094" s="134"/>
      <c r="H1094" s="134"/>
    </row>
    <row r="1095" ht="55.5" customHeight="1">
      <c r="A1095" s="134"/>
      <c r="B1095" s="134"/>
      <c r="C1095" s="134"/>
      <c r="D1095" s="134"/>
      <c r="E1095" s="136"/>
      <c r="F1095" s="134"/>
      <c r="G1095" s="134"/>
      <c r="H1095" s="134"/>
    </row>
    <row r="1096" ht="55.5" customHeight="1">
      <c r="A1096" s="134"/>
      <c r="B1096" s="134"/>
      <c r="C1096" s="134"/>
      <c r="D1096" s="134"/>
      <c r="E1096" s="136"/>
      <c r="F1096" s="134"/>
      <c r="G1096" s="134"/>
      <c r="H1096" s="134"/>
    </row>
    <row r="1097" ht="55.5" customHeight="1">
      <c r="A1097" s="134"/>
      <c r="B1097" s="134"/>
      <c r="C1097" s="134"/>
      <c r="D1097" s="134"/>
      <c r="E1097" s="136"/>
      <c r="F1097" s="134"/>
      <c r="G1097" s="134"/>
      <c r="H1097" s="134"/>
    </row>
    <row r="1098" ht="55.5" customHeight="1">
      <c r="A1098" s="134"/>
      <c r="B1098" s="134"/>
      <c r="C1098" s="134"/>
      <c r="D1098" s="134"/>
      <c r="E1098" s="136"/>
      <c r="F1098" s="134"/>
      <c r="G1098" s="134"/>
      <c r="H1098" s="134"/>
    </row>
    <row r="1099" ht="55.5" customHeight="1">
      <c r="A1099" s="134"/>
      <c r="B1099" s="134"/>
      <c r="C1099" s="134"/>
      <c r="D1099" s="134"/>
      <c r="E1099" s="136"/>
      <c r="F1099" s="134"/>
      <c r="G1099" s="134"/>
      <c r="H1099" s="134"/>
    </row>
    <row r="1100" ht="55.5" customHeight="1">
      <c r="A1100" s="134"/>
      <c r="B1100" s="134"/>
      <c r="C1100" s="134"/>
      <c r="D1100" s="134"/>
      <c r="E1100" s="136"/>
      <c r="F1100" s="134"/>
      <c r="G1100" s="134"/>
      <c r="H1100" s="134"/>
    </row>
    <row r="1101" ht="55.5" customHeight="1">
      <c r="A1101" s="134"/>
      <c r="B1101" s="134"/>
      <c r="C1101" s="134"/>
      <c r="D1101" s="134"/>
      <c r="E1101" s="136"/>
      <c r="F1101" s="134"/>
      <c r="G1101" s="134"/>
      <c r="H1101" s="134"/>
    </row>
    <row r="1102" ht="55.5" customHeight="1">
      <c r="A1102" s="134"/>
      <c r="B1102" s="134"/>
      <c r="C1102" s="134"/>
      <c r="D1102" s="134"/>
      <c r="E1102" s="136"/>
      <c r="F1102" s="134"/>
      <c r="G1102" s="134"/>
      <c r="H1102" s="134"/>
    </row>
    <row r="1103" ht="55.5" customHeight="1">
      <c r="A1103" s="134"/>
      <c r="B1103" s="134"/>
      <c r="C1103" s="134"/>
      <c r="D1103" s="134"/>
      <c r="E1103" s="136"/>
      <c r="F1103" s="134"/>
      <c r="G1103" s="134"/>
      <c r="H1103" s="134"/>
    </row>
    <row r="1104" ht="55.5" customHeight="1">
      <c r="A1104" s="134"/>
      <c r="B1104" s="134"/>
      <c r="C1104" s="134"/>
      <c r="D1104" s="134"/>
      <c r="E1104" s="136"/>
      <c r="F1104" s="134"/>
      <c r="G1104" s="134"/>
      <c r="H1104" s="134"/>
    </row>
    <row r="1105" ht="55.5" customHeight="1">
      <c r="A1105" s="134"/>
      <c r="B1105" s="134"/>
      <c r="C1105" s="134"/>
      <c r="D1105" s="134"/>
      <c r="E1105" s="136"/>
      <c r="F1105" s="134"/>
      <c r="G1105" s="134"/>
      <c r="H1105" s="134"/>
    </row>
    <row r="1106" ht="55.5" customHeight="1">
      <c r="A1106" s="134"/>
      <c r="B1106" s="134"/>
      <c r="C1106" s="134"/>
      <c r="D1106" s="134"/>
      <c r="E1106" s="136"/>
      <c r="F1106" s="134"/>
      <c r="G1106" s="134"/>
      <c r="H1106" s="134"/>
    </row>
    <row r="1107" ht="55.5" customHeight="1">
      <c r="A1107" s="134"/>
      <c r="B1107" s="134"/>
      <c r="C1107" s="134"/>
      <c r="D1107" s="134"/>
      <c r="E1107" s="136"/>
      <c r="F1107" s="134"/>
      <c r="G1107" s="134"/>
      <c r="H1107" s="134"/>
    </row>
    <row r="1108" ht="55.5" customHeight="1">
      <c r="A1108" s="134"/>
      <c r="B1108" s="134"/>
      <c r="C1108" s="134"/>
      <c r="D1108" s="134"/>
      <c r="E1108" s="136"/>
      <c r="F1108" s="134"/>
      <c r="G1108" s="134"/>
      <c r="H1108" s="134"/>
    </row>
    <row r="1109" ht="55.5" customHeight="1">
      <c r="A1109" s="134"/>
      <c r="B1109" s="134"/>
      <c r="C1109" s="134"/>
      <c r="D1109" s="134"/>
      <c r="E1109" s="136"/>
      <c r="F1109" s="134"/>
      <c r="G1109" s="134"/>
      <c r="H1109" s="134"/>
    </row>
    <row r="1110" ht="55.5" customHeight="1">
      <c r="A1110" s="134"/>
      <c r="B1110" s="134"/>
      <c r="C1110" s="134"/>
      <c r="D1110" s="134"/>
      <c r="E1110" s="136"/>
      <c r="F1110" s="134"/>
      <c r="G1110" s="134"/>
      <c r="H1110" s="134"/>
    </row>
    <row r="1111" ht="55.5" customHeight="1">
      <c r="A1111" s="134"/>
      <c r="B1111" s="134"/>
      <c r="C1111" s="134"/>
      <c r="D1111" s="134"/>
      <c r="E1111" s="136"/>
      <c r="F1111" s="134"/>
      <c r="G1111" s="134"/>
      <c r="H1111" s="134"/>
    </row>
    <row r="1112" ht="55.5" customHeight="1">
      <c r="A1112" s="134"/>
      <c r="B1112" s="134"/>
      <c r="C1112" s="134"/>
      <c r="D1112" s="134"/>
      <c r="E1112" s="136"/>
      <c r="F1112" s="134"/>
      <c r="G1112" s="134"/>
      <c r="H1112" s="134"/>
    </row>
    <row r="1113" ht="55.5" customHeight="1">
      <c r="A1113" s="134"/>
      <c r="B1113" s="134"/>
      <c r="C1113" s="134"/>
      <c r="D1113" s="134"/>
      <c r="E1113" s="136"/>
      <c r="F1113" s="134"/>
      <c r="G1113" s="134"/>
      <c r="H1113" s="134"/>
    </row>
    <row r="1114" ht="55.5" customHeight="1">
      <c r="A1114" s="134"/>
      <c r="B1114" s="134"/>
      <c r="C1114" s="134"/>
      <c r="D1114" s="134"/>
      <c r="E1114" s="136"/>
      <c r="F1114" s="134"/>
      <c r="G1114" s="134"/>
      <c r="H1114" s="134"/>
    </row>
    <row r="1115" ht="55.5" customHeight="1">
      <c r="A1115" s="134"/>
      <c r="B1115" s="134"/>
      <c r="C1115" s="134"/>
      <c r="D1115" s="134"/>
      <c r="E1115" s="136"/>
      <c r="F1115" s="134"/>
      <c r="G1115" s="134"/>
      <c r="H1115" s="134"/>
    </row>
    <row r="1116" ht="55.5" customHeight="1">
      <c r="A1116" s="134"/>
      <c r="B1116" s="134"/>
      <c r="C1116" s="134"/>
      <c r="D1116" s="134"/>
      <c r="E1116" s="136"/>
      <c r="F1116" s="134"/>
      <c r="G1116" s="134"/>
      <c r="H1116" s="134"/>
    </row>
    <row r="1117" ht="55.5" customHeight="1">
      <c r="A1117" s="134"/>
      <c r="B1117" s="134"/>
      <c r="C1117" s="134"/>
      <c r="D1117" s="134"/>
      <c r="E1117" s="136"/>
      <c r="F1117" s="134"/>
      <c r="G1117" s="134"/>
      <c r="H1117" s="134"/>
    </row>
    <row r="1118" ht="55.5" customHeight="1">
      <c r="A1118" s="134"/>
      <c r="B1118" s="134"/>
      <c r="C1118" s="134"/>
      <c r="D1118" s="134"/>
      <c r="E1118" s="136"/>
      <c r="F1118" s="134"/>
      <c r="G1118" s="134"/>
      <c r="H1118" s="134"/>
    </row>
    <row r="1119" ht="55.5" customHeight="1">
      <c r="A1119" s="134"/>
      <c r="B1119" s="134"/>
      <c r="C1119" s="134"/>
      <c r="D1119" s="134"/>
      <c r="E1119" s="136"/>
      <c r="F1119" s="134"/>
      <c r="G1119" s="134"/>
      <c r="H1119" s="134"/>
    </row>
    <row r="1120" ht="55.5" customHeight="1">
      <c r="A1120" s="134"/>
      <c r="B1120" s="134"/>
      <c r="C1120" s="134"/>
      <c r="D1120" s="134"/>
      <c r="E1120" s="136"/>
      <c r="F1120" s="134"/>
      <c r="G1120" s="134"/>
      <c r="H1120" s="134"/>
    </row>
    <row r="1121" ht="55.5" customHeight="1">
      <c r="A1121" s="134"/>
      <c r="B1121" s="134"/>
      <c r="C1121" s="134"/>
      <c r="D1121" s="134"/>
      <c r="E1121" s="136"/>
      <c r="F1121" s="134"/>
      <c r="G1121" s="134"/>
      <c r="H1121" s="134"/>
    </row>
    <row r="1122" ht="55.5" customHeight="1">
      <c r="A1122" s="134"/>
      <c r="B1122" s="134"/>
      <c r="C1122" s="134"/>
      <c r="D1122" s="134"/>
      <c r="E1122" s="136"/>
      <c r="F1122" s="134"/>
      <c r="G1122" s="134"/>
      <c r="H1122" s="134"/>
    </row>
    <row r="1123" ht="55.5" customHeight="1">
      <c r="A1123" s="134"/>
      <c r="B1123" s="134"/>
      <c r="C1123" s="134"/>
      <c r="D1123" s="134"/>
      <c r="E1123" s="136"/>
      <c r="F1123" s="134"/>
      <c r="G1123" s="134"/>
      <c r="H1123" s="134"/>
    </row>
    <row r="1124" ht="55.5" customHeight="1">
      <c r="A1124" s="134"/>
      <c r="B1124" s="134"/>
      <c r="C1124" s="134"/>
      <c r="D1124" s="134"/>
      <c r="E1124" s="136"/>
      <c r="F1124" s="134"/>
      <c r="G1124" s="134"/>
      <c r="H1124" s="134"/>
    </row>
    <row r="1125" ht="55.5" customHeight="1">
      <c r="A1125" s="134"/>
      <c r="B1125" s="134"/>
      <c r="C1125" s="134"/>
      <c r="D1125" s="134"/>
      <c r="E1125" s="136"/>
      <c r="F1125" s="134"/>
      <c r="G1125" s="134"/>
      <c r="H1125" s="134"/>
    </row>
    <row r="1126" ht="55.5" customHeight="1">
      <c r="A1126" s="134"/>
      <c r="B1126" s="134"/>
      <c r="C1126" s="134"/>
      <c r="D1126" s="134"/>
      <c r="E1126" s="136"/>
      <c r="F1126" s="134"/>
      <c r="G1126" s="134"/>
      <c r="H1126" s="134"/>
    </row>
    <row r="1127" ht="55.5" customHeight="1">
      <c r="A1127" s="134"/>
      <c r="B1127" s="134"/>
      <c r="C1127" s="134"/>
      <c r="D1127" s="134"/>
      <c r="E1127" s="136"/>
      <c r="F1127" s="134"/>
      <c r="G1127" s="134"/>
      <c r="H1127" s="134"/>
    </row>
    <row r="1128" ht="55.5" customHeight="1">
      <c r="A1128" s="134"/>
      <c r="B1128" s="134"/>
      <c r="C1128" s="134"/>
      <c r="D1128" s="134"/>
      <c r="E1128" s="136"/>
      <c r="F1128" s="134"/>
      <c r="G1128" s="134"/>
      <c r="H1128" s="134"/>
    </row>
    <row r="1129" ht="55.5" customHeight="1">
      <c r="A1129" s="134"/>
      <c r="B1129" s="134"/>
      <c r="C1129" s="134"/>
      <c r="D1129" s="134"/>
      <c r="E1129" s="136"/>
      <c r="F1129" s="134"/>
      <c r="G1129" s="134"/>
      <c r="H1129" s="134"/>
    </row>
    <row r="1130" ht="55.5" customHeight="1">
      <c r="A1130" s="134"/>
      <c r="B1130" s="134"/>
      <c r="C1130" s="134"/>
      <c r="D1130" s="134"/>
      <c r="E1130" s="136"/>
      <c r="F1130" s="134"/>
      <c r="G1130" s="134"/>
      <c r="H1130" s="134"/>
    </row>
    <row r="1131" ht="55.5" customHeight="1">
      <c r="A1131" s="134"/>
      <c r="B1131" s="134"/>
      <c r="C1131" s="134"/>
      <c r="D1131" s="134"/>
      <c r="E1131" s="136"/>
      <c r="F1131" s="134"/>
      <c r="G1131" s="134"/>
      <c r="H1131" s="134"/>
    </row>
    <row r="1132" ht="55.5" customHeight="1">
      <c r="A1132" s="134"/>
      <c r="B1132" s="134"/>
      <c r="C1132" s="134"/>
      <c r="D1132" s="134"/>
      <c r="E1132" s="136"/>
      <c r="F1132" s="134"/>
      <c r="G1132" s="134"/>
      <c r="H1132" s="134"/>
    </row>
    <row r="1133" ht="55.5" customHeight="1">
      <c r="A1133" s="134"/>
      <c r="B1133" s="134"/>
      <c r="C1133" s="134"/>
      <c r="D1133" s="134"/>
      <c r="E1133" s="136"/>
      <c r="F1133" s="134"/>
      <c r="G1133" s="134"/>
      <c r="H1133" s="134"/>
    </row>
    <row r="1134" ht="55.5" customHeight="1">
      <c r="A1134" s="134"/>
      <c r="B1134" s="134"/>
      <c r="C1134" s="134"/>
      <c r="D1134" s="134"/>
      <c r="E1134" s="136"/>
      <c r="F1134" s="134"/>
      <c r="G1134" s="134"/>
      <c r="H1134" s="134"/>
    </row>
    <row r="1135" ht="55.5" customHeight="1">
      <c r="A1135" s="134"/>
      <c r="B1135" s="134"/>
      <c r="C1135" s="134"/>
      <c r="D1135" s="134"/>
      <c r="E1135" s="136"/>
      <c r="F1135" s="134"/>
      <c r="G1135" s="134"/>
      <c r="H1135" s="134"/>
    </row>
    <row r="1136" ht="55.5" customHeight="1">
      <c r="A1136" s="134"/>
      <c r="B1136" s="134"/>
      <c r="C1136" s="134"/>
      <c r="D1136" s="134"/>
      <c r="E1136" s="136"/>
      <c r="F1136" s="134"/>
      <c r="G1136" s="134"/>
      <c r="H1136" s="134"/>
    </row>
    <row r="1137" ht="55.5" customHeight="1">
      <c r="A1137" s="134"/>
      <c r="B1137" s="134"/>
      <c r="C1137" s="134"/>
      <c r="D1137" s="134"/>
      <c r="E1137" s="136"/>
      <c r="F1137" s="134"/>
      <c r="G1137" s="134"/>
      <c r="H1137" s="134"/>
    </row>
    <row r="1138" ht="55.5" customHeight="1">
      <c r="A1138" s="134"/>
      <c r="B1138" s="134"/>
      <c r="C1138" s="134"/>
      <c r="D1138" s="134"/>
      <c r="E1138" s="136"/>
      <c r="F1138" s="134"/>
      <c r="G1138" s="134"/>
      <c r="H1138" s="134"/>
    </row>
    <row r="1139" ht="55.5" customHeight="1">
      <c r="A1139" s="134"/>
      <c r="B1139" s="134"/>
      <c r="C1139" s="134"/>
      <c r="D1139" s="134"/>
      <c r="E1139" s="136"/>
      <c r="F1139" s="134"/>
      <c r="G1139" s="134"/>
      <c r="H1139" s="134"/>
    </row>
    <row r="1140" ht="55.5" customHeight="1">
      <c r="A1140" s="134"/>
      <c r="B1140" s="134"/>
      <c r="C1140" s="134"/>
      <c r="D1140" s="134"/>
      <c r="E1140" s="136"/>
      <c r="F1140" s="134"/>
      <c r="G1140" s="134"/>
      <c r="H1140" s="134"/>
    </row>
    <row r="1141" ht="55.5" customHeight="1">
      <c r="A1141" s="134"/>
      <c r="B1141" s="134"/>
      <c r="C1141" s="134"/>
      <c r="D1141" s="134"/>
      <c r="E1141" s="136"/>
      <c r="F1141" s="134"/>
      <c r="G1141" s="134"/>
      <c r="H1141" s="134"/>
    </row>
    <row r="1142" ht="55.5" customHeight="1">
      <c r="A1142" s="134"/>
      <c r="B1142" s="134"/>
      <c r="C1142" s="134"/>
      <c r="D1142" s="134"/>
      <c r="E1142" s="136"/>
      <c r="F1142" s="134"/>
      <c r="G1142" s="134"/>
      <c r="H1142" s="134"/>
    </row>
    <row r="1143" ht="55.5" customHeight="1">
      <c r="A1143" s="134"/>
      <c r="B1143" s="134"/>
      <c r="C1143" s="134"/>
      <c r="D1143" s="134"/>
      <c r="E1143" s="136"/>
      <c r="F1143" s="134"/>
      <c r="G1143" s="134"/>
      <c r="H1143" s="134"/>
    </row>
    <row r="1144" ht="55.5" customHeight="1">
      <c r="A1144" s="134"/>
      <c r="B1144" s="134"/>
      <c r="C1144" s="134"/>
      <c r="D1144" s="134"/>
      <c r="E1144" s="136"/>
      <c r="F1144" s="134"/>
      <c r="G1144" s="134"/>
      <c r="H1144" s="134"/>
    </row>
    <row r="1145" ht="55.5" customHeight="1">
      <c r="A1145" s="134"/>
      <c r="B1145" s="134"/>
      <c r="C1145" s="134"/>
      <c r="D1145" s="134"/>
      <c r="E1145" s="136"/>
      <c r="F1145" s="134"/>
      <c r="G1145" s="134"/>
      <c r="H1145" s="134"/>
    </row>
    <row r="1146" ht="55.5" customHeight="1">
      <c r="A1146" s="134"/>
      <c r="B1146" s="134"/>
      <c r="C1146" s="134"/>
      <c r="D1146" s="134"/>
      <c r="E1146" s="136"/>
      <c r="F1146" s="134"/>
      <c r="G1146" s="134"/>
      <c r="H1146" s="134"/>
    </row>
    <row r="1147" ht="55.5" customHeight="1">
      <c r="A1147" s="134"/>
      <c r="B1147" s="134"/>
      <c r="C1147" s="134"/>
      <c r="D1147" s="134"/>
      <c r="E1147" s="136"/>
      <c r="F1147" s="134"/>
      <c r="G1147" s="134"/>
      <c r="H1147" s="134"/>
    </row>
    <row r="1148" ht="55.5" customHeight="1">
      <c r="A1148" s="134"/>
      <c r="B1148" s="134"/>
      <c r="C1148" s="134"/>
      <c r="D1148" s="134"/>
      <c r="E1148" s="136"/>
      <c r="F1148" s="134"/>
      <c r="G1148" s="134"/>
      <c r="H1148" s="134"/>
    </row>
    <row r="1149" ht="55.5" customHeight="1">
      <c r="A1149" s="134"/>
      <c r="B1149" s="134"/>
      <c r="C1149" s="134"/>
      <c r="D1149" s="134"/>
      <c r="E1149" s="136"/>
      <c r="F1149" s="134"/>
      <c r="G1149" s="134"/>
      <c r="H1149" s="134"/>
    </row>
    <row r="1150" ht="55.5" customHeight="1">
      <c r="A1150" s="134"/>
      <c r="B1150" s="134"/>
      <c r="C1150" s="134"/>
      <c r="D1150" s="134"/>
      <c r="E1150" s="136"/>
      <c r="F1150" s="134"/>
      <c r="G1150" s="134"/>
      <c r="H1150" s="134"/>
    </row>
    <row r="1151" ht="55.5" customHeight="1">
      <c r="A1151" s="134"/>
      <c r="B1151" s="134"/>
      <c r="C1151" s="134"/>
      <c r="D1151" s="134"/>
      <c r="E1151" s="136"/>
      <c r="F1151" s="134"/>
      <c r="G1151" s="134"/>
      <c r="H1151" s="134"/>
    </row>
    <row r="1152" ht="55.5" customHeight="1">
      <c r="A1152" s="134"/>
      <c r="B1152" s="134"/>
      <c r="C1152" s="134"/>
      <c r="D1152" s="134"/>
      <c r="E1152" s="136"/>
      <c r="F1152" s="134"/>
      <c r="G1152" s="134"/>
      <c r="H1152" s="134"/>
    </row>
    <row r="1153" ht="55.5" customHeight="1">
      <c r="A1153" s="134"/>
      <c r="B1153" s="134"/>
      <c r="C1153" s="134"/>
      <c r="D1153" s="134"/>
      <c r="E1153" s="136"/>
      <c r="F1153" s="134"/>
      <c r="G1153" s="134"/>
      <c r="H1153" s="134"/>
    </row>
    <row r="1154" ht="55.5" customHeight="1">
      <c r="A1154" s="134"/>
      <c r="B1154" s="134"/>
      <c r="C1154" s="134"/>
      <c r="D1154" s="134"/>
      <c r="E1154" s="136"/>
      <c r="F1154" s="134"/>
      <c r="G1154" s="134"/>
      <c r="H1154" s="134"/>
    </row>
    <row r="1155" ht="55.5" customHeight="1">
      <c r="A1155" s="134"/>
      <c r="B1155" s="134"/>
      <c r="C1155" s="134"/>
      <c r="D1155" s="134"/>
      <c r="E1155" s="136"/>
      <c r="F1155" s="134"/>
      <c r="G1155" s="134"/>
      <c r="H1155" s="134"/>
    </row>
    <row r="1156" ht="55.5" customHeight="1">
      <c r="A1156" s="134"/>
      <c r="B1156" s="134"/>
      <c r="C1156" s="134"/>
      <c r="D1156" s="134"/>
      <c r="E1156" s="136"/>
      <c r="F1156" s="134"/>
      <c r="G1156" s="134"/>
      <c r="H1156" s="134"/>
    </row>
    <row r="1157" ht="55.5" customHeight="1">
      <c r="A1157" s="134"/>
      <c r="B1157" s="134"/>
      <c r="C1157" s="134"/>
      <c r="D1157" s="134"/>
      <c r="E1157" s="136"/>
      <c r="F1157" s="134"/>
      <c r="G1157" s="134"/>
      <c r="H1157" s="134"/>
    </row>
    <row r="1158" ht="55.5" customHeight="1">
      <c r="A1158" s="134"/>
      <c r="B1158" s="134"/>
      <c r="C1158" s="134"/>
      <c r="D1158" s="134"/>
      <c r="E1158" s="136"/>
      <c r="F1158" s="134"/>
      <c r="G1158" s="134"/>
      <c r="H1158" s="134"/>
    </row>
    <row r="1159" ht="55.5" customHeight="1">
      <c r="A1159" s="134"/>
      <c r="B1159" s="134"/>
      <c r="C1159" s="134"/>
      <c r="D1159" s="134"/>
      <c r="E1159" s="136"/>
      <c r="F1159" s="134"/>
      <c r="G1159" s="134"/>
      <c r="H1159" s="134"/>
    </row>
    <row r="1160" ht="55.5" customHeight="1">
      <c r="A1160" s="134"/>
      <c r="B1160" s="134"/>
      <c r="C1160" s="134"/>
      <c r="D1160" s="134"/>
      <c r="E1160" s="136"/>
      <c r="F1160" s="134"/>
      <c r="G1160" s="134"/>
      <c r="H1160" s="134"/>
    </row>
    <row r="1161" ht="55.5" customHeight="1">
      <c r="A1161" s="134"/>
      <c r="B1161" s="134"/>
      <c r="C1161" s="134"/>
      <c r="D1161" s="134"/>
      <c r="E1161" s="136"/>
      <c r="F1161" s="134"/>
      <c r="G1161" s="134"/>
      <c r="H1161" s="134"/>
    </row>
    <row r="1162" ht="55.5" customHeight="1">
      <c r="A1162" s="134"/>
      <c r="B1162" s="134"/>
      <c r="C1162" s="134"/>
      <c r="D1162" s="134"/>
      <c r="E1162" s="136"/>
      <c r="F1162" s="134"/>
      <c r="G1162" s="134"/>
      <c r="H1162" s="134"/>
    </row>
    <row r="1163" ht="55.5" customHeight="1">
      <c r="A1163" s="134"/>
      <c r="B1163" s="134"/>
      <c r="C1163" s="134"/>
      <c r="D1163" s="134"/>
      <c r="E1163" s="136"/>
      <c r="F1163" s="134"/>
      <c r="G1163" s="134"/>
      <c r="H1163" s="134"/>
    </row>
    <row r="1164" ht="55.5" customHeight="1">
      <c r="A1164" s="134"/>
      <c r="B1164" s="134"/>
      <c r="C1164" s="134"/>
      <c r="D1164" s="134"/>
      <c r="E1164" s="136"/>
      <c r="F1164" s="134"/>
      <c r="G1164" s="134"/>
      <c r="H1164" s="134"/>
    </row>
    <row r="1165" ht="55.5" customHeight="1">
      <c r="A1165" s="134"/>
      <c r="B1165" s="134"/>
      <c r="C1165" s="134"/>
      <c r="D1165" s="134"/>
      <c r="E1165" s="136"/>
      <c r="F1165" s="134"/>
      <c r="G1165" s="134"/>
      <c r="H1165" s="134"/>
    </row>
    <row r="1166" ht="55.5" customHeight="1">
      <c r="A1166" s="134"/>
      <c r="B1166" s="134"/>
      <c r="C1166" s="134"/>
      <c r="D1166" s="134"/>
      <c r="E1166" s="136"/>
      <c r="F1166" s="134"/>
      <c r="G1166" s="134"/>
      <c r="H1166" s="134"/>
    </row>
    <row r="1167" ht="55.5" customHeight="1">
      <c r="A1167" s="134"/>
      <c r="B1167" s="134"/>
      <c r="C1167" s="134"/>
      <c r="D1167" s="134"/>
      <c r="E1167" s="136"/>
      <c r="F1167" s="134"/>
      <c r="G1167" s="134"/>
      <c r="H1167" s="134"/>
    </row>
    <row r="1168" ht="55.5" customHeight="1">
      <c r="A1168" s="134"/>
      <c r="B1168" s="134"/>
      <c r="C1168" s="134"/>
      <c r="D1168" s="134"/>
      <c r="E1168" s="136"/>
      <c r="F1168" s="134"/>
      <c r="G1168" s="134"/>
      <c r="H1168" s="134"/>
    </row>
    <row r="1169" ht="55.5" customHeight="1">
      <c r="A1169" s="134"/>
      <c r="B1169" s="134"/>
      <c r="C1169" s="134"/>
      <c r="D1169" s="134"/>
      <c r="E1169" s="136"/>
      <c r="F1169" s="134"/>
      <c r="G1169" s="134"/>
      <c r="H1169" s="134"/>
    </row>
    <row r="1170" ht="55.5" customHeight="1">
      <c r="A1170" s="134"/>
      <c r="B1170" s="134"/>
      <c r="C1170" s="134"/>
      <c r="D1170" s="134"/>
      <c r="E1170" s="136"/>
      <c r="F1170" s="134"/>
      <c r="G1170" s="134"/>
      <c r="H1170" s="134"/>
    </row>
    <row r="1171" ht="55.5" customHeight="1">
      <c r="A1171" s="134"/>
      <c r="B1171" s="134"/>
      <c r="C1171" s="134"/>
      <c r="D1171" s="134"/>
      <c r="E1171" s="136"/>
      <c r="F1171" s="134"/>
      <c r="G1171" s="134"/>
      <c r="H1171" s="134"/>
    </row>
    <row r="1172" ht="55.5" customHeight="1">
      <c r="A1172" s="134"/>
      <c r="B1172" s="134"/>
      <c r="C1172" s="134"/>
      <c r="D1172" s="134"/>
      <c r="E1172" s="136"/>
      <c r="F1172" s="134"/>
      <c r="G1172" s="134"/>
      <c r="H1172" s="134"/>
    </row>
    <row r="1173" ht="55.5" customHeight="1">
      <c r="A1173" s="134"/>
      <c r="B1173" s="134"/>
      <c r="C1173" s="134"/>
      <c r="D1173" s="134"/>
      <c r="E1173" s="136"/>
      <c r="F1173" s="134"/>
      <c r="G1173" s="134"/>
      <c r="H1173" s="134"/>
    </row>
    <row r="1174" ht="55.5" customHeight="1">
      <c r="A1174" s="134"/>
      <c r="B1174" s="134"/>
      <c r="C1174" s="134"/>
      <c r="D1174" s="134"/>
      <c r="E1174" s="136"/>
      <c r="F1174" s="134"/>
      <c r="G1174" s="134"/>
      <c r="H1174" s="134"/>
    </row>
    <row r="1175" ht="55.5" customHeight="1">
      <c r="A1175" s="134"/>
      <c r="B1175" s="134"/>
      <c r="C1175" s="134"/>
      <c r="D1175" s="134"/>
      <c r="E1175" s="136"/>
      <c r="F1175" s="134"/>
      <c r="G1175" s="134"/>
      <c r="H1175" s="134"/>
    </row>
    <row r="1176" ht="55.5" customHeight="1">
      <c r="A1176" s="134"/>
      <c r="B1176" s="134"/>
      <c r="C1176" s="134"/>
      <c r="D1176" s="134"/>
      <c r="E1176" s="136"/>
      <c r="F1176" s="134"/>
      <c r="G1176" s="134"/>
      <c r="H1176" s="134"/>
    </row>
    <row r="1177" ht="55.5" customHeight="1">
      <c r="A1177" s="134"/>
      <c r="B1177" s="134"/>
      <c r="C1177" s="134"/>
      <c r="D1177" s="134"/>
      <c r="E1177" s="136"/>
      <c r="F1177" s="134"/>
      <c r="G1177" s="134"/>
      <c r="H1177" s="134"/>
    </row>
    <row r="1178" ht="55.5" customHeight="1">
      <c r="A1178" s="134"/>
      <c r="B1178" s="134"/>
      <c r="C1178" s="134"/>
      <c r="D1178" s="134"/>
      <c r="E1178" s="136"/>
      <c r="F1178" s="134"/>
      <c r="G1178" s="134"/>
      <c r="H1178" s="134"/>
    </row>
    <row r="1179" ht="55.5" customHeight="1">
      <c r="A1179" s="134"/>
      <c r="B1179" s="134"/>
      <c r="C1179" s="134"/>
      <c r="D1179" s="134"/>
      <c r="E1179" s="136"/>
      <c r="F1179" s="134"/>
      <c r="G1179" s="134"/>
      <c r="H1179" s="134"/>
    </row>
    <row r="1180" ht="55.5" customHeight="1">
      <c r="A1180" s="134"/>
      <c r="B1180" s="134"/>
      <c r="C1180" s="134"/>
      <c r="D1180" s="134"/>
      <c r="E1180" s="136"/>
      <c r="F1180" s="134"/>
      <c r="G1180" s="134"/>
      <c r="H1180" s="134"/>
    </row>
    <row r="1181" ht="55.5" customHeight="1">
      <c r="A1181" s="134"/>
      <c r="B1181" s="134"/>
      <c r="C1181" s="134"/>
      <c r="D1181" s="134"/>
      <c r="E1181" s="136"/>
      <c r="F1181" s="134"/>
      <c r="G1181" s="134"/>
      <c r="H1181" s="134"/>
    </row>
    <row r="1182" ht="55.5" customHeight="1">
      <c r="A1182" s="134"/>
      <c r="B1182" s="134"/>
      <c r="C1182" s="134"/>
      <c r="D1182" s="134"/>
      <c r="E1182" s="136"/>
      <c r="F1182" s="134"/>
      <c r="G1182" s="134"/>
      <c r="H1182" s="134"/>
    </row>
    <row r="1183" ht="55.5" customHeight="1">
      <c r="A1183" s="134"/>
      <c r="B1183" s="134"/>
      <c r="C1183" s="134"/>
      <c r="D1183" s="134"/>
      <c r="E1183" s="136"/>
      <c r="F1183" s="134"/>
      <c r="G1183" s="134"/>
      <c r="H1183" s="134"/>
    </row>
    <row r="1184" ht="55.5" customHeight="1">
      <c r="A1184" s="134"/>
      <c r="B1184" s="134"/>
      <c r="C1184" s="134"/>
      <c r="D1184" s="134"/>
      <c r="E1184" s="136"/>
      <c r="F1184" s="134"/>
      <c r="G1184" s="134"/>
      <c r="H1184" s="134"/>
    </row>
    <row r="1185" ht="55.5" customHeight="1">
      <c r="A1185" s="134"/>
      <c r="B1185" s="134"/>
      <c r="C1185" s="134"/>
      <c r="D1185" s="134"/>
      <c r="E1185" s="136"/>
      <c r="F1185" s="134"/>
      <c r="G1185" s="134"/>
      <c r="H1185" s="134"/>
    </row>
    <row r="1186" ht="55.5" customHeight="1">
      <c r="A1186" s="134"/>
      <c r="B1186" s="134"/>
      <c r="C1186" s="134"/>
      <c r="D1186" s="134"/>
      <c r="E1186" s="136"/>
      <c r="F1186" s="134"/>
      <c r="G1186" s="134"/>
      <c r="H1186" s="134"/>
    </row>
    <row r="1187" ht="55.5" customHeight="1">
      <c r="A1187" s="134"/>
      <c r="B1187" s="134"/>
      <c r="C1187" s="134"/>
      <c r="D1187" s="134"/>
      <c r="E1187" s="136"/>
      <c r="F1187" s="134"/>
      <c r="G1187" s="134"/>
      <c r="H1187" s="134"/>
    </row>
    <row r="1188" ht="55.5" customHeight="1">
      <c r="A1188" s="134"/>
      <c r="B1188" s="134"/>
      <c r="C1188" s="134"/>
      <c r="D1188" s="134"/>
      <c r="E1188" s="136"/>
      <c r="F1188" s="134"/>
      <c r="G1188" s="134"/>
      <c r="H1188" s="134"/>
    </row>
    <row r="1189" ht="55.5" customHeight="1">
      <c r="A1189" s="134"/>
      <c r="B1189" s="134"/>
      <c r="C1189" s="134"/>
      <c r="D1189" s="134"/>
      <c r="E1189" s="136"/>
      <c r="F1189" s="134"/>
      <c r="G1189" s="134"/>
      <c r="H1189" s="134"/>
    </row>
    <row r="1190" ht="55.5" customHeight="1">
      <c r="A1190" s="134"/>
      <c r="B1190" s="134"/>
      <c r="C1190" s="134"/>
      <c r="D1190" s="134"/>
      <c r="E1190" s="136"/>
      <c r="F1190" s="134"/>
      <c r="G1190" s="134"/>
      <c r="H1190" s="134"/>
    </row>
    <row r="1191" ht="55.5" customHeight="1">
      <c r="A1191" s="134"/>
      <c r="B1191" s="134"/>
      <c r="C1191" s="134"/>
      <c r="D1191" s="134"/>
      <c r="E1191" s="136"/>
      <c r="F1191" s="134"/>
      <c r="G1191" s="134"/>
      <c r="H1191" s="134"/>
    </row>
    <row r="1192" ht="55.5" customHeight="1">
      <c r="A1192" s="134"/>
      <c r="B1192" s="134"/>
      <c r="C1192" s="134"/>
      <c r="D1192" s="134"/>
      <c r="E1192" s="136"/>
      <c r="F1192" s="134"/>
      <c r="G1192" s="134"/>
      <c r="H1192" s="134"/>
    </row>
    <row r="1193" ht="55.5" customHeight="1">
      <c r="A1193" s="134"/>
      <c r="B1193" s="134"/>
      <c r="C1193" s="134"/>
      <c r="D1193" s="134"/>
      <c r="E1193" s="136"/>
      <c r="F1193" s="134"/>
      <c r="G1193" s="134"/>
      <c r="H1193" s="134"/>
    </row>
    <row r="1194" ht="55.5" customHeight="1">
      <c r="A1194" s="134"/>
      <c r="B1194" s="134"/>
      <c r="C1194" s="134"/>
      <c r="D1194" s="134"/>
      <c r="E1194" s="136"/>
      <c r="F1194" s="134"/>
      <c r="G1194" s="134"/>
      <c r="H1194" s="134"/>
    </row>
    <row r="1195" ht="55.5" customHeight="1">
      <c r="A1195" s="134"/>
      <c r="B1195" s="134"/>
      <c r="C1195" s="134"/>
      <c r="D1195" s="134"/>
      <c r="E1195" s="136"/>
      <c r="F1195" s="134"/>
      <c r="G1195" s="134"/>
      <c r="H1195" s="134"/>
    </row>
    <row r="1196" ht="55.5" customHeight="1">
      <c r="A1196" s="134"/>
      <c r="B1196" s="134"/>
      <c r="C1196" s="134"/>
      <c r="D1196" s="134"/>
      <c r="E1196" s="136"/>
      <c r="F1196" s="134"/>
      <c r="G1196" s="134"/>
      <c r="H1196" s="134"/>
    </row>
    <row r="1197" ht="55.5" customHeight="1">
      <c r="A1197" s="134"/>
      <c r="B1197" s="134"/>
      <c r="C1197" s="134"/>
      <c r="D1197" s="134"/>
      <c r="E1197" s="136"/>
      <c r="F1197" s="134"/>
      <c r="G1197" s="134"/>
      <c r="H1197" s="134"/>
    </row>
    <row r="1198" ht="55.5" customHeight="1">
      <c r="A1198" s="134"/>
      <c r="B1198" s="134"/>
      <c r="C1198" s="134"/>
      <c r="D1198" s="134"/>
      <c r="E1198" s="136"/>
      <c r="F1198" s="134"/>
      <c r="G1198" s="134"/>
      <c r="H1198" s="134"/>
    </row>
    <row r="1199" ht="55.5" customHeight="1">
      <c r="A1199" s="134"/>
      <c r="B1199" s="134"/>
      <c r="C1199" s="134"/>
      <c r="D1199" s="134"/>
      <c r="E1199" s="136"/>
      <c r="F1199" s="134"/>
      <c r="G1199" s="134"/>
      <c r="H1199" s="134"/>
    </row>
    <row r="1200" ht="55.5" customHeight="1">
      <c r="A1200" s="134"/>
      <c r="B1200" s="134"/>
      <c r="C1200" s="134"/>
      <c r="D1200" s="134"/>
      <c r="E1200" s="136"/>
      <c r="F1200" s="134"/>
      <c r="G1200" s="134"/>
      <c r="H1200" s="134"/>
    </row>
    <row r="1201" ht="55.5" customHeight="1">
      <c r="A1201" s="134"/>
      <c r="B1201" s="134"/>
      <c r="C1201" s="134"/>
      <c r="D1201" s="134"/>
      <c r="E1201" s="136"/>
      <c r="F1201" s="134"/>
      <c r="G1201" s="134"/>
      <c r="H1201" s="134"/>
    </row>
    <row r="1202" ht="55.5" customHeight="1">
      <c r="A1202" s="134"/>
      <c r="B1202" s="134"/>
      <c r="C1202" s="134"/>
      <c r="D1202" s="134"/>
      <c r="E1202" s="136"/>
      <c r="F1202" s="134"/>
      <c r="G1202" s="134"/>
      <c r="H1202" s="134"/>
    </row>
    <row r="1203" ht="55.5" customHeight="1">
      <c r="A1203" s="134"/>
      <c r="B1203" s="134"/>
      <c r="C1203" s="134"/>
      <c r="D1203" s="134"/>
      <c r="E1203" s="136"/>
      <c r="F1203" s="134"/>
      <c r="G1203" s="134"/>
      <c r="H1203" s="134"/>
    </row>
    <row r="1204" ht="55.5" customHeight="1">
      <c r="A1204" s="134"/>
      <c r="B1204" s="134"/>
      <c r="C1204" s="134"/>
      <c r="D1204" s="134"/>
      <c r="E1204" s="136"/>
      <c r="F1204" s="134"/>
      <c r="G1204" s="134"/>
      <c r="H1204" s="134"/>
    </row>
    <row r="1205" ht="55.5" customHeight="1">
      <c r="A1205" s="134"/>
      <c r="B1205" s="134"/>
      <c r="C1205" s="134"/>
      <c r="D1205" s="134"/>
      <c r="E1205" s="136"/>
      <c r="F1205" s="134"/>
      <c r="G1205" s="134"/>
      <c r="H1205" s="134"/>
    </row>
    <row r="1206" ht="55.5" customHeight="1">
      <c r="A1206" s="134"/>
      <c r="B1206" s="134"/>
      <c r="C1206" s="134"/>
      <c r="D1206" s="134"/>
      <c r="E1206" s="136"/>
      <c r="F1206" s="134"/>
      <c r="G1206" s="134"/>
      <c r="H1206" s="134"/>
    </row>
    <row r="1207" ht="55.5" customHeight="1">
      <c r="A1207" s="134"/>
      <c r="B1207" s="134"/>
      <c r="C1207" s="134"/>
      <c r="D1207" s="134"/>
      <c r="E1207" s="136"/>
      <c r="F1207" s="134"/>
      <c r="G1207" s="134"/>
      <c r="H1207" s="134"/>
    </row>
    <row r="1208" ht="55.5" customHeight="1">
      <c r="A1208" s="134"/>
      <c r="B1208" s="134"/>
      <c r="C1208" s="134"/>
      <c r="D1208" s="134"/>
      <c r="E1208" s="136"/>
      <c r="F1208" s="134"/>
      <c r="G1208" s="134"/>
      <c r="H1208" s="134"/>
    </row>
    <row r="1209" ht="55.5" customHeight="1">
      <c r="A1209" s="134"/>
      <c r="B1209" s="134"/>
      <c r="C1209" s="134"/>
      <c r="D1209" s="134"/>
      <c r="E1209" s="136"/>
      <c r="F1209" s="134"/>
      <c r="G1209" s="134"/>
      <c r="H1209" s="134"/>
    </row>
    <row r="1210" ht="55.5" customHeight="1">
      <c r="A1210" s="134"/>
      <c r="B1210" s="134"/>
      <c r="C1210" s="134"/>
      <c r="D1210" s="134"/>
      <c r="E1210" s="136"/>
      <c r="F1210" s="134"/>
      <c r="G1210" s="134"/>
      <c r="H1210" s="134"/>
    </row>
    <row r="1211" ht="55.5" customHeight="1">
      <c r="A1211" s="134"/>
      <c r="B1211" s="134"/>
      <c r="C1211" s="134"/>
      <c r="D1211" s="134"/>
      <c r="E1211" s="136"/>
      <c r="F1211" s="134"/>
      <c r="G1211" s="134"/>
      <c r="H1211" s="134"/>
    </row>
    <row r="1212" ht="55.5" customHeight="1">
      <c r="A1212" s="134"/>
      <c r="B1212" s="134"/>
      <c r="C1212" s="134"/>
      <c r="D1212" s="134"/>
      <c r="E1212" s="136"/>
      <c r="F1212" s="134"/>
      <c r="G1212" s="134"/>
      <c r="H1212" s="134"/>
    </row>
    <row r="1213" ht="55.5" customHeight="1">
      <c r="A1213" s="134"/>
      <c r="B1213" s="134"/>
      <c r="C1213" s="134"/>
      <c r="D1213" s="134"/>
      <c r="E1213" s="136"/>
      <c r="F1213" s="134"/>
      <c r="G1213" s="134"/>
      <c r="H1213" s="134"/>
    </row>
    <row r="1214" ht="55.5" customHeight="1">
      <c r="A1214" s="134"/>
      <c r="B1214" s="134"/>
      <c r="C1214" s="134"/>
      <c r="D1214" s="134"/>
      <c r="E1214" s="136"/>
      <c r="F1214" s="134"/>
      <c r="G1214" s="134"/>
      <c r="H1214" s="134"/>
    </row>
    <row r="1215" ht="55.5" customHeight="1">
      <c r="A1215" s="134"/>
      <c r="B1215" s="134"/>
      <c r="C1215" s="134"/>
      <c r="D1215" s="134"/>
      <c r="E1215" s="136"/>
      <c r="F1215" s="134"/>
      <c r="G1215" s="134"/>
      <c r="H1215" s="134"/>
    </row>
    <row r="1216" ht="55.5" customHeight="1">
      <c r="A1216" s="134"/>
      <c r="B1216" s="134"/>
      <c r="C1216" s="134"/>
      <c r="D1216" s="134"/>
      <c r="E1216" s="136"/>
      <c r="F1216" s="134"/>
      <c r="G1216" s="134"/>
      <c r="H1216" s="134"/>
    </row>
    <row r="1217" ht="55.5" customHeight="1">
      <c r="A1217" s="134"/>
      <c r="B1217" s="134"/>
      <c r="C1217" s="134"/>
      <c r="D1217" s="134"/>
      <c r="E1217" s="136"/>
      <c r="F1217" s="134"/>
      <c r="G1217" s="134"/>
      <c r="H1217" s="134"/>
    </row>
    <row r="1218" ht="55.5" customHeight="1">
      <c r="A1218" s="134"/>
      <c r="B1218" s="134"/>
      <c r="C1218" s="134"/>
      <c r="D1218" s="134"/>
      <c r="E1218" s="136"/>
      <c r="F1218" s="134"/>
      <c r="G1218" s="134"/>
      <c r="H1218" s="134"/>
    </row>
    <row r="1219" ht="55.5" customHeight="1">
      <c r="A1219" s="134"/>
      <c r="B1219" s="134"/>
      <c r="C1219" s="134"/>
      <c r="D1219" s="134"/>
      <c r="E1219" s="136"/>
      <c r="F1219" s="134"/>
      <c r="G1219" s="134"/>
      <c r="H1219" s="134"/>
    </row>
    <row r="1220" ht="55.5" customHeight="1">
      <c r="A1220" s="134"/>
      <c r="B1220" s="134"/>
      <c r="C1220" s="134"/>
      <c r="D1220" s="134"/>
      <c r="E1220" s="136"/>
      <c r="F1220" s="134"/>
      <c r="G1220" s="134"/>
      <c r="H1220" s="134"/>
    </row>
    <row r="1221" ht="55.5" customHeight="1">
      <c r="A1221" s="134"/>
      <c r="B1221" s="134"/>
      <c r="C1221" s="134"/>
      <c r="D1221" s="134"/>
      <c r="E1221" s="136"/>
      <c r="F1221" s="134"/>
      <c r="G1221" s="134"/>
      <c r="H1221" s="134"/>
    </row>
    <row r="1222" ht="55.5" customHeight="1">
      <c r="A1222" s="134"/>
      <c r="B1222" s="134"/>
      <c r="C1222" s="134"/>
      <c r="D1222" s="134"/>
      <c r="E1222" s="136"/>
      <c r="F1222" s="134"/>
      <c r="G1222" s="134"/>
      <c r="H1222" s="134"/>
    </row>
    <row r="1223" ht="55.5" customHeight="1">
      <c r="A1223" s="134"/>
      <c r="B1223" s="134"/>
      <c r="C1223" s="134"/>
      <c r="D1223" s="134"/>
      <c r="E1223" s="136"/>
      <c r="F1223" s="134"/>
      <c r="G1223" s="134"/>
      <c r="H1223" s="134"/>
    </row>
    <row r="1224" ht="55.5" customHeight="1">
      <c r="A1224" s="134"/>
      <c r="B1224" s="134"/>
      <c r="C1224" s="134"/>
      <c r="D1224" s="134"/>
      <c r="E1224" s="136"/>
      <c r="F1224" s="134"/>
      <c r="G1224" s="134"/>
      <c r="H1224" s="134"/>
    </row>
    <row r="1225" ht="55.5" customHeight="1">
      <c r="A1225" s="134"/>
      <c r="B1225" s="134"/>
      <c r="C1225" s="134"/>
      <c r="D1225" s="134"/>
      <c r="E1225" s="136"/>
      <c r="F1225" s="134"/>
      <c r="G1225" s="134"/>
      <c r="H1225" s="134"/>
    </row>
    <row r="1226" ht="55.5" customHeight="1">
      <c r="A1226" s="134"/>
      <c r="B1226" s="134"/>
      <c r="C1226" s="134"/>
      <c r="D1226" s="134"/>
      <c r="E1226" s="136"/>
      <c r="F1226" s="134"/>
      <c r="G1226" s="134"/>
      <c r="H1226" s="134"/>
    </row>
    <row r="1227" ht="55.5" customHeight="1">
      <c r="A1227" s="134"/>
      <c r="B1227" s="134"/>
      <c r="C1227" s="134"/>
      <c r="D1227" s="134"/>
      <c r="E1227" s="136"/>
      <c r="F1227" s="134"/>
      <c r="G1227" s="134"/>
      <c r="H1227" s="134"/>
    </row>
    <row r="1228" ht="55.5" customHeight="1">
      <c r="A1228" s="134"/>
      <c r="B1228" s="134"/>
      <c r="C1228" s="134"/>
      <c r="D1228" s="134"/>
      <c r="E1228" s="136"/>
      <c r="F1228" s="134"/>
      <c r="G1228" s="134"/>
      <c r="H1228" s="134"/>
    </row>
    <row r="1229" ht="55.5" customHeight="1">
      <c r="A1229" s="134"/>
      <c r="B1229" s="134"/>
      <c r="C1229" s="134"/>
      <c r="D1229" s="134"/>
      <c r="E1229" s="136"/>
      <c r="F1229" s="134"/>
      <c r="G1229" s="134"/>
      <c r="H1229" s="134"/>
    </row>
    <row r="1230" ht="55.5" customHeight="1">
      <c r="A1230" s="134"/>
      <c r="B1230" s="134"/>
      <c r="C1230" s="134"/>
      <c r="D1230" s="134"/>
      <c r="E1230" s="136"/>
      <c r="F1230" s="134"/>
      <c r="G1230" s="134"/>
      <c r="H1230" s="134"/>
    </row>
    <row r="1231" ht="55.5" customHeight="1">
      <c r="A1231" s="134"/>
      <c r="B1231" s="134"/>
      <c r="C1231" s="134"/>
      <c r="D1231" s="134"/>
      <c r="E1231" s="136"/>
      <c r="F1231" s="134"/>
      <c r="G1231" s="134"/>
      <c r="H1231" s="134"/>
    </row>
    <row r="1232" ht="55.5" customHeight="1">
      <c r="A1232" s="134"/>
      <c r="B1232" s="134"/>
      <c r="C1232" s="134"/>
      <c r="D1232" s="134"/>
      <c r="E1232" s="136"/>
      <c r="F1232" s="134"/>
      <c r="G1232" s="134"/>
      <c r="H1232" s="134"/>
    </row>
    <row r="1233" ht="55.5" customHeight="1">
      <c r="A1233" s="134"/>
      <c r="B1233" s="134"/>
      <c r="C1233" s="134"/>
      <c r="D1233" s="134"/>
      <c r="E1233" s="136"/>
      <c r="F1233" s="134"/>
      <c r="G1233" s="134"/>
      <c r="H1233" s="134"/>
    </row>
    <row r="1234" ht="55.5" customHeight="1">
      <c r="A1234" s="134"/>
      <c r="B1234" s="134"/>
      <c r="C1234" s="134"/>
      <c r="D1234" s="134"/>
      <c r="E1234" s="136"/>
      <c r="F1234" s="134"/>
      <c r="G1234" s="134"/>
      <c r="H1234" s="134"/>
    </row>
    <row r="1235" ht="55.5" customHeight="1">
      <c r="A1235" s="134"/>
      <c r="B1235" s="134"/>
      <c r="C1235" s="134"/>
      <c r="D1235" s="134"/>
      <c r="E1235" s="136"/>
      <c r="F1235" s="134"/>
      <c r="G1235" s="134"/>
      <c r="H1235" s="134"/>
    </row>
    <row r="1236" ht="55.5" customHeight="1">
      <c r="A1236" s="134"/>
      <c r="B1236" s="134"/>
      <c r="C1236" s="134"/>
      <c r="D1236" s="134"/>
      <c r="E1236" s="136"/>
      <c r="F1236" s="134"/>
      <c r="G1236" s="134"/>
      <c r="H1236" s="134"/>
    </row>
    <row r="1237" ht="55.5" customHeight="1">
      <c r="A1237" s="134"/>
      <c r="B1237" s="134"/>
      <c r="C1237" s="134"/>
      <c r="D1237" s="134"/>
      <c r="E1237" s="136"/>
      <c r="F1237" s="134"/>
      <c r="G1237" s="134"/>
      <c r="H1237" s="134"/>
    </row>
    <row r="1238" ht="55.5" customHeight="1">
      <c r="A1238" s="134"/>
      <c r="B1238" s="134"/>
      <c r="C1238" s="134"/>
      <c r="D1238" s="134"/>
      <c r="E1238" s="136"/>
      <c r="F1238" s="134"/>
      <c r="G1238" s="134"/>
      <c r="H1238" s="134"/>
    </row>
    <row r="1239" ht="55.5" customHeight="1">
      <c r="A1239" s="134"/>
      <c r="B1239" s="134"/>
      <c r="C1239" s="134"/>
      <c r="D1239" s="134"/>
      <c r="E1239" s="136"/>
      <c r="F1239" s="134"/>
      <c r="G1239" s="134"/>
      <c r="H1239" s="134"/>
    </row>
    <row r="1240" ht="55.5" customHeight="1">
      <c r="A1240" s="134"/>
      <c r="B1240" s="134"/>
      <c r="C1240" s="134"/>
      <c r="D1240" s="134"/>
      <c r="E1240" s="136"/>
      <c r="F1240" s="134"/>
      <c r="G1240" s="134"/>
      <c r="H1240" s="134"/>
    </row>
    <row r="1241" ht="55.5" customHeight="1">
      <c r="A1241" s="134"/>
      <c r="B1241" s="134"/>
      <c r="C1241" s="134"/>
      <c r="D1241" s="134"/>
      <c r="E1241" s="136"/>
      <c r="F1241" s="134"/>
      <c r="G1241" s="134"/>
      <c r="H1241" s="134"/>
    </row>
    <row r="1242" ht="55.5" customHeight="1">
      <c r="A1242" s="134"/>
      <c r="B1242" s="134"/>
      <c r="C1242" s="134"/>
      <c r="D1242" s="134"/>
      <c r="E1242" s="136"/>
      <c r="F1242" s="134"/>
      <c r="G1242" s="134"/>
      <c r="H1242" s="134"/>
    </row>
    <row r="1243" ht="55.5" customHeight="1">
      <c r="A1243" s="134"/>
      <c r="B1243" s="134"/>
      <c r="C1243" s="134"/>
      <c r="D1243" s="134"/>
      <c r="E1243" s="136"/>
      <c r="F1243" s="134"/>
      <c r="G1243" s="134"/>
      <c r="H1243" s="134"/>
    </row>
    <row r="1244" ht="55.5" customHeight="1">
      <c r="A1244" s="134"/>
      <c r="B1244" s="134"/>
      <c r="C1244" s="134"/>
      <c r="D1244" s="134"/>
      <c r="E1244" s="136"/>
      <c r="F1244" s="134"/>
      <c r="G1244" s="134"/>
      <c r="H1244" s="134"/>
    </row>
    <row r="1245" ht="55.5" customHeight="1">
      <c r="A1245" s="134"/>
      <c r="B1245" s="134"/>
      <c r="C1245" s="134"/>
      <c r="D1245" s="134"/>
      <c r="E1245" s="136"/>
      <c r="F1245" s="134"/>
      <c r="G1245" s="134"/>
      <c r="H1245" s="134"/>
    </row>
    <row r="1246" ht="55.5" customHeight="1">
      <c r="A1246" s="134"/>
      <c r="B1246" s="134"/>
      <c r="C1246" s="134"/>
      <c r="D1246" s="134"/>
      <c r="E1246" s="136"/>
      <c r="F1246" s="134"/>
      <c r="G1246" s="134"/>
      <c r="H1246" s="134"/>
    </row>
    <row r="1247" ht="55.5" customHeight="1">
      <c r="A1247" s="134"/>
      <c r="B1247" s="134"/>
      <c r="C1247" s="134"/>
      <c r="D1247" s="134"/>
      <c r="E1247" s="136"/>
      <c r="F1247" s="134"/>
      <c r="G1247" s="134"/>
      <c r="H1247" s="134"/>
    </row>
    <row r="1248" ht="55.5" customHeight="1">
      <c r="A1248" s="134"/>
      <c r="B1248" s="134"/>
      <c r="C1248" s="134"/>
      <c r="D1248" s="134"/>
      <c r="E1248" s="136"/>
      <c r="F1248" s="134"/>
      <c r="G1248" s="134"/>
      <c r="H1248" s="134"/>
    </row>
    <row r="1249" ht="55.5" customHeight="1">
      <c r="A1249" s="134"/>
      <c r="B1249" s="134"/>
      <c r="C1249" s="134"/>
      <c r="D1249" s="134"/>
      <c r="E1249" s="136"/>
      <c r="F1249" s="134"/>
      <c r="G1249" s="134"/>
      <c r="H1249" s="134"/>
    </row>
    <row r="1250" ht="55.5" customHeight="1">
      <c r="A1250" s="134"/>
      <c r="B1250" s="134"/>
      <c r="C1250" s="134"/>
      <c r="D1250" s="134"/>
      <c r="E1250" s="136"/>
      <c r="F1250" s="134"/>
      <c r="G1250" s="134"/>
      <c r="H1250" s="134"/>
    </row>
    <row r="1251" ht="55.5" customHeight="1">
      <c r="A1251" s="134"/>
      <c r="B1251" s="134"/>
      <c r="C1251" s="134"/>
      <c r="D1251" s="134"/>
      <c r="E1251" s="136"/>
      <c r="F1251" s="134"/>
      <c r="G1251" s="134"/>
      <c r="H1251" s="134"/>
    </row>
    <row r="1252" ht="55.5" customHeight="1">
      <c r="A1252" s="134"/>
      <c r="B1252" s="134"/>
      <c r="C1252" s="134"/>
      <c r="D1252" s="134"/>
      <c r="E1252" s="136"/>
      <c r="F1252" s="134"/>
      <c r="G1252" s="134"/>
      <c r="H1252" s="134"/>
    </row>
    <row r="1253" ht="55.5" customHeight="1">
      <c r="A1253" s="134"/>
      <c r="B1253" s="134"/>
      <c r="C1253" s="134"/>
      <c r="D1253" s="134"/>
      <c r="E1253" s="136"/>
      <c r="F1253" s="134"/>
      <c r="G1253" s="134"/>
      <c r="H1253" s="134"/>
    </row>
    <row r="1254" ht="55.5" customHeight="1">
      <c r="A1254" s="134"/>
      <c r="B1254" s="134"/>
      <c r="C1254" s="134"/>
      <c r="D1254" s="134"/>
      <c r="E1254" s="136"/>
      <c r="F1254" s="134"/>
      <c r="G1254" s="134"/>
      <c r="H1254" s="134"/>
    </row>
    <row r="1255" ht="55.5" customHeight="1">
      <c r="A1255" s="134"/>
      <c r="B1255" s="134"/>
      <c r="C1255" s="134"/>
      <c r="D1255" s="134"/>
      <c r="E1255" s="136"/>
      <c r="F1255" s="134"/>
      <c r="G1255" s="134"/>
      <c r="H1255" s="134"/>
    </row>
    <row r="1256" ht="55.5" customHeight="1">
      <c r="A1256" s="134"/>
      <c r="B1256" s="134"/>
      <c r="C1256" s="134"/>
      <c r="D1256" s="134"/>
      <c r="E1256" s="136"/>
      <c r="F1256" s="134"/>
      <c r="G1256" s="134"/>
      <c r="H1256" s="134"/>
    </row>
    <row r="1257" ht="55.5" customHeight="1">
      <c r="A1257" s="134"/>
      <c r="B1257" s="134"/>
      <c r="C1257" s="134"/>
      <c r="D1257" s="134"/>
      <c r="E1257" s="136"/>
      <c r="F1257" s="134"/>
      <c r="G1257" s="134"/>
      <c r="H1257" s="134"/>
    </row>
    <row r="1258" ht="55.5" customHeight="1">
      <c r="A1258" s="134"/>
      <c r="B1258" s="134"/>
      <c r="C1258" s="134"/>
      <c r="D1258" s="134"/>
      <c r="E1258" s="136"/>
      <c r="F1258" s="134"/>
      <c r="G1258" s="134"/>
      <c r="H1258" s="134"/>
    </row>
    <row r="1259" ht="55.5" customHeight="1">
      <c r="A1259" s="134"/>
      <c r="B1259" s="134"/>
      <c r="C1259" s="134"/>
      <c r="D1259" s="134"/>
      <c r="E1259" s="136"/>
      <c r="F1259" s="134"/>
      <c r="G1259" s="134"/>
      <c r="H1259" s="134"/>
    </row>
    <row r="1260" ht="55.5" customHeight="1">
      <c r="A1260" s="134"/>
      <c r="B1260" s="134"/>
      <c r="C1260" s="134"/>
      <c r="D1260" s="134"/>
      <c r="E1260" s="136"/>
      <c r="F1260" s="134"/>
      <c r="G1260" s="134"/>
      <c r="H1260" s="134"/>
    </row>
    <row r="1261" ht="55.5" customHeight="1">
      <c r="A1261" s="134"/>
      <c r="B1261" s="134"/>
      <c r="C1261" s="134"/>
      <c r="D1261" s="134"/>
      <c r="E1261" s="136"/>
      <c r="F1261" s="134"/>
      <c r="G1261" s="134"/>
      <c r="H1261" s="134"/>
    </row>
    <row r="1262" ht="55.5" customHeight="1">
      <c r="A1262" s="134"/>
      <c r="B1262" s="134"/>
      <c r="C1262" s="134"/>
      <c r="D1262" s="134"/>
      <c r="E1262" s="136"/>
      <c r="F1262" s="134"/>
      <c r="G1262" s="134"/>
      <c r="H1262" s="134"/>
    </row>
    <row r="1263" ht="55.5" customHeight="1">
      <c r="A1263" s="134"/>
      <c r="B1263" s="134"/>
      <c r="C1263" s="134"/>
      <c r="D1263" s="134"/>
      <c r="E1263" s="136"/>
      <c r="F1263" s="134"/>
      <c r="G1263" s="134"/>
      <c r="H1263" s="134"/>
    </row>
    <row r="1264" ht="55.5" customHeight="1">
      <c r="A1264" s="134"/>
      <c r="B1264" s="134"/>
      <c r="C1264" s="134"/>
      <c r="D1264" s="134"/>
      <c r="E1264" s="136"/>
      <c r="F1264" s="134"/>
      <c r="G1264" s="134"/>
      <c r="H1264" s="134"/>
    </row>
    <row r="1265" ht="55.5" customHeight="1">
      <c r="A1265" s="134"/>
      <c r="B1265" s="134"/>
      <c r="C1265" s="134"/>
      <c r="D1265" s="134"/>
      <c r="E1265" s="136"/>
      <c r="F1265" s="134"/>
      <c r="G1265" s="134"/>
      <c r="H1265" s="134"/>
    </row>
    <row r="1266" ht="55.5" customHeight="1">
      <c r="A1266" s="134"/>
      <c r="B1266" s="134"/>
      <c r="C1266" s="134"/>
      <c r="D1266" s="134"/>
      <c r="E1266" s="136"/>
      <c r="F1266" s="134"/>
      <c r="G1266" s="134"/>
      <c r="H1266" s="134"/>
    </row>
    <row r="1267" ht="55.5" customHeight="1">
      <c r="A1267" s="134"/>
      <c r="B1267" s="134"/>
      <c r="C1267" s="134"/>
      <c r="D1267" s="134"/>
      <c r="E1267" s="136"/>
      <c r="F1267" s="134"/>
      <c r="G1267" s="134"/>
      <c r="H1267" s="134"/>
    </row>
    <row r="1268" ht="55.5" customHeight="1">
      <c r="A1268" s="134"/>
      <c r="B1268" s="134"/>
      <c r="C1268" s="134"/>
      <c r="D1268" s="134"/>
      <c r="E1268" s="136"/>
      <c r="F1268" s="134"/>
      <c r="G1268" s="134"/>
      <c r="H1268" s="134"/>
    </row>
    <row r="1269" ht="55.5" customHeight="1">
      <c r="A1269" s="134"/>
      <c r="B1269" s="134"/>
      <c r="C1269" s="134"/>
      <c r="D1269" s="134"/>
      <c r="E1269" s="136"/>
      <c r="F1269" s="134"/>
      <c r="G1269" s="134"/>
      <c r="H1269" s="134"/>
    </row>
    <row r="1270" ht="55.5" customHeight="1">
      <c r="A1270" s="134"/>
      <c r="B1270" s="134"/>
      <c r="C1270" s="134"/>
      <c r="D1270" s="134"/>
      <c r="E1270" s="136"/>
      <c r="F1270" s="134"/>
      <c r="G1270" s="134"/>
      <c r="H1270" s="134"/>
    </row>
    <row r="1271" ht="55.5" customHeight="1">
      <c r="A1271" s="134"/>
      <c r="B1271" s="134"/>
      <c r="C1271" s="134"/>
      <c r="D1271" s="134"/>
      <c r="E1271" s="136"/>
      <c r="F1271" s="134"/>
      <c r="G1271" s="134"/>
      <c r="H1271" s="134"/>
    </row>
    <row r="1272" ht="55.5" customHeight="1">
      <c r="A1272" s="134"/>
      <c r="B1272" s="134"/>
      <c r="C1272" s="134"/>
      <c r="D1272" s="134"/>
      <c r="E1272" s="136"/>
      <c r="F1272" s="134"/>
      <c r="G1272" s="134"/>
      <c r="H1272" s="134"/>
    </row>
    <row r="1273" ht="55.5" customHeight="1">
      <c r="A1273" s="134"/>
      <c r="B1273" s="134"/>
      <c r="C1273" s="134"/>
      <c r="D1273" s="134"/>
      <c r="E1273" s="136"/>
      <c r="F1273" s="134"/>
      <c r="G1273" s="134"/>
      <c r="H1273" s="134"/>
    </row>
    <row r="1274" ht="55.5" customHeight="1">
      <c r="A1274" s="134"/>
      <c r="B1274" s="134"/>
      <c r="C1274" s="134"/>
      <c r="D1274" s="134"/>
      <c r="E1274" s="136"/>
      <c r="F1274" s="134"/>
      <c r="G1274" s="134"/>
      <c r="H1274" s="134"/>
    </row>
    <row r="1275" ht="55.5" customHeight="1">
      <c r="A1275" s="134"/>
      <c r="B1275" s="134"/>
      <c r="C1275" s="134"/>
      <c r="D1275" s="134"/>
      <c r="E1275" s="136"/>
      <c r="F1275" s="134"/>
      <c r="G1275" s="134"/>
      <c r="H1275" s="134"/>
    </row>
    <row r="1276" ht="55.5" customHeight="1">
      <c r="A1276" s="134"/>
      <c r="B1276" s="134"/>
      <c r="C1276" s="134"/>
      <c r="D1276" s="134"/>
      <c r="E1276" s="136"/>
      <c r="F1276" s="134"/>
      <c r="G1276" s="134"/>
      <c r="H1276" s="134"/>
    </row>
    <row r="1277" ht="55.5" customHeight="1">
      <c r="A1277" s="134"/>
      <c r="B1277" s="134"/>
      <c r="C1277" s="134"/>
      <c r="D1277" s="134"/>
      <c r="E1277" s="136"/>
      <c r="F1277" s="134"/>
      <c r="G1277" s="134"/>
      <c r="H1277" s="134"/>
    </row>
    <row r="1278" ht="55.5" customHeight="1">
      <c r="A1278" s="134"/>
      <c r="B1278" s="134"/>
      <c r="C1278" s="134"/>
      <c r="D1278" s="134"/>
      <c r="E1278" s="136"/>
      <c r="F1278" s="134"/>
      <c r="G1278" s="134"/>
      <c r="H1278" s="134"/>
    </row>
    <row r="1279" ht="55.5" customHeight="1">
      <c r="A1279" s="134"/>
      <c r="B1279" s="134"/>
      <c r="C1279" s="134"/>
      <c r="D1279" s="134"/>
      <c r="E1279" s="136"/>
      <c r="F1279" s="134"/>
      <c r="G1279" s="134"/>
      <c r="H1279" s="134"/>
    </row>
    <row r="1280" ht="55.5" customHeight="1">
      <c r="A1280" s="134"/>
      <c r="B1280" s="134"/>
      <c r="C1280" s="134"/>
      <c r="D1280" s="134"/>
      <c r="E1280" s="136"/>
      <c r="F1280" s="134"/>
      <c r="G1280" s="134"/>
      <c r="H1280" s="134"/>
    </row>
    <row r="1281" ht="55.5" customHeight="1">
      <c r="A1281" s="134"/>
      <c r="B1281" s="134"/>
      <c r="C1281" s="134"/>
      <c r="D1281" s="134"/>
      <c r="E1281" s="136"/>
      <c r="F1281" s="134"/>
      <c r="G1281" s="134"/>
      <c r="H1281" s="134"/>
    </row>
    <row r="1282" ht="55.5" customHeight="1">
      <c r="A1282" s="134"/>
      <c r="B1282" s="134"/>
      <c r="C1282" s="134"/>
      <c r="D1282" s="134"/>
      <c r="E1282" s="136"/>
      <c r="F1282" s="134"/>
      <c r="G1282" s="134"/>
      <c r="H1282" s="134"/>
    </row>
    <row r="1283" ht="55.5" customHeight="1">
      <c r="A1283" s="134"/>
      <c r="B1283" s="134"/>
      <c r="C1283" s="134"/>
      <c r="D1283" s="134"/>
      <c r="E1283" s="136"/>
      <c r="F1283" s="134"/>
      <c r="G1283" s="134"/>
      <c r="H1283" s="134"/>
    </row>
    <row r="1284" ht="55.5" customHeight="1">
      <c r="A1284" s="134"/>
      <c r="B1284" s="134"/>
      <c r="C1284" s="134"/>
      <c r="D1284" s="134"/>
      <c r="E1284" s="136"/>
      <c r="F1284" s="134"/>
      <c r="G1284" s="134"/>
      <c r="H1284" s="134"/>
    </row>
    <row r="1285" ht="55.5" customHeight="1">
      <c r="A1285" s="134"/>
      <c r="B1285" s="134"/>
      <c r="C1285" s="134"/>
      <c r="D1285" s="134"/>
      <c r="E1285" s="136"/>
      <c r="F1285" s="134"/>
      <c r="G1285" s="134"/>
      <c r="H1285" s="134"/>
    </row>
    <row r="1286" ht="55.5" customHeight="1">
      <c r="A1286" s="134"/>
      <c r="B1286" s="134"/>
      <c r="C1286" s="134"/>
      <c r="D1286" s="134"/>
      <c r="E1286" s="136"/>
      <c r="F1286" s="134"/>
      <c r="G1286" s="134"/>
      <c r="H1286" s="134"/>
    </row>
    <row r="1287" ht="55.5" customHeight="1">
      <c r="A1287" s="134"/>
      <c r="B1287" s="134"/>
      <c r="C1287" s="134"/>
      <c r="D1287" s="134"/>
      <c r="E1287" s="136"/>
      <c r="F1287" s="134"/>
      <c r="G1287" s="134"/>
      <c r="H1287" s="134"/>
    </row>
    <row r="1288" ht="55.5" customHeight="1">
      <c r="A1288" s="134"/>
      <c r="B1288" s="134"/>
      <c r="C1288" s="134"/>
      <c r="D1288" s="134"/>
      <c r="E1288" s="136"/>
      <c r="F1288" s="134"/>
      <c r="G1288" s="134"/>
      <c r="H1288" s="134"/>
    </row>
    <row r="1289" ht="55.5" customHeight="1">
      <c r="A1289" s="134"/>
      <c r="B1289" s="134"/>
      <c r="C1289" s="134"/>
      <c r="D1289" s="134"/>
      <c r="E1289" s="136"/>
      <c r="F1289" s="134"/>
      <c r="G1289" s="134"/>
      <c r="H1289" s="134"/>
    </row>
    <row r="1290" ht="55.5" customHeight="1">
      <c r="A1290" s="134"/>
      <c r="B1290" s="134"/>
      <c r="C1290" s="134"/>
      <c r="D1290" s="134"/>
      <c r="E1290" s="136"/>
      <c r="F1290" s="134"/>
      <c r="G1290" s="134"/>
      <c r="H1290" s="134"/>
    </row>
    <row r="1291" ht="55.5" customHeight="1">
      <c r="A1291" s="134"/>
      <c r="B1291" s="134"/>
      <c r="C1291" s="134"/>
      <c r="D1291" s="134"/>
      <c r="E1291" s="136"/>
      <c r="F1291" s="134"/>
      <c r="G1291" s="134"/>
      <c r="H1291" s="134"/>
    </row>
    <row r="1292" ht="55.5" customHeight="1">
      <c r="A1292" s="134"/>
      <c r="B1292" s="134"/>
      <c r="C1292" s="134"/>
      <c r="D1292" s="134"/>
      <c r="E1292" s="136"/>
      <c r="F1292" s="134"/>
      <c r="G1292" s="134"/>
      <c r="H1292" s="134"/>
    </row>
    <row r="1293" ht="55.5" customHeight="1">
      <c r="A1293" s="134"/>
      <c r="B1293" s="134"/>
      <c r="C1293" s="134"/>
      <c r="D1293" s="134"/>
      <c r="E1293" s="136"/>
      <c r="F1293" s="134"/>
      <c r="G1293" s="134"/>
      <c r="H1293" s="134"/>
    </row>
    <row r="1294" ht="55.5" customHeight="1">
      <c r="A1294" s="134"/>
      <c r="B1294" s="134"/>
      <c r="C1294" s="134"/>
      <c r="D1294" s="134"/>
      <c r="E1294" s="136"/>
      <c r="F1294" s="134"/>
      <c r="G1294" s="134"/>
      <c r="H1294" s="134"/>
    </row>
    <row r="1295" ht="55.5" customHeight="1">
      <c r="A1295" s="134"/>
      <c r="B1295" s="134"/>
      <c r="C1295" s="134"/>
      <c r="D1295" s="134"/>
      <c r="E1295" s="136"/>
      <c r="F1295" s="134"/>
      <c r="G1295" s="134"/>
      <c r="H1295" s="134"/>
    </row>
    <row r="1296" ht="55.5" customHeight="1">
      <c r="A1296" s="134"/>
      <c r="B1296" s="134"/>
      <c r="C1296" s="134"/>
      <c r="D1296" s="134"/>
      <c r="E1296" s="136"/>
      <c r="F1296" s="134"/>
      <c r="G1296" s="134"/>
      <c r="H1296" s="134"/>
    </row>
    <row r="1297" ht="55.5" customHeight="1">
      <c r="A1297" s="134"/>
      <c r="B1297" s="134"/>
      <c r="C1297" s="134"/>
      <c r="D1297" s="134"/>
      <c r="E1297" s="136"/>
      <c r="F1297" s="134"/>
      <c r="G1297" s="134"/>
      <c r="H1297" s="134"/>
    </row>
    <row r="1298" ht="55.5" customHeight="1">
      <c r="A1298" s="134"/>
      <c r="B1298" s="134"/>
      <c r="C1298" s="134"/>
      <c r="D1298" s="134"/>
      <c r="E1298" s="136"/>
      <c r="F1298" s="134"/>
      <c r="G1298" s="134"/>
      <c r="H1298" s="134"/>
    </row>
    <row r="1299" ht="55.5" customHeight="1">
      <c r="A1299" s="134"/>
      <c r="B1299" s="134"/>
      <c r="C1299" s="134"/>
      <c r="D1299" s="134"/>
      <c r="E1299" s="136"/>
      <c r="F1299" s="134"/>
      <c r="G1299" s="134"/>
      <c r="H1299" s="134"/>
    </row>
    <row r="1300" ht="55.5" customHeight="1">
      <c r="A1300" s="134"/>
      <c r="B1300" s="134"/>
      <c r="C1300" s="134"/>
      <c r="D1300" s="134"/>
      <c r="E1300" s="136"/>
      <c r="F1300" s="134"/>
      <c r="G1300" s="134"/>
      <c r="H1300" s="134"/>
    </row>
    <row r="1301" ht="55.5" customHeight="1">
      <c r="A1301" s="134"/>
      <c r="B1301" s="134"/>
      <c r="C1301" s="134"/>
      <c r="D1301" s="134"/>
      <c r="E1301" s="136"/>
      <c r="F1301" s="134"/>
      <c r="G1301" s="134"/>
      <c r="H1301" s="134"/>
    </row>
    <row r="1302" ht="55.5" customHeight="1">
      <c r="A1302" s="134"/>
      <c r="B1302" s="134"/>
      <c r="C1302" s="134"/>
      <c r="D1302" s="134"/>
      <c r="E1302" s="136"/>
      <c r="F1302" s="134"/>
      <c r="G1302" s="134"/>
      <c r="H1302" s="134"/>
    </row>
    <row r="1303" ht="55.5" customHeight="1">
      <c r="A1303" s="134"/>
      <c r="B1303" s="134"/>
      <c r="C1303" s="134"/>
      <c r="D1303" s="134"/>
      <c r="E1303" s="136"/>
      <c r="F1303" s="134"/>
      <c r="G1303" s="134"/>
      <c r="H1303" s="134"/>
    </row>
    <row r="1304" ht="55.5" customHeight="1">
      <c r="A1304" s="134"/>
      <c r="B1304" s="134"/>
      <c r="C1304" s="134"/>
      <c r="D1304" s="134"/>
      <c r="E1304" s="136"/>
      <c r="F1304" s="134"/>
      <c r="G1304" s="134"/>
      <c r="H1304" s="134"/>
    </row>
    <row r="1305" ht="55.5" customHeight="1">
      <c r="A1305" s="134"/>
      <c r="B1305" s="134"/>
      <c r="C1305" s="134"/>
      <c r="D1305" s="134"/>
      <c r="E1305" s="136"/>
      <c r="F1305" s="134"/>
      <c r="G1305" s="134"/>
      <c r="H1305" s="134"/>
    </row>
    <row r="1306" ht="55.5" customHeight="1">
      <c r="A1306" s="134"/>
      <c r="B1306" s="134"/>
      <c r="C1306" s="134"/>
      <c r="D1306" s="134"/>
      <c r="E1306" s="136"/>
      <c r="F1306" s="134"/>
      <c r="G1306" s="134"/>
      <c r="H1306" s="134"/>
    </row>
    <row r="1307" ht="55.5" customHeight="1">
      <c r="A1307" s="134"/>
      <c r="B1307" s="134"/>
      <c r="C1307" s="134"/>
      <c r="D1307" s="134"/>
      <c r="E1307" s="136"/>
      <c r="F1307" s="134"/>
      <c r="G1307" s="134"/>
      <c r="H1307" s="134"/>
    </row>
    <row r="1308" ht="55.5" customHeight="1">
      <c r="A1308" s="134"/>
      <c r="B1308" s="134"/>
      <c r="C1308" s="134"/>
      <c r="D1308" s="134"/>
      <c r="E1308" s="136"/>
      <c r="F1308" s="134"/>
      <c r="G1308" s="134"/>
      <c r="H1308" s="134"/>
    </row>
    <row r="1309" ht="55.5" customHeight="1">
      <c r="A1309" s="134"/>
      <c r="B1309" s="134"/>
      <c r="C1309" s="134"/>
      <c r="D1309" s="134"/>
      <c r="E1309" s="136"/>
      <c r="F1309" s="134"/>
      <c r="G1309" s="134"/>
      <c r="H1309" s="134"/>
    </row>
    <row r="1310" ht="55.5" customHeight="1">
      <c r="A1310" s="134"/>
      <c r="B1310" s="134"/>
      <c r="C1310" s="134"/>
      <c r="D1310" s="134"/>
      <c r="E1310" s="136"/>
      <c r="F1310" s="134"/>
      <c r="G1310" s="134"/>
      <c r="H1310" s="134"/>
    </row>
    <row r="1311" ht="55.5" customHeight="1">
      <c r="A1311" s="134"/>
      <c r="B1311" s="134"/>
      <c r="C1311" s="134"/>
      <c r="D1311" s="134"/>
      <c r="E1311" s="136"/>
      <c r="F1311" s="134"/>
      <c r="G1311" s="134"/>
      <c r="H1311" s="134"/>
    </row>
    <row r="1312" ht="55.5" customHeight="1">
      <c r="A1312" s="134"/>
      <c r="B1312" s="134"/>
      <c r="C1312" s="134"/>
      <c r="D1312" s="134"/>
      <c r="E1312" s="136"/>
      <c r="F1312" s="134"/>
      <c r="G1312" s="134"/>
      <c r="H1312" s="134"/>
    </row>
    <row r="1313" ht="55.5" customHeight="1">
      <c r="A1313" s="134"/>
      <c r="B1313" s="134"/>
      <c r="C1313" s="134"/>
      <c r="D1313" s="134"/>
      <c r="E1313" s="136"/>
      <c r="F1313" s="134"/>
      <c r="G1313" s="134"/>
      <c r="H1313" s="134"/>
    </row>
    <row r="1314" ht="55.5" customHeight="1">
      <c r="A1314" s="134"/>
      <c r="B1314" s="134"/>
      <c r="C1314" s="134"/>
      <c r="D1314" s="134"/>
      <c r="E1314" s="136"/>
      <c r="F1314" s="134"/>
      <c r="G1314" s="134"/>
      <c r="H1314" s="134"/>
    </row>
    <row r="1315" ht="55.5" customHeight="1">
      <c r="A1315" s="134"/>
      <c r="B1315" s="134"/>
      <c r="C1315" s="134"/>
      <c r="D1315" s="134"/>
      <c r="E1315" s="136"/>
      <c r="F1315" s="134"/>
      <c r="G1315" s="134"/>
      <c r="H1315" s="134"/>
    </row>
    <row r="1316" ht="55.5" customHeight="1">
      <c r="A1316" s="134"/>
      <c r="B1316" s="134"/>
      <c r="C1316" s="134"/>
      <c r="D1316" s="134"/>
      <c r="E1316" s="136"/>
      <c r="F1316" s="134"/>
      <c r="G1316" s="134"/>
      <c r="H1316" s="134"/>
    </row>
    <row r="1317" ht="55.5" customHeight="1">
      <c r="A1317" s="134"/>
      <c r="B1317" s="134"/>
      <c r="C1317" s="134"/>
      <c r="D1317" s="134"/>
      <c r="E1317" s="136"/>
      <c r="F1317" s="134"/>
      <c r="G1317" s="134"/>
      <c r="H1317" s="134"/>
    </row>
    <row r="1318" ht="55.5" customHeight="1">
      <c r="A1318" s="134"/>
      <c r="B1318" s="134"/>
      <c r="C1318" s="134"/>
      <c r="D1318" s="134"/>
      <c r="E1318" s="136"/>
      <c r="F1318" s="134"/>
      <c r="G1318" s="134"/>
      <c r="H1318" s="134"/>
    </row>
    <row r="1319" ht="55.5" customHeight="1">
      <c r="A1319" s="134"/>
      <c r="B1319" s="134"/>
      <c r="C1319" s="134"/>
      <c r="D1319" s="134"/>
      <c r="E1319" s="136"/>
      <c r="F1319" s="134"/>
      <c r="G1319" s="134"/>
      <c r="H1319" s="134"/>
    </row>
    <row r="1320" ht="55.5" customHeight="1">
      <c r="A1320" s="134"/>
      <c r="B1320" s="134"/>
      <c r="C1320" s="134"/>
      <c r="D1320" s="134"/>
      <c r="E1320" s="136"/>
      <c r="F1320" s="134"/>
      <c r="G1320" s="134"/>
      <c r="H1320" s="134"/>
    </row>
    <row r="1321" ht="55.5" customHeight="1">
      <c r="A1321" s="134"/>
      <c r="B1321" s="134"/>
      <c r="C1321" s="134"/>
      <c r="D1321" s="134"/>
      <c r="E1321" s="136"/>
      <c r="F1321" s="134"/>
      <c r="G1321" s="134"/>
      <c r="H1321" s="134"/>
    </row>
    <row r="1322" ht="55.5" customHeight="1">
      <c r="A1322" s="134"/>
      <c r="B1322" s="134"/>
      <c r="C1322" s="134"/>
      <c r="D1322" s="134"/>
      <c r="E1322" s="136"/>
      <c r="F1322" s="134"/>
      <c r="G1322" s="134"/>
      <c r="H1322" s="134"/>
    </row>
    <row r="1323" ht="55.5" customHeight="1">
      <c r="A1323" s="134"/>
      <c r="B1323" s="134"/>
      <c r="C1323" s="134"/>
      <c r="D1323" s="134"/>
      <c r="E1323" s="136"/>
      <c r="F1323" s="134"/>
      <c r="G1323" s="134"/>
      <c r="H1323" s="134"/>
    </row>
    <row r="1324" ht="55.5" customHeight="1">
      <c r="A1324" s="134"/>
      <c r="B1324" s="134"/>
      <c r="C1324" s="134"/>
      <c r="D1324" s="134"/>
      <c r="E1324" s="136"/>
      <c r="F1324" s="134"/>
      <c r="G1324" s="134"/>
      <c r="H1324" s="134"/>
    </row>
    <row r="1325" ht="55.5" customHeight="1">
      <c r="A1325" s="134"/>
      <c r="B1325" s="134"/>
      <c r="C1325" s="134"/>
      <c r="D1325" s="134"/>
      <c r="E1325" s="136"/>
      <c r="F1325" s="134"/>
      <c r="G1325" s="134"/>
      <c r="H1325" s="134"/>
    </row>
    <row r="1326" ht="55.5" customHeight="1">
      <c r="A1326" s="134"/>
      <c r="B1326" s="134"/>
      <c r="C1326" s="134"/>
      <c r="D1326" s="134"/>
      <c r="E1326" s="136"/>
      <c r="F1326" s="134"/>
      <c r="G1326" s="134"/>
      <c r="H1326" s="134"/>
    </row>
    <row r="1327" ht="55.5" customHeight="1">
      <c r="A1327" s="134"/>
      <c r="B1327" s="134"/>
      <c r="C1327" s="134"/>
      <c r="D1327" s="134"/>
      <c r="E1327" s="136"/>
      <c r="F1327" s="134"/>
      <c r="G1327" s="134"/>
      <c r="H1327" s="134"/>
    </row>
    <row r="1328" ht="55.5" customHeight="1">
      <c r="A1328" s="134"/>
      <c r="B1328" s="134"/>
      <c r="C1328" s="134"/>
      <c r="D1328" s="134"/>
      <c r="E1328" s="136"/>
      <c r="F1328" s="134"/>
      <c r="G1328" s="134"/>
      <c r="H1328" s="134"/>
    </row>
    <row r="1329" ht="55.5" customHeight="1">
      <c r="A1329" s="134"/>
      <c r="B1329" s="134"/>
      <c r="C1329" s="134"/>
      <c r="D1329" s="134"/>
      <c r="E1329" s="136"/>
      <c r="F1329" s="134"/>
      <c r="G1329" s="134"/>
      <c r="H1329" s="134"/>
    </row>
    <row r="1330" ht="55.5" customHeight="1">
      <c r="A1330" s="134"/>
      <c r="B1330" s="134"/>
      <c r="C1330" s="134"/>
      <c r="D1330" s="134"/>
      <c r="E1330" s="136"/>
      <c r="F1330" s="134"/>
      <c r="G1330" s="134"/>
      <c r="H1330" s="134"/>
    </row>
    <row r="1331" ht="55.5" customHeight="1">
      <c r="A1331" s="134"/>
      <c r="B1331" s="134"/>
      <c r="C1331" s="134"/>
      <c r="D1331" s="134"/>
      <c r="E1331" s="136"/>
      <c r="F1331" s="134"/>
      <c r="G1331" s="134"/>
      <c r="H1331" s="134"/>
    </row>
    <row r="1332" ht="55.5" customHeight="1">
      <c r="A1332" s="134"/>
      <c r="B1332" s="134"/>
      <c r="C1332" s="134"/>
      <c r="D1332" s="134"/>
      <c r="E1332" s="136"/>
      <c r="F1332" s="134"/>
      <c r="G1332" s="134"/>
      <c r="H1332" s="134"/>
    </row>
    <row r="1333" ht="55.5" customHeight="1">
      <c r="A1333" s="134"/>
      <c r="B1333" s="134"/>
      <c r="C1333" s="134"/>
      <c r="D1333" s="134"/>
      <c r="E1333" s="136"/>
      <c r="F1333" s="134"/>
      <c r="G1333" s="134"/>
      <c r="H1333" s="134"/>
    </row>
    <row r="1334" ht="55.5" customHeight="1">
      <c r="A1334" s="134"/>
      <c r="B1334" s="134"/>
      <c r="C1334" s="134"/>
      <c r="D1334" s="134"/>
      <c r="E1334" s="136"/>
      <c r="F1334" s="134"/>
      <c r="G1334" s="134"/>
      <c r="H1334" s="134"/>
    </row>
    <row r="1335" ht="55.5" customHeight="1">
      <c r="A1335" s="134"/>
      <c r="B1335" s="134"/>
      <c r="C1335" s="134"/>
      <c r="D1335" s="134"/>
      <c r="E1335" s="136"/>
      <c r="F1335" s="134"/>
      <c r="G1335" s="134"/>
      <c r="H1335" s="134"/>
    </row>
    <row r="1336" ht="55.5" customHeight="1">
      <c r="A1336" s="134"/>
      <c r="B1336" s="134"/>
      <c r="C1336" s="134"/>
      <c r="D1336" s="134"/>
      <c r="E1336" s="136"/>
      <c r="F1336" s="134"/>
      <c r="G1336" s="134"/>
      <c r="H1336" s="134"/>
    </row>
    <row r="1337" ht="55.5" customHeight="1">
      <c r="A1337" s="134"/>
      <c r="B1337" s="134"/>
      <c r="C1337" s="134"/>
      <c r="D1337" s="134"/>
      <c r="E1337" s="136"/>
      <c r="F1337" s="134"/>
      <c r="G1337" s="134"/>
      <c r="H1337" s="134"/>
    </row>
    <row r="1338" ht="55.5" customHeight="1">
      <c r="A1338" s="134"/>
      <c r="B1338" s="134"/>
      <c r="C1338" s="134"/>
      <c r="D1338" s="134"/>
      <c r="E1338" s="136"/>
      <c r="F1338" s="134"/>
      <c r="G1338" s="134"/>
      <c r="H1338" s="134"/>
    </row>
    <row r="1339" ht="55.5" customHeight="1">
      <c r="A1339" s="134"/>
      <c r="B1339" s="134"/>
      <c r="C1339" s="134"/>
      <c r="D1339" s="134"/>
      <c r="E1339" s="136"/>
      <c r="F1339" s="134"/>
      <c r="G1339" s="134"/>
      <c r="H1339" s="134"/>
    </row>
    <row r="1340" ht="55.5" customHeight="1">
      <c r="A1340" s="134"/>
      <c r="B1340" s="134"/>
      <c r="C1340" s="134"/>
      <c r="D1340" s="134"/>
      <c r="E1340" s="136"/>
      <c r="F1340" s="134"/>
      <c r="G1340" s="134"/>
      <c r="H1340" s="134"/>
    </row>
    <row r="1341" ht="55.5" customHeight="1">
      <c r="A1341" s="134"/>
      <c r="B1341" s="134"/>
      <c r="C1341" s="134"/>
      <c r="D1341" s="134"/>
      <c r="E1341" s="136"/>
      <c r="F1341" s="134"/>
      <c r="G1341" s="134"/>
      <c r="H1341" s="134"/>
    </row>
    <row r="1342" ht="55.5" customHeight="1">
      <c r="A1342" s="134"/>
      <c r="B1342" s="134"/>
      <c r="C1342" s="134"/>
      <c r="D1342" s="134"/>
      <c r="E1342" s="136"/>
      <c r="F1342" s="134"/>
      <c r="G1342" s="134"/>
      <c r="H1342" s="134"/>
    </row>
    <row r="1343" ht="55.5" customHeight="1">
      <c r="A1343" s="134"/>
      <c r="B1343" s="134"/>
      <c r="C1343" s="134"/>
      <c r="D1343" s="134"/>
      <c r="E1343" s="136"/>
      <c r="F1343" s="134"/>
      <c r="G1343" s="134"/>
      <c r="H1343" s="134"/>
    </row>
    <row r="1344" ht="55.5" customHeight="1">
      <c r="A1344" s="134"/>
      <c r="B1344" s="134"/>
      <c r="C1344" s="134"/>
      <c r="D1344" s="134"/>
      <c r="E1344" s="136"/>
      <c r="F1344" s="134"/>
      <c r="G1344" s="134"/>
      <c r="H1344" s="134"/>
    </row>
    <row r="1345" ht="55.5" customHeight="1">
      <c r="A1345" s="134"/>
      <c r="B1345" s="134"/>
      <c r="C1345" s="134"/>
      <c r="D1345" s="134"/>
      <c r="E1345" s="136"/>
      <c r="F1345" s="134"/>
      <c r="G1345" s="134"/>
      <c r="H1345" s="134"/>
    </row>
    <row r="1346" ht="55.5" customHeight="1">
      <c r="A1346" s="134"/>
      <c r="B1346" s="134"/>
      <c r="C1346" s="134"/>
      <c r="D1346" s="134"/>
      <c r="E1346" s="136"/>
      <c r="F1346" s="134"/>
      <c r="G1346" s="134"/>
      <c r="H1346" s="134"/>
    </row>
    <row r="1347" ht="55.5" customHeight="1">
      <c r="A1347" s="134"/>
      <c r="B1347" s="134"/>
      <c r="C1347" s="134"/>
      <c r="D1347" s="134"/>
      <c r="E1347" s="136"/>
      <c r="F1347" s="134"/>
      <c r="G1347" s="134"/>
      <c r="H1347" s="134"/>
    </row>
    <row r="1348" ht="55.5" customHeight="1">
      <c r="A1348" s="134"/>
      <c r="B1348" s="134"/>
      <c r="C1348" s="134"/>
      <c r="D1348" s="134"/>
      <c r="E1348" s="136"/>
      <c r="F1348" s="134"/>
      <c r="G1348" s="134"/>
      <c r="H1348" s="134"/>
    </row>
    <row r="1349" ht="55.5" customHeight="1">
      <c r="A1349" s="134"/>
      <c r="B1349" s="134"/>
      <c r="C1349" s="134"/>
      <c r="D1349" s="134"/>
      <c r="E1349" s="136"/>
      <c r="F1349" s="134"/>
      <c r="G1349" s="134"/>
      <c r="H1349" s="134"/>
    </row>
    <row r="1350" ht="55.5" customHeight="1">
      <c r="A1350" s="134"/>
      <c r="B1350" s="134"/>
      <c r="C1350" s="134"/>
      <c r="D1350" s="134"/>
      <c r="E1350" s="136"/>
      <c r="F1350" s="134"/>
      <c r="G1350" s="134"/>
      <c r="H1350" s="134"/>
    </row>
    <row r="1351" ht="55.5" customHeight="1">
      <c r="A1351" s="134"/>
      <c r="B1351" s="134"/>
      <c r="C1351" s="134"/>
      <c r="D1351" s="134"/>
      <c r="E1351" s="136"/>
      <c r="F1351" s="134"/>
      <c r="G1351" s="134"/>
      <c r="H1351" s="134"/>
    </row>
    <row r="1352" ht="55.5" customHeight="1">
      <c r="A1352" s="134"/>
      <c r="B1352" s="134"/>
      <c r="C1352" s="134"/>
      <c r="D1352" s="134"/>
      <c r="E1352" s="136"/>
      <c r="F1352" s="134"/>
      <c r="G1352" s="134"/>
      <c r="H1352" s="134"/>
    </row>
    <row r="1353" ht="55.5" customHeight="1">
      <c r="A1353" s="134"/>
      <c r="B1353" s="134"/>
      <c r="C1353" s="134"/>
      <c r="D1353" s="134"/>
      <c r="E1353" s="136"/>
      <c r="F1353" s="134"/>
      <c r="G1353" s="134"/>
      <c r="H1353" s="134"/>
    </row>
    <row r="1354" ht="55.5" customHeight="1">
      <c r="A1354" s="134"/>
      <c r="B1354" s="134"/>
      <c r="C1354" s="134"/>
      <c r="D1354" s="134"/>
      <c r="E1354" s="136"/>
      <c r="F1354" s="134"/>
      <c r="G1354" s="134"/>
      <c r="H1354" s="134"/>
    </row>
    <row r="1355" ht="55.5" customHeight="1">
      <c r="A1355" s="134"/>
      <c r="B1355" s="134"/>
      <c r="C1355" s="134"/>
      <c r="D1355" s="134"/>
      <c r="E1355" s="136"/>
      <c r="F1355" s="134"/>
      <c r="G1355" s="134"/>
      <c r="H1355" s="134"/>
    </row>
    <row r="1356" ht="55.5" customHeight="1">
      <c r="A1356" s="134"/>
      <c r="B1356" s="134"/>
      <c r="C1356" s="134"/>
      <c r="D1356" s="134"/>
      <c r="E1356" s="136"/>
      <c r="F1356" s="134"/>
      <c r="G1356" s="134"/>
      <c r="H1356" s="134"/>
    </row>
    <row r="1357" ht="55.5" customHeight="1">
      <c r="A1357" s="134"/>
      <c r="B1357" s="134"/>
      <c r="C1357" s="134"/>
      <c r="D1357" s="134"/>
      <c r="E1357" s="136"/>
      <c r="F1357" s="134"/>
      <c r="G1357" s="134"/>
      <c r="H1357" s="134"/>
    </row>
    <row r="1358" ht="55.5" customHeight="1">
      <c r="A1358" s="134"/>
      <c r="B1358" s="134"/>
      <c r="C1358" s="134"/>
      <c r="D1358" s="134"/>
      <c r="E1358" s="136"/>
      <c r="F1358" s="134"/>
      <c r="G1358" s="134"/>
      <c r="H1358" s="134"/>
    </row>
    <row r="1359" ht="55.5" customHeight="1">
      <c r="A1359" s="134"/>
      <c r="B1359" s="134"/>
      <c r="C1359" s="134"/>
      <c r="D1359" s="134"/>
      <c r="E1359" s="136"/>
      <c r="F1359" s="134"/>
      <c r="G1359" s="134"/>
      <c r="H1359" s="134"/>
    </row>
    <row r="1360" ht="55.5" customHeight="1">
      <c r="A1360" s="134"/>
      <c r="B1360" s="134"/>
      <c r="C1360" s="134"/>
      <c r="D1360" s="134"/>
      <c r="E1360" s="136"/>
      <c r="F1360" s="134"/>
      <c r="G1360" s="134"/>
      <c r="H1360" s="134"/>
    </row>
    <row r="1361" ht="55.5" customHeight="1">
      <c r="A1361" s="134"/>
      <c r="B1361" s="134"/>
      <c r="C1361" s="134"/>
      <c r="D1361" s="134"/>
      <c r="E1361" s="136"/>
      <c r="F1361" s="134"/>
      <c r="G1361" s="134"/>
      <c r="H1361" s="134"/>
    </row>
    <row r="1362" ht="55.5" customHeight="1">
      <c r="A1362" s="134"/>
      <c r="B1362" s="134"/>
      <c r="C1362" s="134"/>
      <c r="D1362" s="134"/>
      <c r="E1362" s="136"/>
      <c r="F1362" s="134"/>
      <c r="G1362" s="134"/>
      <c r="H1362" s="134"/>
    </row>
    <row r="1363" ht="55.5" customHeight="1">
      <c r="A1363" s="134"/>
      <c r="B1363" s="134"/>
      <c r="C1363" s="134"/>
      <c r="D1363" s="134"/>
      <c r="E1363" s="136"/>
      <c r="F1363" s="134"/>
      <c r="G1363" s="134"/>
      <c r="H1363" s="134"/>
    </row>
    <row r="1364" ht="55.5" customHeight="1">
      <c r="A1364" s="134"/>
      <c r="B1364" s="134"/>
      <c r="C1364" s="134"/>
      <c r="D1364" s="134"/>
      <c r="E1364" s="136"/>
      <c r="F1364" s="134"/>
      <c r="G1364" s="134"/>
      <c r="H1364" s="134"/>
    </row>
    <row r="1365" ht="55.5" customHeight="1">
      <c r="A1365" s="134"/>
      <c r="B1365" s="134"/>
      <c r="C1365" s="134"/>
      <c r="D1365" s="134"/>
      <c r="E1365" s="136"/>
      <c r="F1365" s="134"/>
      <c r="G1365" s="134"/>
      <c r="H1365" s="134"/>
    </row>
    <row r="1366" ht="55.5" customHeight="1">
      <c r="A1366" s="134"/>
      <c r="B1366" s="134"/>
      <c r="C1366" s="134"/>
      <c r="D1366" s="134"/>
      <c r="E1366" s="136"/>
      <c r="F1366" s="134"/>
      <c r="G1366" s="134"/>
      <c r="H1366" s="134"/>
    </row>
    <row r="1367" ht="55.5" customHeight="1">
      <c r="A1367" s="134"/>
      <c r="B1367" s="134"/>
      <c r="C1367" s="134"/>
      <c r="D1367" s="134"/>
      <c r="E1367" s="136"/>
      <c r="F1367" s="134"/>
      <c r="G1367" s="134"/>
      <c r="H1367" s="134"/>
    </row>
    <row r="1368" ht="55.5" customHeight="1">
      <c r="A1368" s="134"/>
      <c r="B1368" s="134"/>
      <c r="C1368" s="134"/>
      <c r="D1368" s="134"/>
      <c r="E1368" s="136"/>
      <c r="F1368" s="134"/>
      <c r="G1368" s="134"/>
      <c r="H1368" s="134"/>
    </row>
    <row r="1369" ht="55.5" customHeight="1">
      <c r="A1369" s="134"/>
      <c r="B1369" s="134"/>
      <c r="C1369" s="134"/>
      <c r="D1369" s="134"/>
      <c r="E1369" s="136"/>
      <c r="F1369" s="134"/>
      <c r="G1369" s="134"/>
      <c r="H1369" s="134"/>
    </row>
    <row r="1370" ht="55.5" customHeight="1">
      <c r="A1370" s="134"/>
      <c r="B1370" s="134"/>
      <c r="C1370" s="134"/>
      <c r="D1370" s="134"/>
      <c r="E1370" s="136"/>
      <c r="F1370" s="134"/>
      <c r="G1370" s="134"/>
      <c r="H1370" s="134"/>
    </row>
    <row r="1371" ht="55.5" customHeight="1">
      <c r="A1371" s="134"/>
      <c r="B1371" s="134"/>
      <c r="C1371" s="134"/>
      <c r="D1371" s="134"/>
      <c r="E1371" s="136"/>
      <c r="F1371" s="134"/>
      <c r="G1371" s="134"/>
      <c r="H1371" s="134"/>
    </row>
    <row r="1372" ht="55.5" customHeight="1">
      <c r="A1372" s="134"/>
      <c r="B1372" s="134"/>
      <c r="C1372" s="134"/>
      <c r="D1372" s="134"/>
      <c r="E1372" s="136"/>
      <c r="F1372" s="134"/>
      <c r="G1372" s="134"/>
      <c r="H1372" s="134"/>
    </row>
    <row r="1373" ht="55.5" customHeight="1">
      <c r="A1373" s="134"/>
      <c r="B1373" s="134"/>
      <c r="C1373" s="134"/>
      <c r="D1373" s="134"/>
      <c r="E1373" s="136"/>
      <c r="F1373" s="134"/>
      <c r="G1373" s="134"/>
      <c r="H1373" s="134"/>
    </row>
    <row r="1374" ht="55.5" customHeight="1">
      <c r="A1374" s="134"/>
      <c r="B1374" s="134"/>
      <c r="C1374" s="134"/>
      <c r="D1374" s="134"/>
      <c r="E1374" s="136"/>
      <c r="F1374" s="134"/>
      <c r="G1374" s="134"/>
      <c r="H1374" s="134"/>
    </row>
    <row r="1375" ht="55.5" customHeight="1">
      <c r="A1375" s="134"/>
      <c r="B1375" s="134"/>
      <c r="C1375" s="134"/>
      <c r="D1375" s="134"/>
      <c r="E1375" s="136"/>
      <c r="F1375" s="134"/>
      <c r="G1375" s="134"/>
      <c r="H1375" s="134"/>
    </row>
    <row r="1376" ht="55.5" customHeight="1">
      <c r="A1376" s="134"/>
      <c r="B1376" s="134"/>
      <c r="C1376" s="134"/>
      <c r="D1376" s="134"/>
      <c r="E1376" s="136"/>
      <c r="F1376" s="134"/>
      <c r="G1376" s="134"/>
      <c r="H1376" s="134"/>
    </row>
    <row r="1377" ht="55.5" customHeight="1">
      <c r="A1377" s="134"/>
      <c r="B1377" s="134"/>
      <c r="C1377" s="134"/>
      <c r="D1377" s="134"/>
      <c r="E1377" s="136"/>
      <c r="F1377" s="134"/>
      <c r="G1377" s="134"/>
      <c r="H1377" s="134"/>
    </row>
    <row r="1378" ht="55.5" customHeight="1">
      <c r="A1378" s="134"/>
      <c r="B1378" s="134"/>
      <c r="C1378" s="134"/>
      <c r="D1378" s="134"/>
      <c r="E1378" s="136"/>
      <c r="F1378" s="134"/>
      <c r="G1378" s="134"/>
      <c r="H1378" s="134"/>
    </row>
    <row r="1379" ht="55.5" customHeight="1">
      <c r="A1379" s="134"/>
      <c r="B1379" s="134"/>
      <c r="C1379" s="134"/>
      <c r="D1379" s="134"/>
      <c r="E1379" s="136"/>
      <c r="F1379" s="134"/>
      <c r="G1379" s="134"/>
      <c r="H1379" s="134"/>
    </row>
    <row r="1380" ht="55.5" customHeight="1">
      <c r="A1380" s="134"/>
      <c r="B1380" s="134"/>
      <c r="C1380" s="134"/>
      <c r="D1380" s="134"/>
      <c r="E1380" s="136"/>
      <c r="F1380" s="134"/>
      <c r="G1380" s="134"/>
      <c r="H1380" s="134"/>
    </row>
    <row r="1381" ht="55.5" customHeight="1">
      <c r="A1381" s="134"/>
      <c r="B1381" s="134"/>
      <c r="C1381" s="134"/>
      <c r="D1381" s="134"/>
      <c r="E1381" s="136"/>
      <c r="F1381" s="134"/>
      <c r="G1381" s="134"/>
      <c r="H1381" s="134"/>
    </row>
    <row r="1382" ht="55.5" customHeight="1">
      <c r="A1382" s="134"/>
      <c r="B1382" s="134"/>
      <c r="C1382" s="134"/>
      <c r="D1382" s="134"/>
      <c r="E1382" s="136"/>
      <c r="F1382" s="134"/>
      <c r="G1382" s="134"/>
      <c r="H1382" s="134"/>
    </row>
    <row r="1383" ht="55.5" customHeight="1">
      <c r="A1383" s="134"/>
      <c r="B1383" s="134"/>
      <c r="C1383" s="134"/>
      <c r="D1383" s="134"/>
      <c r="E1383" s="136"/>
      <c r="F1383" s="134"/>
      <c r="G1383" s="134"/>
      <c r="H1383" s="134"/>
    </row>
    <row r="1384" ht="55.5" customHeight="1">
      <c r="A1384" s="134"/>
      <c r="B1384" s="134"/>
      <c r="C1384" s="134"/>
      <c r="D1384" s="134"/>
      <c r="E1384" s="136"/>
      <c r="F1384" s="134"/>
      <c r="G1384" s="134"/>
      <c r="H1384" s="134"/>
    </row>
    <row r="1385" ht="55.5" customHeight="1">
      <c r="A1385" s="134"/>
      <c r="B1385" s="134"/>
      <c r="C1385" s="134"/>
      <c r="D1385" s="134"/>
      <c r="E1385" s="136"/>
      <c r="F1385" s="134"/>
      <c r="G1385" s="134"/>
      <c r="H1385" s="134"/>
    </row>
    <row r="1386" ht="55.5" customHeight="1">
      <c r="A1386" s="134"/>
      <c r="B1386" s="134"/>
      <c r="C1386" s="134"/>
      <c r="D1386" s="134"/>
      <c r="E1386" s="136"/>
      <c r="F1386" s="134"/>
      <c r="G1386" s="134"/>
      <c r="H1386" s="134"/>
    </row>
    <row r="1387" ht="55.5" customHeight="1">
      <c r="A1387" s="134"/>
      <c r="B1387" s="134"/>
      <c r="C1387" s="134"/>
      <c r="D1387" s="134"/>
      <c r="E1387" s="136"/>
      <c r="F1387" s="134"/>
      <c r="G1387" s="134"/>
      <c r="H1387" s="134"/>
    </row>
    <row r="1388" ht="55.5" customHeight="1">
      <c r="A1388" s="134"/>
      <c r="B1388" s="134"/>
      <c r="C1388" s="134"/>
      <c r="D1388" s="134"/>
      <c r="E1388" s="136"/>
      <c r="F1388" s="134"/>
      <c r="G1388" s="134"/>
      <c r="H1388" s="134"/>
    </row>
    <row r="1389" ht="55.5" customHeight="1">
      <c r="A1389" s="134"/>
      <c r="B1389" s="134"/>
      <c r="C1389" s="134"/>
      <c r="D1389" s="134"/>
      <c r="E1389" s="136"/>
      <c r="F1389" s="134"/>
      <c r="G1389" s="134"/>
      <c r="H1389" s="134"/>
    </row>
    <row r="1390" ht="55.5" customHeight="1">
      <c r="A1390" s="134"/>
      <c r="B1390" s="134"/>
      <c r="C1390" s="134"/>
      <c r="D1390" s="134"/>
      <c r="E1390" s="136"/>
      <c r="F1390" s="134"/>
      <c r="G1390" s="134"/>
      <c r="H1390" s="134"/>
    </row>
    <row r="1391" ht="55.5" customHeight="1">
      <c r="A1391" s="134"/>
      <c r="B1391" s="134"/>
      <c r="C1391" s="134"/>
      <c r="D1391" s="134"/>
      <c r="E1391" s="136"/>
      <c r="F1391" s="134"/>
      <c r="G1391" s="134"/>
      <c r="H1391" s="134"/>
    </row>
    <row r="1392" ht="55.5" customHeight="1">
      <c r="A1392" s="134"/>
      <c r="B1392" s="134"/>
      <c r="C1392" s="134"/>
      <c r="D1392" s="134"/>
      <c r="E1392" s="136"/>
      <c r="F1392" s="134"/>
      <c r="G1392" s="134"/>
      <c r="H1392" s="134"/>
    </row>
    <row r="1393" ht="55.5" customHeight="1">
      <c r="A1393" s="134"/>
      <c r="B1393" s="134"/>
      <c r="C1393" s="134"/>
      <c r="D1393" s="134"/>
      <c r="E1393" s="136"/>
      <c r="F1393" s="134"/>
      <c r="G1393" s="134"/>
      <c r="H1393" s="134"/>
    </row>
    <row r="1394" ht="55.5" customHeight="1">
      <c r="A1394" s="134"/>
      <c r="B1394" s="134"/>
      <c r="C1394" s="134"/>
      <c r="D1394" s="134"/>
      <c r="E1394" s="136"/>
      <c r="F1394" s="134"/>
      <c r="G1394" s="134"/>
      <c r="H1394" s="134"/>
    </row>
    <row r="1395" ht="55.5" customHeight="1">
      <c r="A1395" s="134"/>
      <c r="B1395" s="134"/>
      <c r="C1395" s="134"/>
      <c r="D1395" s="134"/>
      <c r="E1395" s="136"/>
      <c r="F1395" s="134"/>
      <c r="G1395" s="134"/>
      <c r="H1395" s="134"/>
    </row>
    <row r="1396" ht="55.5" customHeight="1">
      <c r="A1396" s="134"/>
      <c r="B1396" s="134"/>
      <c r="C1396" s="134"/>
      <c r="D1396" s="134"/>
      <c r="E1396" s="136"/>
      <c r="F1396" s="134"/>
      <c r="G1396" s="134"/>
      <c r="H1396" s="134"/>
    </row>
    <row r="1397" ht="55.5" customHeight="1">
      <c r="A1397" s="134"/>
      <c r="B1397" s="134"/>
      <c r="C1397" s="134"/>
      <c r="D1397" s="134"/>
      <c r="E1397" s="136"/>
      <c r="F1397" s="134"/>
      <c r="G1397" s="134"/>
      <c r="H1397" s="134"/>
    </row>
    <row r="1398" ht="55.5" customHeight="1">
      <c r="A1398" s="134"/>
      <c r="B1398" s="134"/>
      <c r="C1398" s="134"/>
      <c r="D1398" s="134"/>
      <c r="E1398" s="136"/>
      <c r="F1398" s="134"/>
      <c r="G1398" s="134"/>
      <c r="H1398" s="134"/>
    </row>
    <row r="1399" ht="55.5" customHeight="1">
      <c r="A1399" s="134"/>
      <c r="B1399" s="134"/>
      <c r="C1399" s="134"/>
      <c r="D1399" s="134"/>
      <c r="E1399" s="136"/>
      <c r="F1399" s="134"/>
      <c r="G1399" s="134"/>
      <c r="H1399" s="134"/>
    </row>
    <row r="1400" ht="55.5" customHeight="1">
      <c r="A1400" s="134"/>
      <c r="B1400" s="134"/>
      <c r="C1400" s="134"/>
      <c r="D1400" s="134"/>
      <c r="E1400" s="136"/>
      <c r="F1400" s="134"/>
      <c r="G1400" s="134"/>
      <c r="H1400" s="134"/>
    </row>
    <row r="1401" ht="55.5" customHeight="1">
      <c r="A1401" s="134"/>
      <c r="B1401" s="134"/>
      <c r="C1401" s="134"/>
      <c r="D1401" s="134"/>
      <c r="E1401" s="136"/>
      <c r="F1401" s="134"/>
      <c r="G1401" s="134"/>
      <c r="H1401" s="134"/>
    </row>
    <row r="1402" ht="55.5" customHeight="1">
      <c r="A1402" s="134"/>
      <c r="B1402" s="134"/>
      <c r="C1402" s="134"/>
      <c r="D1402" s="134"/>
      <c r="E1402" s="136"/>
      <c r="F1402" s="134"/>
      <c r="G1402" s="134"/>
      <c r="H1402" s="134"/>
    </row>
    <row r="1403" ht="55.5" customHeight="1">
      <c r="A1403" s="134"/>
      <c r="B1403" s="134"/>
      <c r="C1403" s="134"/>
      <c r="D1403" s="134"/>
      <c r="E1403" s="136"/>
      <c r="F1403" s="134"/>
      <c r="G1403" s="134"/>
      <c r="H1403" s="134"/>
    </row>
    <row r="1404" ht="55.5" customHeight="1">
      <c r="A1404" s="134"/>
      <c r="B1404" s="134"/>
      <c r="C1404" s="134"/>
      <c r="D1404" s="134"/>
      <c r="E1404" s="136"/>
      <c r="F1404" s="134"/>
      <c r="G1404" s="134"/>
      <c r="H1404" s="134"/>
    </row>
    <row r="1405" ht="55.5" customHeight="1">
      <c r="A1405" s="134"/>
      <c r="B1405" s="134"/>
      <c r="C1405" s="134"/>
      <c r="D1405" s="134"/>
      <c r="E1405" s="136"/>
      <c r="F1405" s="134"/>
      <c r="G1405" s="134"/>
      <c r="H1405" s="134"/>
    </row>
    <row r="1406" ht="55.5" customHeight="1">
      <c r="A1406" s="134"/>
      <c r="B1406" s="134"/>
      <c r="C1406" s="134"/>
      <c r="D1406" s="134"/>
      <c r="E1406" s="136"/>
      <c r="F1406" s="134"/>
      <c r="G1406" s="134"/>
      <c r="H1406" s="134"/>
    </row>
    <row r="1407" ht="55.5" customHeight="1">
      <c r="A1407" s="134"/>
      <c r="B1407" s="134"/>
      <c r="C1407" s="134"/>
      <c r="D1407" s="134"/>
      <c r="E1407" s="136"/>
      <c r="F1407" s="134"/>
      <c r="G1407" s="134"/>
      <c r="H1407" s="134"/>
    </row>
    <row r="1408" ht="55.5" customHeight="1">
      <c r="A1408" s="134"/>
      <c r="B1408" s="134"/>
      <c r="C1408" s="134"/>
      <c r="D1408" s="134"/>
      <c r="E1408" s="136"/>
      <c r="F1408" s="134"/>
      <c r="G1408" s="134"/>
      <c r="H1408" s="134"/>
    </row>
    <row r="1409" ht="55.5" customHeight="1">
      <c r="A1409" s="134"/>
      <c r="B1409" s="134"/>
      <c r="C1409" s="134"/>
      <c r="D1409" s="134"/>
      <c r="E1409" s="136"/>
      <c r="F1409" s="134"/>
      <c r="G1409" s="134"/>
      <c r="H1409" s="134"/>
    </row>
    <row r="1410" ht="55.5" customHeight="1">
      <c r="A1410" s="134"/>
      <c r="B1410" s="134"/>
      <c r="C1410" s="134"/>
      <c r="D1410" s="134"/>
      <c r="E1410" s="136"/>
      <c r="F1410" s="134"/>
      <c r="G1410" s="134"/>
      <c r="H1410" s="134"/>
    </row>
    <row r="1411" ht="55.5" customHeight="1">
      <c r="A1411" s="134"/>
      <c r="B1411" s="134"/>
      <c r="C1411" s="134"/>
      <c r="D1411" s="134"/>
      <c r="E1411" s="136"/>
      <c r="F1411" s="134"/>
      <c r="G1411" s="134"/>
      <c r="H1411" s="134"/>
    </row>
    <row r="1412" ht="55.5" customHeight="1">
      <c r="A1412" s="134"/>
      <c r="B1412" s="134"/>
      <c r="C1412" s="134"/>
      <c r="D1412" s="134"/>
      <c r="E1412" s="136"/>
      <c r="F1412" s="134"/>
      <c r="G1412" s="134"/>
      <c r="H1412" s="134"/>
    </row>
    <row r="1413" ht="55.5" customHeight="1">
      <c r="A1413" s="134"/>
      <c r="B1413" s="134"/>
      <c r="C1413" s="134"/>
      <c r="D1413" s="134"/>
      <c r="E1413" s="136"/>
      <c r="F1413" s="134"/>
      <c r="G1413" s="134"/>
      <c r="H1413" s="134"/>
    </row>
    <row r="1414" ht="55.5" customHeight="1">
      <c r="A1414" s="134"/>
      <c r="B1414" s="134"/>
      <c r="C1414" s="134"/>
      <c r="D1414" s="134"/>
      <c r="E1414" s="136"/>
      <c r="F1414" s="134"/>
      <c r="G1414" s="134"/>
      <c r="H1414" s="134"/>
    </row>
    <row r="1415" ht="55.5" customHeight="1">
      <c r="A1415" s="134"/>
      <c r="B1415" s="134"/>
      <c r="C1415" s="134"/>
      <c r="D1415" s="134"/>
      <c r="E1415" s="136"/>
      <c r="F1415" s="134"/>
      <c r="G1415" s="134"/>
      <c r="H1415" s="134"/>
    </row>
    <row r="1416" ht="55.5" customHeight="1">
      <c r="A1416" s="134"/>
      <c r="B1416" s="134"/>
      <c r="C1416" s="134"/>
      <c r="D1416" s="134"/>
      <c r="E1416" s="136"/>
      <c r="F1416" s="134"/>
      <c r="G1416" s="134"/>
      <c r="H1416" s="134"/>
    </row>
    <row r="1417" ht="55.5" customHeight="1">
      <c r="A1417" s="134"/>
      <c r="B1417" s="134"/>
      <c r="C1417" s="134"/>
      <c r="D1417" s="134"/>
      <c r="E1417" s="136"/>
      <c r="F1417" s="134"/>
      <c r="G1417" s="134"/>
      <c r="H1417" s="134"/>
    </row>
    <row r="1418" ht="55.5" customHeight="1">
      <c r="A1418" s="134"/>
      <c r="B1418" s="134"/>
      <c r="C1418" s="134"/>
      <c r="D1418" s="134"/>
      <c r="E1418" s="136"/>
      <c r="F1418" s="134"/>
      <c r="G1418" s="134"/>
      <c r="H1418" s="134"/>
    </row>
    <row r="1419" ht="55.5" customHeight="1">
      <c r="A1419" s="134"/>
      <c r="B1419" s="134"/>
      <c r="C1419" s="134"/>
      <c r="D1419" s="134"/>
      <c r="E1419" s="136"/>
      <c r="F1419" s="134"/>
      <c r="G1419" s="134"/>
      <c r="H1419" s="134"/>
    </row>
    <row r="1420" ht="55.5" customHeight="1">
      <c r="A1420" s="134"/>
      <c r="B1420" s="134"/>
      <c r="C1420" s="134"/>
      <c r="D1420" s="134"/>
      <c r="E1420" s="136"/>
      <c r="F1420" s="134"/>
      <c r="G1420" s="134"/>
      <c r="H1420" s="134"/>
    </row>
    <row r="1421" ht="55.5" customHeight="1">
      <c r="A1421" s="134"/>
      <c r="B1421" s="134"/>
      <c r="C1421" s="134"/>
      <c r="D1421" s="134"/>
      <c r="E1421" s="136"/>
      <c r="F1421" s="134"/>
      <c r="G1421" s="134"/>
      <c r="H1421" s="134"/>
    </row>
    <row r="1422" ht="55.5" customHeight="1">
      <c r="A1422" s="134"/>
      <c r="B1422" s="134"/>
      <c r="C1422" s="134"/>
      <c r="D1422" s="134"/>
      <c r="E1422" s="136"/>
      <c r="F1422" s="134"/>
      <c r="G1422" s="134"/>
      <c r="H1422" s="134"/>
    </row>
    <row r="1423" ht="55.5" customHeight="1">
      <c r="A1423" s="134"/>
      <c r="B1423" s="134"/>
      <c r="C1423" s="134"/>
      <c r="D1423" s="134"/>
      <c r="E1423" s="136"/>
      <c r="F1423" s="134"/>
      <c r="G1423" s="134"/>
      <c r="H1423" s="134"/>
    </row>
    <row r="1424" ht="55.5" customHeight="1">
      <c r="A1424" s="134"/>
      <c r="B1424" s="134"/>
      <c r="C1424" s="134"/>
      <c r="D1424" s="134"/>
      <c r="E1424" s="136"/>
      <c r="F1424" s="134"/>
      <c r="G1424" s="134"/>
      <c r="H1424" s="134"/>
    </row>
    <row r="1425" ht="55.5" customHeight="1">
      <c r="A1425" s="134"/>
      <c r="B1425" s="134"/>
      <c r="C1425" s="134"/>
      <c r="D1425" s="134"/>
      <c r="E1425" s="136"/>
      <c r="F1425" s="134"/>
      <c r="G1425" s="134"/>
      <c r="H1425" s="134"/>
    </row>
    <row r="1426" ht="55.5" customHeight="1">
      <c r="A1426" s="134"/>
      <c r="B1426" s="134"/>
      <c r="C1426" s="134"/>
      <c r="D1426" s="134"/>
      <c r="E1426" s="136"/>
      <c r="F1426" s="134"/>
      <c r="G1426" s="134"/>
      <c r="H1426" s="134"/>
    </row>
    <row r="1427" ht="55.5" customHeight="1">
      <c r="A1427" s="134"/>
      <c r="B1427" s="134"/>
      <c r="C1427" s="134"/>
      <c r="D1427" s="134"/>
      <c r="E1427" s="136"/>
      <c r="F1427" s="134"/>
      <c r="G1427" s="134"/>
      <c r="H1427" s="134"/>
    </row>
    <row r="1428" ht="55.5" customHeight="1">
      <c r="A1428" s="134"/>
      <c r="B1428" s="134"/>
      <c r="C1428" s="134"/>
      <c r="D1428" s="134"/>
      <c r="E1428" s="136"/>
      <c r="F1428" s="134"/>
      <c r="G1428" s="134"/>
      <c r="H1428" s="134"/>
    </row>
    <row r="1429" ht="55.5" customHeight="1">
      <c r="A1429" s="134"/>
      <c r="B1429" s="134"/>
      <c r="C1429" s="134"/>
      <c r="D1429" s="134"/>
      <c r="E1429" s="136"/>
      <c r="F1429" s="134"/>
      <c r="G1429" s="134"/>
      <c r="H1429" s="134"/>
    </row>
    <row r="1430" ht="55.5" customHeight="1">
      <c r="A1430" s="134"/>
      <c r="B1430" s="134"/>
      <c r="C1430" s="134"/>
      <c r="D1430" s="134"/>
      <c r="E1430" s="136"/>
      <c r="F1430" s="134"/>
      <c r="G1430" s="134"/>
      <c r="H1430" s="134"/>
    </row>
    <row r="1431" ht="55.5" customHeight="1">
      <c r="A1431" s="134"/>
      <c r="B1431" s="134"/>
      <c r="C1431" s="134"/>
      <c r="D1431" s="134"/>
      <c r="E1431" s="136"/>
      <c r="F1431" s="134"/>
      <c r="G1431" s="134"/>
      <c r="H1431" s="134"/>
    </row>
    <row r="1432" ht="55.5" customHeight="1">
      <c r="A1432" s="134"/>
      <c r="B1432" s="134"/>
      <c r="C1432" s="134"/>
      <c r="D1432" s="134"/>
      <c r="E1432" s="136"/>
      <c r="F1432" s="134"/>
      <c r="G1432" s="134"/>
      <c r="H1432" s="134"/>
    </row>
    <row r="1433" ht="55.5" customHeight="1">
      <c r="A1433" s="134"/>
      <c r="B1433" s="134"/>
      <c r="C1433" s="134"/>
      <c r="D1433" s="134"/>
      <c r="E1433" s="136"/>
      <c r="F1433" s="134"/>
      <c r="G1433" s="134"/>
      <c r="H1433" s="134"/>
    </row>
    <row r="1434" ht="55.5" customHeight="1">
      <c r="A1434" s="134"/>
      <c r="B1434" s="134"/>
      <c r="C1434" s="134"/>
      <c r="D1434" s="134"/>
      <c r="E1434" s="136"/>
      <c r="F1434" s="134"/>
      <c r="G1434" s="134"/>
      <c r="H1434" s="134"/>
    </row>
    <row r="1435" ht="55.5" customHeight="1">
      <c r="A1435" s="134"/>
      <c r="B1435" s="134"/>
      <c r="C1435" s="134"/>
      <c r="D1435" s="134"/>
      <c r="E1435" s="136"/>
      <c r="F1435" s="134"/>
      <c r="G1435" s="134"/>
      <c r="H1435" s="134"/>
    </row>
    <row r="1436" ht="55.5" customHeight="1">
      <c r="A1436" s="134"/>
      <c r="B1436" s="134"/>
      <c r="C1436" s="134"/>
      <c r="D1436" s="134"/>
      <c r="E1436" s="136"/>
      <c r="F1436" s="134"/>
      <c r="G1436" s="134"/>
      <c r="H1436" s="134"/>
    </row>
    <row r="1437" ht="55.5" customHeight="1">
      <c r="A1437" s="134"/>
      <c r="B1437" s="134"/>
      <c r="C1437" s="134"/>
      <c r="D1437" s="134"/>
      <c r="E1437" s="136"/>
      <c r="F1437" s="134"/>
      <c r="G1437" s="134"/>
      <c r="H1437" s="134"/>
    </row>
    <row r="1438" ht="55.5" customHeight="1">
      <c r="A1438" s="134"/>
      <c r="B1438" s="134"/>
      <c r="C1438" s="134"/>
      <c r="D1438" s="134"/>
      <c r="E1438" s="136"/>
      <c r="F1438" s="134"/>
      <c r="G1438" s="134"/>
      <c r="H1438" s="134"/>
    </row>
    <row r="1439" ht="55.5" customHeight="1">
      <c r="A1439" s="134"/>
      <c r="B1439" s="134"/>
      <c r="C1439" s="134"/>
      <c r="D1439" s="134"/>
      <c r="E1439" s="136"/>
      <c r="F1439" s="134"/>
      <c r="G1439" s="134"/>
      <c r="H1439" s="134"/>
    </row>
    <row r="1440" ht="55.5" customHeight="1">
      <c r="A1440" s="134"/>
      <c r="B1440" s="134"/>
      <c r="C1440" s="134"/>
      <c r="D1440" s="134"/>
      <c r="E1440" s="136"/>
      <c r="F1440" s="134"/>
      <c r="G1440" s="134"/>
      <c r="H1440" s="134"/>
    </row>
    <row r="1441" ht="55.5" customHeight="1">
      <c r="A1441" s="134"/>
      <c r="B1441" s="134"/>
      <c r="C1441" s="134"/>
      <c r="D1441" s="134"/>
      <c r="E1441" s="136"/>
      <c r="F1441" s="134"/>
      <c r="G1441" s="134"/>
      <c r="H1441" s="134"/>
    </row>
    <row r="1442" ht="55.5" customHeight="1">
      <c r="A1442" s="134"/>
      <c r="B1442" s="134"/>
      <c r="C1442" s="134"/>
      <c r="D1442" s="134"/>
      <c r="E1442" s="136"/>
      <c r="F1442" s="134"/>
      <c r="G1442" s="134"/>
      <c r="H1442" s="134"/>
    </row>
    <row r="1443" ht="55.5" customHeight="1">
      <c r="A1443" s="134"/>
      <c r="B1443" s="134"/>
      <c r="C1443" s="134"/>
      <c r="D1443" s="134"/>
      <c r="E1443" s="136"/>
      <c r="F1443" s="134"/>
      <c r="G1443" s="134"/>
      <c r="H1443" s="134"/>
    </row>
    <row r="1444" ht="55.5" customHeight="1">
      <c r="A1444" s="134"/>
      <c r="B1444" s="134"/>
      <c r="C1444" s="134"/>
      <c r="D1444" s="134"/>
      <c r="E1444" s="136"/>
      <c r="F1444" s="134"/>
      <c r="G1444" s="134"/>
      <c r="H1444" s="134"/>
    </row>
    <row r="1445" ht="55.5" customHeight="1">
      <c r="A1445" s="134"/>
      <c r="B1445" s="134"/>
      <c r="C1445" s="134"/>
      <c r="D1445" s="134"/>
      <c r="E1445" s="136"/>
      <c r="F1445" s="134"/>
      <c r="G1445" s="134"/>
      <c r="H1445" s="134"/>
    </row>
    <row r="1446" ht="55.5" customHeight="1">
      <c r="A1446" s="134"/>
      <c r="B1446" s="134"/>
      <c r="C1446" s="134"/>
      <c r="D1446" s="134"/>
      <c r="E1446" s="136"/>
      <c r="F1446" s="134"/>
      <c r="G1446" s="134"/>
      <c r="H1446" s="134"/>
    </row>
    <row r="1447" ht="55.5" customHeight="1">
      <c r="A1447" s="134"/>
      <c r="B1447" s="134"/>
      <c r="C1447" s="134"/>
      <c r="D1447" s="134"/>
      <c r="E1447" s="136"/>
      <c r="F1447" s="134"/>
      <c r="G1447" s="134"/>
      <c r="H1447" s="134"/>
    </row>
    <row r="1448" ht="55.5" customHeight="1">
      <c r="A1448" s="134"/>
      <c r="B1448" s="134"/>
      <c r="C1448" s="134"/>
      <c r="D1448" s="134"/>
      <c r="E1448" s="136"/>
      <c r="F1448" s="134"/>
      <c r="G1448" s="134"/>
      <c r="H1448" s="134"/>
    </row>
    <row r="1449" ht="55.5" customHeight="1">
      <c r="A1449" s="134"/>
      <c r="B1449" s="134"/>
      <c r="C1449" s="134"/>
      <c r="D1449" s="134"/>
      <c r="E1449" s="136"/>
      <c r="F1449" s="134"/>
      <c r="G1449" s="134"/>
      <c r="H1449" s="134"/>
    </row>
    <row r="1450" ht="55.5" customHeight="1">
      <c r="A1450" s="134"/>
      <c r="B1450" s="134"/>
      <c r="C1450" s="134"/>
      <c r="D1450" s="134"/>
      <c r="E1450" s="136"/>
      <c r="F1450" s="134"/>
      <c r="G1450" s="134"/>
      <c r="H1450" s="134"/>
    </row>
    <row r="1451" ht="55.5" customHeight="1">
      <c r="A1451" s="134"/>
      <c r="B1451" s="134"/>
      <c r="C1451" s="134"/>
      <c r="D1451" s="134"/>
      <c r="E1451" s="136"/>
      <c r="F1451" s="134"/>
      <c r="G1451" s="134"/>
      <c r="H1451" s="134"/>
    </row>
    <row r="1452" ht="55.5" customHeight="1">
      <c r="A1452" s="134"/>
      <c r="B1452" s="134"/>
      <c r="C1452" s="134"/>
      <c r="D1452" s="134"/>
      <c r="E1452" s="136"/>
      <c r="F1452" s="134"/>
      <c r="G1452" s="134"/>
      <c r="H1452" s="134"/>
    </row>
    <row r="1453" ht="55.5" customHeight="1">
      <c r="A1453" s="134"/>
      <c r="B1453" s="134"/>
      <c r="C1453" s="134"/>
      <c r="D1453" s="134"/>
      <c r="E1453" s="136"/>
      <c r="F1453" s="134"/>
      <c r="G1453" s="134"/>
      <c r="H1453" s="134"/>
    </row>
    <row r="1454" ht="55.5" customHeight="1">
      <c r="A1454" s="134"/>
      <c r="B1454" s="134"/>
      <c r="C1454" s="134"/>
      <c r="D1454" s="134"/>
      <c r="E1454" s="136"/>
      <c r="F1454" s="134"/>
      <c r="G1454" s="134"/>
      <c r="H1454" s="134"/>
    </row>
    <row r="1455" ht="55.5" customHeight="1">
      <c r="A1455" s="134"/>
      <c r="B1455" s="134"/>
      <c r="C1455" s="134"/>
      <c r="D1455" s="134"/>
      <c r="E1455" s="136"/>
      <c r="F1455" s="134"/>
      <c r="G1455" s="134"/>
      <c r="H1455" s="134"/>
    </row>
    <row r="1456" ht="55.5" customHeight="1">
      <c r="A1456" s="134"/>
      <c r="B1456" s="134"/>
      <c r="C1456" s="134"/>
      <c r="D1456" s="134"/>
      <c r="E1456" s="136"/>
      <c r="F1456" s="134"/>
      <c r="G1456" s="134"/>
      <c r="H1456" s="134"/>
    </row>
    <row r="1457" ht="55.5" customHeight="1">
      <c r="A1457" s="134"/>
      <c r="B1457" s="134"/>
      <c r="C1457" s="134"/>
      <c r="D1457" s="134"/>
      <c r="E1457" s="136"/>
      <c r="F1457" s="134"/>
      <c r="G1457" s="134"/>
      <c r="H1457" s="134"/>
    </row>
    <row r="1458" ht="55.5" customHeight="1">
      <c r="A1458" s="134"/>
      <c r="B1458" s="134"/>
      <c r="C1458" s="134"/>
      <c r="D1458" s="134"/>
      <c r="E1458" s="136"/>
      <c r="F1458" s="134"/>
      <c r="G1458" s="134"/>
      <c r="H1458" s="134"/>
    </row>
    <row r="1459" ht="55.5" customHeight="1">
      <c r="A1459" s="134"/>
      <c r="B1459" s="134"/>
      <c r="C1459" s="134"/>
      <c r="D1459" s="134"/>
      <c r="E1459" s="136"/>
      <c r="F1459" s="134"/>
      <c r="G1459" s="134"/>
      <c r="H1459" s="134"/>
    </row>
    <row r="1460" ht="55.5" customHeight="1">
      <c r="A1460" s="134"/>
      <c r="B1460" s="134"/>
      <c r="C1460" s="134"/>
      <c r="D1460" s="134"/>
      <c r="E1460" s="136"/>
      <c r="F1460" s="134"/>
      <c r="G1460" s="134"/>
      <c r="H1460" s="134"/>
    </row>
    <row r="1461" ht="55.5" customHeight="1">
      <c r="A1461" s="134"/>
      <c r="B1461" s="134"/>
      <c r="C1461" s="134"/>
      <c r="D1461" s="134"/>
      <c r="E1461" s="136"/>
      <c r="F1461" s="134"/>
      <c r="G1461" s="134"/>
      <c r="H1461" s="134"/>
    </row>
    <row r="1462" ht="55.5" customHeight="1">
      <c r="A1462" s="134"/>
      <c r="B1462" s="134"/>
      <c r="C1462" s="134"/>
      <c r="D1462" s="134"/>
      <c r="E1462" s="136"/>
      <c r="F1462" s="134"/>
      <c r="G1462" s="134"/>
      <c r="H1462" s="134"/>
    </row>
    <row r="1463" ht="55.5" customHeight="1">
      <c r="A1463" s="134"/>
      <c r="B1463" s="134"/>
      <c r="C1463" s="134"/>
      <c r="D1463" s="134"/>
      <c r="E1463" s="136"/>
      <c r="F1463" s="134"/>
      <c r="G1463" s="134"/>
      <c r="H1463" s="134"/>
    </row>
    <row r="1464" ht="55.5" customHeight="1">
      <c r="A1464" s="134"/>
      <c r="B1464" s="134"/>
      <c r="C1464" s="134"/>
      <c r="D1464" s="134"/>
      <c r="E1464" s="136"/>
      <c r="F1464" s="134"/>
      <c r="G1464" s="134"/>
      <c r="H1464" s="134"/>
    </row>
    <row r="1465" ht="55.5" customHeight="1">
      <c r="A1465" s="134"/>
      <c r="B1465" s="134"/>
      <c r="C1465" s="134"/>
      <c r="D1465" s="134"/>
      <c r="E1465" s="136"/>
      <c r="F1465" s="134"/>
      <c r="G1465" s="134"/>
      <c r="H1465" s="134"/>
    </row>
    <row r="1466" ht="55.5" customHeight="1">
      <c r="A1466" s="134"/>
      <c r="B1466" s="134"/>
      <c r="C1466" s="134"/>
      <c r="D1466" s="134"/>
      <c r="E1466" s="136"/>
      <c r="F1466" s="134"/>
      <c r="G1466" s="134"/>
      <c r="H1466" s="134"/>
    </row>
    <row r="1467" ht="55.5" customHeight="1">
      <c r="A1467" s="134"/>
      <c r="B1467" s="134"/>
      <c r="C1467" s="134"/>
      <c r="D1467" s="134"/>
      <c r="E1467" s="136"/>
      <c r="F1467" s="134"/>
      <c r="G1467" s="134"/>
      <c r="H1467" s="134"/>
    </row>
    <row r="1468" ht="55.5" customHeight="1">
      <c r="A1468" s="134"/>
      <c r="B1468" s="134"/>
      <c r="C1468" s="134"/>
      <c r="D1468" s="134"/>
      <c r="E1468" s="136"/>
      <c r="F1468" s="134"/>
      <c r="G1468" s="134"/>
      <c r="H1468" s="134"/>
    </row>
    <row r="1469" ht="55.5" customHeight="1">
      <c r="A1469" s="134"/>
      <c r="B1469" s="134"/>
      <c r="C1469" s="134"/>
      <c r="D1469" s="134"/>
      <c r="E1469" s="136"/>
      <c r="F1469" s="134"/>
      <c r="G1469" s="134"/>
      <c r="H1469" s="134"/>
    </row>
    <row r="1470" ht="55.5" customHeight="1">
      <c r="A1470" s="134"/>
      <c r="B1470" s="134"/>
      <c r="C1470" s="134"/>
      <c r="D1470" s="134"/>
      <c r="E1470" s="136"/>
      <c r="F1470" s="134"/>
      <c r="G1470" s="134"/>
      <c r="H1470" s="134"/>
    </row>
    <row r="1471" ht="55.5" customHeight="1">
      <c r="A1471" s="134"/>
      <c r="B1471" s="134"/>
      <c r="C1471" s="134"/>
      <c r="D1471" s="134"/>
      <c r="E1471" s="136"/>
      <c r="F1471" s="134"/>
      <c r="G1471" s="134"/>
      <c r="H1471" s="134"/>
    </row>
    <row r="1472" ht="55.5" customHeight="1">
      <c r="A1472" s="134"/>
      <c r="B1472" s="134"/>
      <c r="C1472" s="134"/>
      <c r="D1472" s="134"/>
      <c r="E1472" s="136"/>
      <c r="F1472" s="134"/>
      <c r="G1472" s="134"/>
      <c r="H1472" s="134"/>
    </row>
    <row r="1473" ht="55.5" customHeight="1">
      <c r="A1473" s="134"/>
      <c r="B1473" s="134"/>
      <c r="C1473" s="134"/>
      <c r="D1473" s="134"/>
      <c r="E1473" s="136"/>
      <c r="F1473" s="134"/>
      <c r="G1473" s="134"/>
      <c r="H1473" s="134"/>
    </row>
    <row r="1474" ht="55.5" customHeight="1">
      <c r="A1474" s="134"/>
      <c r="B1474" s="134"/>
      <c r="C1474" s="134"/>
      <c r="D1474" s="134"/>
      <c r="E1474" s="136"/>
      <c r="F1474" s="134"/>
      <c r="G1474" s="134"/>
      <c r="H1474" s="134"/>
    </row>
    <row r="1475" ht="55.5" customHeight="1">
      <c r="A1475" s="134"/>
      <c r="B1475" s="134"/>
      <c r="C1475" s="134"/>
      <c r="D1475" s="134"/>
      <c r="E1475" s="136"/>
      <c r="F1475" s="134"/>
      <c r="G1475" s="134"/>
      <c r="H1475" s="134"/>
    </row>
    <row r="1476" ht="55.5" customHeight="1">
      <c r="A1476" s="134"/>
      <c r="B1476" s="134"/>
      <c r="C1476" s="134"/>
      <c r="D1476" s="134"/>
      <c r="E1476" s="136"/>
      <c r="F1476" s="134"/>
      <c r="G1476" s="134"/>
      <c r="H1476" s="134"/>
    </row>
    <row r="1477" ht="55.5" customHeight="1">
      <c r="A1477" s="134"/>
      <c r="B1477" s="134"/>
      <c r="C1477" s="134"/>
      <c r="D1477" s="134"/>
      <c r="E1477" s="136"/>
      <c r="F1477" s="134"/>
      <c r="G1477" s="134"/>
      <c r="H1477" s="134"/>
    </row>
    <row r="1478" ht="55.5" customHeight="1">
      <c r="A1478" s="134"/>
      <c r="B1478" s="134"/>
      <c r="C1478" s="134"/>
      <c r="D1478" s="134"/>
      <c r="E1478" s="136"/>
      <c r="F1478" s="134"/>
      <c r="G1478" s="134"/>
      <c r="H1478" s="134"/>
    </row>
    <row r="1479" ht="55.5" customHeight="1">
      <c r="A1479" s="134"/>
      <c r="B1479" s="134"/>
      <c r="C1479" s="134"/>
      <c r="D1479" s="134"/>
      <c r="E1479" s="136"/>
      <c r="F1479" s="134"/>
      <c r="G1479" s="134"/>
      <c r="H1479" s="134"/>
    </row>
    <row r="1480" ht="55.5" customHeight="1">
      <c r="A1480" s="134"/>
      <c r="B1480" s="134"/>
      <c r="C1480" s="134"/>
      <c r="D1480" s="134"/>
      <c r="E1480" s="136"/>
      <c r="F1480" s="134"/>
      <c r="G1480" s="134"/>
      <c r="H1480" s="134"/>
    </row>
    <row r="1481" ht="55.5" customHeight="1">
      <c r="A1481" s="134"/>
      <c r="B1481" s="134"/>
      <c r="C1481" s="134"/>
      <c r="D1481" s="134"/>
      <c r="E1481" s="136"/>
      <c r="F1481" s="134"/>
      <c r="G1481" s="134"/>
      <c r="H1481" s="134"/>
    </row>
    <row r="1482" ht="55.5" customHeight="1">
      <c r="A1482" s="134"/>
      <c r="B1482" s="134"/>
      <c r="C1482" s="134"/>
      <c r="D1482" s="134"/>
      <c r="E1482" s="136"/>
      <c r="F1482" s="134"/>
      <c r="G1482" s="134"/>
      <c r="H1482" s="134"/>
    </row>
    <row r="1483" ht="55.5" customHeight="1">
      <c r="A1483" s="134"/>
      <c r="B1483" s="134"/>
      <c r="C1483" s="134"/>
      <c r="D1483" s="134"/>
      <c r="E1483" s="136"/>
      <c r="F1483" s="134"/>
      <c r="G1483" s="134"/>
      <c r="H1483" s="134"/>
    </row>
    <row r="1484" ht="55.5" customHeight="1">
      <c r="A1484" s="134"/>
      <c r="B1484" s="134"/>
      <c r="C1484" s="134"/>
      <c r="D1484" s="134"/>
      <c r="E1484" s="136"/>
      <c r="F1484" s="134"/>
      <c r="G1484" s="134"/>
      <c r="H1484" s="134"/>
    </row>
    <row r="1485" ht="55.5" customHeight="1">
      <c r="A1485" s="134"/>
      <c r="B1485" s="134"/>
      <c r="C1485" s="134"/>
      <c r="D1485" s="134"/>
      <c r="E1485" s="136"/>
      <c r="F1485" s="134"/>
      <c r="G1485" s="134"/>
      <c r="H1485" s="134"/>
    </row>
    <row r="1486" ht="55.5" customHeight="1">
      <c r="A1486" s="134"/>
      <c r="B1486" s="134"/>
      <c r="C1486" s="134"/>
      <c r="D1486" s="134"/>
      <c r="E1486" s="136"/>
      <c r="F1486" s="134"/>
      <c r="G1486" s="134"/>
      <c r="H1486" s="134"/>
    </row>
    <row r="1487" ht="55.5" customHeight="1">
      <c r="A1487" s="134"/>
      <c r="B1487" s="134"/>
      <c r="C1487" s="134"/>
      <c r="D1487" s="134"/>
      <c r="E1487" s="136"/>
      <c r="F1487" s="134"/>
      <c r="G1487" s="134"/>
      <c r="H1487" s="134"/>
    </row>
    <row r="1488" ht="55.5" customHeight="1">
      <c r="A1488" s="134"/>
      <c r="B1488" s="134"/>
      <c r="C1488" s="134"/>
      <c r="D1488" s="134"/>
      <c r="E1488" s="136"/>
      <c r="F1488" s="134"/>
      <c r="G1488" s="134"/>
      <c r="H1488" s="134"/>
    </row>
    <row r="1489" ht="55.5" customHeight="1">
      <c r="A1489" s="134"/>
      <c r="B1489" s="134"/>
      <c r="C1489" s="134"/>
      <c r="D1489" s="134"/>
      <c r="E1489" s="136"/>
      <c r="F1489" s="134"/>
      <c r="G1489" s="134"/>
      <c r="H1489" s="134"/>
    </row>
    <row r="1490" ht="55.5" customHeight="1">
      <c r="A1490" s="134"/>
      <c r="B1490" s="134"/>
      <c r="C1490" s="134"/>
      <c r="D1490" s="134"/>
      <c r="E1490" s="136"/>
      <c r="F1490" s="134"/>
      <c r="G1490" s="134"/>
      <c r="H1490" s="134"/>
    </row>
    <row r="1491" ht="55.5" customHeight="1">
      <c r="A1491" s="134"/>
      <c r="B1491" s="134"/>
      <c r="C1491" s="134"/>
      <c r="D1491" s="134"/>
      <c r="E1491" s="136"/>
      <c r="F1491" s="134"/>
      <c r="G1491" s="134"/>
      <c r="H1491" s="134"/>
    </row>
    <row r="1492" ht="55.5" customHeight="1">
      <c r="A1492" s="134"/>
      <c r="B1492" s="134"/>
      <c r="C1492" s="134"/>
      <c r="D1492" s="134"/>
      <c r="E1492" s="136"/>
      <c r="F1492" s="134"/>
      <c r="G1492" s="134"/>
      <c r="H1492" s="134"/>
    </row>
    <row r="1493" ht="55.5" customHeight="1">
      <c r="A1493" s="134"/>
      <c r="B1493" s="134"/>
      <c r="C1493" s="134"/>
      <c r="D1493" s="134"/>
      <c r="E1493" s="136"/>
      <c r="F1493" s="134"/>
      <c r="G1493" s="134"/>
      <c r="H1493" s="134"/>
    </row>
    <row r="1494" ht="55.5" customHeight="1">
      <c r="A1494" s="134"/>
      <c r="B1494" s="134"/>
      <c r="C1494" s="134"/>
      <c r="D1494" s="134"/>
      <c r="E1494" s="136"/>
      <c r="F1494" s="134"/>
      <c r="G1494" s="134"/>
      <c r="H1494" s="134"/>
    </row>
    <row r="1495" ht="55.5" customHeight="1">
      <c r="A1495" s="134"/>
      <c r="B1495" s="134"/>
      <c r="C1495" s="134"/>
      <c r="D1495" s="134"/>
      <c r="E1495" s="136"/>
      <c r="F1495" s="134"/>
      <c r="G1495" s="134"/>
      <c r="H1495" s="134"/>
    </row>
    <row r="1496" ht="55.5" customHeight="1">
      <c r="A1496" s="134"/>
      <c r="B1496" s="134"/>
      <c r="C1496" s="134"/>
      <c r="D1496" s="134"/>
      <c r="E1496" s="136"/>
      <c r="F1496" s="134"/>
      <c r="G1496" s="134"/>
      <c r="H1496" s="134"/>
    </row>
    <row r="1497" ht="55.5" customHeight="1">
      <c r="A1497" s="134"/>
      <c r="B1497" s="134"/>
      <c r="C1497" s="134"/>
      <c r="D1497" s="134"/>
      <c r="E1497" s="136"/>
      <c r="F1497" s="134"/>
      <c r="G1497" s="134"/>
      <c r="H1497" s="134"/>
    </row>
    <row r="1498" ht="55.5" customHeight="1">
      <c r="A1498" s="134"/>
      <c r="B1498" s="134"/>
      <c r="C1498" s="134"/>
      <c r="D1498" s="134"/>
      <c r="E1498" s="136"/>
      <c r="F1498" s="134"/>
      <c r="G1498" s="134"/>
      <c r="H1498" s="134"/>
    </row>
    <row r="1499" ht="55.5" customHeight="1">
      <c r="A1499" s="134"/>
      <c r="B1499" s="134"/>
      <c r="C1499" s="134"/>
      <c r="D1499" s="134"/>
      <c r="E1499" s="136"/>
      <c r="F1499" s="134"/>
      <c r="G1499" s="134"/>
      <c r="H1499" s="134"/>
    </row>
    <row r="1500" ht="55.5" customHeight="1">
      <c r="A1500" s="134"/>
      <c r="B1500" s="134"/>
      <c r="C1500" s="134"/>
      <c r="D1500" s="134"/>
      <c r="E1500" s="136"/>
      <c r="F1500" s="134"/>
      <c r="G1500" s="134"/>
      <c r="H1500" s="134"/>
    </row>
    <row r="1501" ht="55.5" customHeight="1">
      <c r="A1501" s="134"/>
      <c r="B1501" s="134"/>
      <c r="C1501" s="134"/>
      <c r="D1501" s="134"/>
      <c r="E1501" s="136"/>
      <c r="F1501" s="134"/>
      <c r="G1501" s="134"/>
      <c r="H1501" s="134"/>
    </row>
    <row r="1502" ht="55.5" customHeight="1">
      <c r="A1502" s="134"/>
      <c r="B1502" s="134"/>
      <c r="C1502" s="134"/>
      <c r="D1502" s="134"/>
      <c r="E1502" s="136"/>
      <c r="F1502" s="134"/>
      <c r="G1502" s="134"/>
      <c r="H1502" s="134"/>
    </row>
    <row r="1503" ht="55.5" customHeight="1">
      <c r="A1503" s="134"/>
      <c r="B1503" s="134"/>
      <c r="C1503" s="134"/>
      <c r="D1503" s="134"/>
      <c r="E1503" s="136"/>
      <c r="F1503" s="134"/>
      <c r="G1503" s="134"/>
      <c r="H1503" s="134"/>
    </row>
    <row r="1504" ht="55.5" customHeight="1">
      <c r="A1504" s="134"/>
      <c r="B1504" s="134"/>
      <c r="C1504" s="134"/>
      <c r="D1504" s="134"/>
      <c r="E1504" s="136"/>
      <c r="F1504" s="134"/>
      <c r="G1504" s="134"/>
      <c r="H1504" s="134"/>
    </row>
    <row r="1505" ht="55.5" customHeight="1">
      <c r="A1505" s="134"/>
      <c r="B1505" s="134"/>
      <c r="C1505" s="134"/>
      <c r="D1505" s="134"/>
      <c r="E1505" s="136"/>
      <c r="F1505" s="134"/>
      <c r="G1505" s="134"/>
      <c r="H1505" s="134"/>
    </row>
    <row r="1506" ht="55.5" customHeight="1">
      <c r="A1506" s="134"/>
      <c r="B1506" s="134"/>
      <c r="C1506" s="134"/>
      <c r="D1506" s="134"/>
      <c r="E1506" s="136"/>
      <c r="F1506" s="134"/>
      <c r="G1506" s="134"/>
      <c r="H1506" s="134"/>
    </row>
    <row r="1507" ht="55.5" customHeight="1">
      <c r="A1507" s="134"/>
      <c r="B1507" s="134"/>
      <c r="C1507" s="134"/>
      <c r="D1507" s="134"/>
      <c r="E1507" s="136"/>
      <c r="F1507" s="134"/>
      <c r="G1507" s="134"/>
      <c r="H1507" s="134"/>
    </row>
    <row r="1508" ht="55.5" customHeight="1">
      <c r="A1508" s="134"/>
      <c r="B1508" s="134"/>
      <c r="C1508" s="134"/>
      <c r="D1508" s="134"/>
      <c r="E1508" s="136"/>
      <c r="F1508" s="134"/>
      <c r="G1508" s="134"/>
      <c r="H1508" s="134"/>
    </row>
    <row r="1509" ht="55.5" customHeight="1">
      <c r="A1509" s="134"/>
      <c r="B1509" s="134"/>
      <c r="C1509" s="134"/>
      <c r="D1509" s="134"/>
      <c r="E1509" s="136"/>
      <c r="F1509" s="134"/>
      <c r="G1509" s="134"/>
      <c r="H1509" s="134"/>
    </row>
    <row r="1510" ht="55.5" customHeight="1">
      <c r="A1510" s="134"/>
      <c r="B1510" s="134"/>
      <c r="C1510" s="134"/>
      <c r="D1510" s="134"/>
      <c r="E1510" s="136"/>
      <c r="F1510" s="134"/>
      <c r="G1510" s="134"/>
      <c r="H1510" s="134"/>
    </row>
    <row r="1511" ht="55.5" customHeight="1">
      <c r="A1511" s="134"/>
      <c r="B1511" s="134"/>
      <c r="C1511" s="134"/>
      <c r="D1511" s="134"/>
      <c r="E1511" s="136"/>
      <c r="F1511" s="134"/>
      <c r="G1511" s="134"/>
      <c r="H1511" s="134"/>
    </row>
    <row r="1512" ht="55.5" customHeight="1">
      <c r="A1512" s="134"/>
      <c r="B1512" s="134"/>
      <c r="C1512" s="134"/>
      <c r="D1512" s="134"/>
      <c r="E1512" s="136"/>
      <c r="F1512" s="134"/>
      <c r="G1512" s="134"/>
      <c r="H1512" s="134"/>
    </row>
    <row r="1513" ht="55.5" customHeight="1">
      <c r="A1513" s="134"/>
      <c r="B1513" s="134"/>
      <c r="C1513" s="134"/>
      <c r="D1513" s="134"/>
      <c r="E1513" s="136"/>
      <c r="F1513" s="134"/>
      <c r="G1513" s="134"/>
      <c r="H1513" s="134"/>
    </row>
    <row r="1514" ht="55.5" customHeight="1">
      <c r="A1514" s="134"/>
      <c r="B1514" s="134"/>
      <c r="C1514" s="134"/>
      <c r="D1514" s="134"/>
      <c r="E1514" s="136"/>
      <c r="F1514" s="134"/>
      <c r="G1514" s="134"/>
      <c r="H1514" s="134"/>
    </row>
    <row r="1515" ht="55.5" customHeight="1">
      <c r="A1515" s="134"/>
      <c r="B1515" s="134"/>
      <c r="C1515" s="134"/>
      <c r="D1515" s="134"/>
      <c r="E1515" s="136"/>
      <c r="F1515" s="134"/>
      <c r="G1515" s="134"/>
      <c r="H1515" s="134"/>
    </row>
    <row r="1516" ht="55.5" customHeight="1">
      <c r="A1516" s="134"/>
      <c r="B1516" s="134"/>
      <c r="C1516" s="134"/>
      <c r="D1516" s="134"/>
      <c r="E1516" s="136"/>
      <c r="F1516" s="134"/>
      <c r="G1516" s="134"/>
      <c r="H1516" s="134"/>
    </row>
    <row r="1517" ht="55.5" customHeight="1">
      <c r="A1517" s="134"/>
      <c r="B1517" s="134"/>
      <c r="C1517" s="134"/>
      <c r="D1517" s="134"/>
      <c r="E1517" s="136"/>
      <c r="F1517" s="134"/>
      <c r="G1517" s="134"/>
      <c r="H1517" s="134"/>
    </row>
    <row r="1518" ht="55.5" customHeight="1">
      <c r="A1518" s="134"/>
      <c r="B1518" s="134"/>
      <c r="C1518" s="134"/>
      <c r="D1518" s="134"/>
      <c r="E1518" s="136"/>
      <c r="F1518" s="134"/>
      <c r="G1518" s="134"/>
      <c r="H1518" s="134"/>
    </row>
    <row r="1519" ht="55.5" customHeight="1">
      <c r="A1519" s="134"/>
      <c r="B1519" s="134"/>
      <c r="C1519" s="134"/>
      <c r="D1519" s="134"/>
      <c r="E1519" s="136"/>
      <c r="F1519" s="134"/>
      <c r="G1519" s="134"/>
      <c r="H1519" s="134"/>
    </row>
    <row r="1520" ht="55.5" customHeight="1">
      <c r="A1520" s="134"/>
      <c r="B1520" s="134"/>
      <c r="C1520" s="134"/>
      <c r="D1520" s="134"/>
      <c r="E1520" s="136"/>
      <c r="F1520" s="134"/>
      <c r="G1520" s="134"/>
      <c r="H1520" s="134"/>
    </row>
    <row r="1521" ht="55.5" customHeight="1">
      <c r="A1521" s="134"/>
      <c r="B1521" s="134"/>
      <c r="C1521" s="134"/>
      <c r="D1521" s="134"/>
      <c r="E1521" s="136"/>
      <c r="F1521" s="134"/>
      <c r="G1521" s="134"/>
      <c r="H1521" s="134"/>
    </row>
    <row r="1522" ht="55.5" customHeight="1">
      <c r="A1522" s="134"/>
      <c r="B1522" s="134"/>
      <c r="C1522" s="134"/>
      <c r="D1522" s="134"/>
      <c r="E1522" s="136"/>
      <c r="F1522" s="134"/>
      <c r="G1522" s="134"/>
      <c r="H1522" s="134"/>
    </row>
    <row r="1523" ht="55.5" customHeight="1">
      <c r="A1523" s="134"/>
      <c r="B1523" s="134"/>
      <c r="C1523" s="134"/>
      <c r="D1523" s="134"/>
      <c r="E1523" s="136"/>
      <c r="F1523" s="134"/>
      <c r="G1523" s="134"/>
      <c r="H1523" s="134"/>
    </row>
    <row r="1524" ht="55.5" customHeight="1">
      <c r="A1524" s="134"/>
      <c r="B1524" s="134"/>
      <c r="C1524" s="134"/>
      <c r="D1524" s="134"/>
      <c r="E1524" s="136"/>
      <c r="F1524" s="134"/>
      <c r="G1524" s="134"/>
      <c r="H1524" s="134"/>
    </row>
    <row r="1525" ht="55.5" customHeight="1">
      <c r="A1525" s="134"/>
      <c r="B1525" s="134"/>
      <c r="C1525" s="134"/>
      <c r="D1525" s="134"/>
      <c r="E1525" s="136"/>
      <c r="F1525" s="134"/>
      <c r="G1525" s="134"/>
      <c r="H1525" s="134"/>
    </row>
    <row r="1526" ht="55.5" customHeight="1">
      <c r="A1526" s="134"/>
      <c r="B1526" s="134"/>
      <c r="C1526" s="134"/>
      <c r="D1526" s="134"/>
      <c r="E1526" s="136"/>
      <c r="F1526" s="134"/>
      <c r="G1526" s="134"/>
      <c r="H1526" s="134"/>
    </row>
    <row r="1527" ht="55.5" customHeight="1">
      <c r="A1527" s="134"/>
      <c r="B1527" s="134"/>
      <c r="C1527" s="134"/>
      <c r="D1527" s="134"/>
      <c r="E1527" s="136"/>
      <c r="F1527" s="134"/>
      <c r="G1527" s="134"/>
      <c r="H1527" s="134"/>
    </row>
    <row r="1528" ht="55.5" customHeight="1">
      <c r="A1528" s="134"/>
      <c r="B1528" s="134"/>
      <c r="C1528" s="134"/>
      <c r="D1528" s="134"/>
      <c r="E1528" s="136"/>
      <c r="F1528" s="134"/>
      <c r="G1528" s="134"/>
      <c r="H1528" s="134"/>
    </row>
    <row r="1529" ht="55.5" customHeight="1">
      <c r="A1529" s="134"/>
      <c r="B1529" s="134"/>
      <c r="C1529" s="134"/>
      <c r="D1529" s="134"/>
      <c r="E1529" s="136"/>
      <c r="F1529" s="134"/>
      <c r="G1529" s="134"/>
      <c r="H1529" s="134"/>
    </row>
    <row r="1530" ht="55.5" customHeight="1">
      <c r="A1530" s="134"/>
      <c r="B1530" s="134"/>
      <c r="C1530" s="134"/>
      <c r="D1530" s="134"/>
      <c r="E1530" s="136"/>
      <c r="F1530" s="134"/>
      <c r="G1530" s="134"/>
      <c r="H1530" s="134"/>
    </row>
    <row r="1531" ht="55.5" customHeight="1">
      <c r="A1531" s="134"/>
      <c r="B1531" s="134"/>
      <c r="C1531" s="134"/>
      <c r="D1531" s="134"/>
      <c r="E1531" s="136"/>
      <c r="F1531" s="134"/>
      <c r="G1531" s="134"/>
      <c r="H1531" s="134"/>
    </row>
    <row r="1532" ht="55.5" customHeight="1">
      <c r="A1532" s="134"/>
      <c r="B1532" s="134"/>
      <c r="C1532" s="134"/>
      <c r="D1532" s="134"/>
      <c r="E1532" s="136"/>
      <c r="F1532" s="134"/>
      <c r="G1532" s="134"/>
      <c r="H1532" s="134"/>
    </row>
    <row r="1533" ht="55.5" customHeight="1">
      <c r="A1533" s="134"/>
      <c r="B1533" s="134"/>
      <c r="C1533" s="134"/>
      <c r="D1533" s="134"/>
      <c r="E1533" s="136"/>
      <c r="F1533" s="134"/>
      <c r="G1533" s="134"/>
      <c r="H1533" s="134"/>
    </row>
    <row r="1534" ht="55.5" customHeight="1">
      <c r="A1534" s="134"/>
      <c r="B1534" s="134"/>
      <c r="C1534" s="134"/>
      <c r="D1534" s="134"/>
      <c r="E1534" s="136"/>
      <c r="F1534" s="134"/>
      <c r="G1534" s="134"/>
      <c r="H1534" s="134"/>
    </row>
    <row r="1535" ht="55.5" customHeight="1">
      <c r="A1535" s="134"/>
      <c r="B1535" s="134"/>
      <c r="C1535" s="134"/>
      <c r="D1535" s="134"/>
      <c r="E1535" s="136"/>
      <c r="F1535" s="134"/>
      <c r="G1535" s="134"/>
      <c r="H1535" s="134"/>
    </row>
    <row r="1536" ht="55.5" customHeight="1">
      <c r="A1536" s="134"/>
      <c r="B1536" s="134"/>
      <c r="C1536" s="134"/>
      <c r="D1536" s="134"/>
      <c r="E1536" s="136"/>
      <c r="F1536" s="134"/>
      <c r="G1536" s="134"/>
      <c r="H1536" s="134"/>
    </row>
    <row r="1537" ht="55.5" customHeight="1">
      <c r="A1537" s="134"/>
      <c r="B1537" s="134"/>
      <c r="C1537" s="134"/>
      <c r="D1537" s="134"/>
      <c r="E1537" s="136"/>
      <c r="F1537" s="134"/>
      <c r="G1537" s="134"/>
      <c r="H1537" s="134"/>
    </row>
    <row r="1538" ht="55.5" customHeight="1">
      <c r="A1538" s="134"/>
      <c r="B1538" s="134"/>
      <c r="C1538" s="134"/>
      <c r="D1538" s="134"/>
      <c r="E1538" s="136"/>
      <c r="F1538" s="134"/>
      <c r="G1538" s="134"/>
      <c r="H1538" s="134"/>
    </row>
    <row r="1539" ht="55.5" customHeight="1">
      <c r="A1539" s="134"/>
      <c r="B1539" s="134"/>
      <c r="C1539" s="134"/>
      <c r="D1539" s="134"/>
      <c r="E1539" s="136"/>
      <c r="F1539" s="134"/>
      <c r="G1539" s="134"/>
      <c r="H1539" s="134"/>
    </row>
    <row r="1540" ht="55.5" customHeight="1">
      <c r="A1540" s="134"/>
      <c r="B1540" s="134"/>
      <c r="C1540" s="134"/>
      <c r="D1540" s="134"/>
      <c r="E1540" s="136"/>
      <c r="F1540" s="134"/>
      <c r="G1540" s="134"/>
      <c r="H1540" s="134"/>
    </row>
    <row r="1541" ht="55.5" customHeight="1">
      <c r="A1541" s="134"/>
      <c r="B1541" s="134"/>
      <c r="C1541" s="134"/>
      <c r="D1541" s="134"/>
      <c r="E1541" s="136"/>
      <c r="F1541" s="134"/>
      <c r="G1541" s="134"/>
      <c r="H1541" s="134"/>
    </row>
    <row r="1542" ht="55.5" customHeight="1">
      <c r="A1542" s="134"/>
      <c r="B1542" s="134"/>
      <c r="C1542" s="134"/>
      <c r="D1542" s="134"/>
      <c r="E1542" s="136"/>
      <c r="F1542" s="134"/>
      <c r="G1542" s="134"/>
      <c r="H1542" s="134"/>
    </row>
    <row r="1543" ht="55.5" customHeight="1">
      <c r="A1543" s="134"/>
      <c r="B1543" s="134"/>
      <c r="C1543" s="134"/>
      <c r="D1543" s="134"/>
      <c r="E1543" s="136"/>
      <c r="F1543" s="134"/>
      <c r="G1543" s="134"/>
      <c r="H1543" s="134"/>
    </row>
    <row r="1544" ht="55.5" customHeight="1">
      <c r="A1544" s="134"/>
      <c r="B1544" s="134"/>
      <c r="C1544" s="134"/>
      <c r="D1544" s="134"/>
      <c r="E1544" s="136"/>
      <c r="F1544" s="134"/>
      <c r="G1544" s="134"/>
      <c r="H1544" s="134"/>
    </row>
    <row r="1545" ht="55.5" customHeight="1">
      <c r="A1545" s="134"/>
      <c r="B1545" s="134"/>
      <c r="C1545" s="134"/>
      <c r="D1545" s="134"/>
      <c r="E1545" s="136"/>
      <c r="F1545" s="134"/>
      <c r="G1545" s="134"/>
      <c r="H1545" s="134"/>
    </row>
    <row r="1546" ht="55.5" customHeight="1">
      <c r="A1546" s="134"/>
      <c r="B1546" s="134"/>
      <c r="C1546" s="134"/>
      <c r="D1546" s="134"/>
      <c r="E1546" s="136"/>
      <c r="F1546" s="134"/>
      <c r="G1546" s="134"/>
      <c r="H1546" s="134"/>
    </row>
    <row r="1547" ht="55.5" customHeight="1">
      <c r="A1547" s="134"/>
      <c r="B1547" s="134"/>
      <c r="C1547" s="134"/>
      <c r="D1547" s="134"/>
      <c r="E1547" s="136"/>
      <c r="F1547" s="134"/>
      <c r="G1547" s="134"/>
      <c r="H1547" s="134"/>
    </row>
    <row r="1548" ht="55.5" customHeight="1">
      <c r="A1548" s="134"/>
      <c r="B1548" s="134"/>
      <c r="C1548" s="134"/>
      <c r="D1548" s="134"/>
      <c r="E1548" s="136"/>
      <c r="F1548" s="134"/>
      <c r="G1548" s="134"/>
      <c r="H1548" s="134"/>
    </row>
    <row r="1549" ht="55.5" customHeight="1">
      <c r="A1549" s="134"/>
      <c r="B1549" s="134"/>
      <c r="C1549" s="134"/>
      <c r="D1549" s="134"/>
      <c r="E1549" s="136"/>
      <c r="F1549" s="134"/>
      <c r="G1549" s="134"/>
      <c r="H1549" s="134"/>
    </row>
    <row r="1550" ht="55.5" customHeight="1">
      <c r="A1550" s="134"/>
      <c r="B1550" s="134"/>
      <c r="C1550" s="134"/>
      <c r="D1550" s="134"/>
      <c r="E1550" s="136"/>
      <c r="F1550" s="134"/>
      <c r="G1550" s="134"/>
      <c r="H1550" s="134"/>
    </row>
    <row r="1551" ht="55.5" customHeight="1">
      <c r="A1551" s="134"/>
      <c r="B1551" s="134"/>
      <c r="C1551" s="134"/>
      <c r="D1551" s="134"/>
      <c r="E1551" s="136"/>
      <c r="F1551" s="134"/>
      <c r="G1551" s="134"/>
      <c r="H1551" s="134"/>
    </row>
    <row r="1552" ht="55.5" customHeight="1">
      <c r="A1552" s="134"/>
      <c r="B1552" s="134"/>
      <c r="C1552" s="134"/>
      <c r="D1552" s="134"/>
      <c r="E1552" s="136"/>
      <c r="F1552" s="134"/>
      <c r="G1552" s="134"/>
      <c r="H1552" s="134"/>
    </row>
    <row r="1553" ht="55.5" customHeight="1">
      <c r="A1553" s="134"/>
      <c r="B1553" s="134"/>
      <c r="C1553" s="134"/>
      <c r="D1553" s="134"/>
      <c r="E1553" s="136"/>
      <c r="F1553" s="134"/>
      <c r="G1553" s="134"/>
      <c r="H1553" s="134"/>
    </row>
    <row r="1554" ht="55.5" customHeight="1">
      <c r="A1554" s="134"/>
      <c r="B1554" s="134"/>
      <c r="C1554" s="134"/>
      <c r="D1554" s="134"/>
      <c r="E1554" s="136"/>
      <c r="F1554" s="134"/>
      <c r="G1554" s="134"/>
      <c r="H1554" s="134"/>
    </row>
    <row r="1555" ht="55.5" customHeight="1">
      <c r="A1555" s="134"/>
      <c r="B1555" s="134"/>
      <c r="C1555" s="134"/>
      <c r="D1555" s="134"/>
      <c r="E1555" s="136"/>
      <c r="F1555" s="134"/>
      <c r="G1555" s="134"/>
      <c r="H1555" s="134"/>
    </row>
    <row r="1556" ht="55.5" customHeight="1">
      <c r="A1556" s="134"/>
      <c r="B1556" s="134"/>
      <c r="C1556" s="134"/>
      <c r="D1556" s="134"/>
      <c r="E1556" s="136"/>
      <c r="F1556" s="134"/>
      <c r="G1556" s="134"/>
      <c r="H1556" s="134"/>
    </row>
    <row r="1557" ht="55.5" customHeight="1">
      <c r="A1557" s="134"/>
      <c r="B1557" s="134"/>
      <c r="C1557" s="134"/>
      <c r="D1557" s="134"/>
      <c r="E1557" s="136"/>
      <c r="F1557" s="134"/>
      <c r="G1557" s="134"/>
      <c r="H1557" s="134"/>
    </row>
    <row r="1558" ht="55.5" customHeight="1">
      <c r="A1558" s="134"/>
      <c r="B1558" s="134"/>
      <c r="C1558" s="134"/>
      <c r="D1558" s="134"/>
      <c r="E1558" s="136"/>
      <c r="F1558" s="134"/>
      <c r="G1558" s="134"/>
      <c r="H1558" s="134"/>
    </row>
    <row r="1559" ht="55.5" customHeight="1">
      <c r="A1559" s="134"/>
      <c r="B1559" s="134"/>
      <c r="C1559" s="134"/>
      <c r="D1559" s="134"/>
      <c r="E1559" s="136"/>
      <c r="F1559" s="134"/>
      <c r="G1559" s="134"/>
      <c r="H1559" s="134"/>
    </row>
    <row r="1560" ht="55.5" customHeight="1">
      <c r="A1560" s="134"/>
      <c r="B1560" s="134"/>
      <c r="C1560" s="134"/>
      <c r="D1560" s="134"/>
      <c r="E1560" s="136"/>
      <c r="F1560" s="134"/>
      <c r="G1560" s="134"/>
      <c r="H1560" s="134"/>
    </row>
    <row r="1561" ht="55.5" customHeight="1">
      <c r="A1561" s="134"/>
      <c r="B1561" s="134"/>
      <c r="C1561" s="134"/>
      <c r="D1561" s="134"/>
      <c r="E1561" s="136"/>
      <c r="F1561" s="134"/>
      <c r="G1561" s="134"/>
      <c r="H1561" s="134"/>
    </row>
    <row r="1562" ht="55.5" customHeight="1">
      <c r="A1562" s="134"/>
      <c r="B1562" s="134"/>
      <c r="C1562" s="134"/>
      <c r="D1562" s="134"/>
      <c r="E1562" s="136"/>
      <c r="F1562" s="134"/>
      <c r="G1562" s="134"/>
      <c r="H1562" s="134"/>
    </row>
    <row r="1563" ht="55.5" customHeight="1">
      <c r="A1563" s="134"/>
      <c r="B1563" s="134"/>
      <c r="C1563" s="134"/>
      <c r="D1563" s="134"/>
      <c r="E1563" s="136"/>
      <c r="F1563" s="134"/>
      <c r="G1563" s="134"/>
      <c r="H1563" s="134"/>
    </row>
    <row r="1564" ht="55.5" customHeight="1">
      <c r="A1564" s="134"/>
      <c r="B1564" s="134"/>
      <c r="C1564" s="134"/>
      <c r="D1564" s="134"/>
      <c r="E1564" s="136"/>
      <c r="F1564" s="134"/>
      <c r="G1564" s="134"/>
      <c r="H1564" s="134"/>
    </row>
    <row r="1565" ht="55.5" customHeight="1">
      <c r="A1565" s="134"/>
      <c r="B1565" s="134"/>
      <c r="C1565" s="134"/>
      <c r="D1565" s="134"/>
      <c r="E1565" s="136"/>
      <c r="F1565" s="134"/>
      <c r="G1565" s="134"/>
      <c r="H1565" s="134"/>
    </row>
    <row r="1566" ht="55.5" customHeight="1">
      <c r="A1566" s="134"/>
      <c r="B1566" s="134"/>
      <c r="C1566" s="134"/>
      <c r="D1566" s="134"/>
      <c r="E1566" s="136"/>
      <c r="F1566" s="134"/>
      <c r="G1566" s="134"/>
      <c r="H1566" s="134"/>
    </row>
    <row r="1567" ht="55.5" customHeight="1">
      <c r="A1567" s="134"/>
      <c r="B1567" s="134"/>
      <c r="C1567" s="134"/>
      <c r="D1567" s="134"/>
      <c r="E1567" s="136"/>
      <c r="F1567" s="134"/>
      <c r="G1567" s="134"/>
      <c r="H1567" s="134"/>
    </row>
    <row r="1568" ht="55.5" customHeight="1">
      <c r="A1568" s="134"/>
      <c r="B1568" s="134"/>
      <c r="C1568" s="134"/>
      <c r="D1568" s="134"/>
      <c r="E1568" s="136"/>
      <c r="F1568" s="134"/>
      <c r="G1568" s="134"/>
      <c r="H1568" s="134"/>
    </row>
    <row r="1569" ht="55.5" customHeight="1">
      <c r="A1569" s="134"/>
      <c r="B1569" s="134"/>
      <c r="C1569" s="134"/>
      <c r="D1569" s="134"/>
      <c r="E1569" s="136"/>
      <c r="F1569" s="134"/>
      <c r="G1569" s="134"/>
      <c r="H1569" s="134"/>
    </row>
    <row r="1570" ht="55.5" customHeight="1">
      <c r="A1570" s="134"/>
      <c r="B1570" s="134"/>
      <c r="C1570" s="134"/>
      <c r="D1570" s="134"/>
      <c r="E1570" s="136"/>
      <c r="F1570" s="134"/>
      <c r="G1570" s="134"/>
      <c r="H1570" s="134"/>
    </row>
    <row r="1571" ht="55.5" customHeight="1">
      <c r="A1571" s="134"/>
      <c r="B1571" s="134"/>
      <c r="C1571" s="134"/>
      <c r="D1571" s="134"/>
      <c r="E1571" s="136"/>
      <c r="F1571" s="134"/>
      <c r="G1571" s="134"/>
      <c r="H1571" s="134"/>
    </row>
    <row r="1572" ht="55.5" customHeight="1">
      <c r="A1572" s="134"/>
      <c r="B1572" s="134"/>
      <c r="C1572" s="134"/>
      <c r="D1572" s="134"/>
      <c r="E1572" s="136"/>
      <c r="F1572" s="134"/>
      <c r="G1572" s="134"/>
      <c r="H1572" s="134"/>
    </row>
    <row r="1573" ht="55.5" customHeight="1">
      <c r="A1573" s="134"/>
      <c r="B1573" s="134"/>
      <c r="C1573" s="134"/>
      <c r="D1573" s="134"/>
      <c r="E1573" s="136"/>
      <c r="F1573" s="134"/>
      <c r="G1573" s="134"/>
      <c r="H1573" s="134"/>
    </row>
    <row r="1574" ht="55.5" customHeight="1">
      <c r="A1574" s="134"/>
      <c r="B1574" s="134"/>
      <c r="C1574" s="134"/>
      <c r="D1574" s="134"/>
      <c r="E1574" s="136"/>
      <c r="F1574" s="134"/>
      <c r="G1574" s="134"/>
      <c r="H1574" s="134"/>
    </row>
    <row r="1575" ht="55.5" customHeight="1">
      <c r="A1575" s="134"/>
      <c r="B1575" s="134"/>
      <c r="C1575" s="134"/>
      <c r="D1575" s="134"/>
      <c r="E1575" s="136"/>
      <c r="F1575" s="134"/>
      <c r="G1575" s="134"/>
      <c r="H1575" s="134"/>
    </row>
    <row r="1576" ht="55.5" customHeight="1">
      <c r="A1576" s="134"/>
      <c r="B1576" s="134"/>
      <c r="C1576" s="134"/>
      <c r="D1576" s="134"/>
      <c r="E1576" s="136"/>
      <c r="F1576" s="134"/>
      <c r="G1576" s="134"/>
      <c r="H1576" s="134"/>
    </row>
    <row r="1577" ht="55.5" customHeight="1">
      <c r="A1577" s="134"/>
      <c r="B1577" s="134"/>
      <c r="C1577" s="134"/>
      <c r="D1577" s="134"/>
      <c r="E1577" s="136"/>
      <c r="F1577" s="134"/>
      <c r="G1577" s="134"/>
      <c r="H1577" s="134"/>
    </row>
    <row r="1578" ht="55.5" customHeight="1">
      <c r="A1578" s="134"/>
      <c r="B1578" s="134"/>
      <c r="C1578" s="134"/>
      <c r="D1578" s="134"/>
      <c r="E1578" s="136"/>
      <c r="F1578" s="134"/>
      <c r="G1578" s="134"/>
      <c r="H1578" s="134"/>
    </row>
    <row r="1579" ht="55.5" customHeight="1">
      <c r="A1579" s="134"/>
      <c r="B1579" s="134"/>
      <c r="C1579" s="134"/>
      <c r="D1579" s="134"/>
      <c r="E1579" s="136"/>
      <c r="F1579" s="134"/>
      <c r="G1579" s="134"/>
      <c r="H1579" s="134"/>
    </row>
    <row r="1580" ht="55.5" customHeight="1">
      <c r="A1580" s="134"/>
      <c r="B1580" s="134"/>
      <c r="C1580" s="134"/>
      <c r="D1580" s="134"/>
      <c r="E1580" s="136"/>
      <c r="F1580" s="134"/>
      <c r="G1580" s="134"/>
      <c r="H1580" s="134"/>
    </row>
    <row r="1581" ht="55.5" customHeight="1">
      <c r="A1581" s="134"/>
      <c r="B1581" s="134"/>
      <c r="C1581" s="134"/>
      <c r="D1581" s="134"/>
      <c r="E1581" s="136"/>
      <c r="F1581" s="134"/>
      <c r="G1581" s="134"/>
      <c r="H1581" s="134"/>
    </row>
    <row r="1582" ht="55.5" customHeight="1">
      <c r="A1582" s="134"/>
      <c r="B1582" s="134"/>
      <c r="C1582" s="134"/>
      <c r="D1582" s="134"/>
      <c r="E1582" s="136"/>
      <c r="F1582" s="134"/>
      <c r="G1582" s="134"/>
      <c r="H1582" s="134"/>
    </row>
    <row r="1583" ht="55.5" customHeight="1">
      <c r="A1583" s="134"/>
      <c r="B1583" s="134"/>
      <c r="C1583" s="134"/>
      <c r="D1583" s="134"/>
      <c r="E1583" s="136"/>
      <c r="F1583" s="134"/>
      <c r="G1583" s="134"/>
      <c r="H1583" s="134"/>
    </row>
    <row r="1584" ht="55.5" customHeight="1">
      <c r="A1584" s="134"/>
      <c r="B1584" s="134"/>
      <c r="C1584" s="134"/>
      <c r="D1584" s="134"/>
      <c r="E1584" s="136"/>
      <c r="F1584" s="134"/>
      <c r="G1584" s="134"/>
      <c r="H1584" s="134"/>
    </row>
    <row r="1585" ht="55.5" customHeight="1">
      <c r="A1585" s="134"/>
      <c r="B1585" s="134"/>
      <c r="C1585" s="134"/>
      <c r="D1585" s="134"/>
      <c r="E1585" s="136"/>
      <c r="F1585" s="134"/>
      <c r="G1585" s="134"/>
      <c r="H1585" s="134"/>
    </row>
    <row r="1586" ht="55.5" customHeight="1">
      <c r="A1586" s="134"/>
      <c r="B1586" s="134"/>
      <c r="C1586" s="134"/>
      <c r="D1586" s="134"/>
      <c r="E1586" s="136"/>
      <c r="F1586" s="134"/>
      <c r="G1586" s="134"/>
      <c r="H1586" s="134"/>
    </row>
    <row r="1587" ht="55.5" customHeight="1">
      <c r="A1587" s="134"/>
      <c r="B1587" s="134"/>
      <c r="C1587" s="134"/>
      <c r="D1587" s="134"/>
      <c r="E1587" s="136"/>
      <c r="F1587" s="134"/>
      <c r="G1587" s="134"/>
      <c r="H1587" s="134"/>
    </row>
    <row r="1588" ht="55.5" customHeight="1">
      <c r="A1588" s="134"/>
      <c r="B1588" s="134"/>
      <c r="C1588" s="134"/>
      <c r="D1588" s="134"/>
      <c r="E1588" s="136"/>
      <c r="F1588" s="134"/>
      <c r="G1588" s="134"/>
      <c r="H1588" s="134"/>
    </row>
    <row r="1589" ht="55.5" customHeight="1">
      <c r="A1589" s="134"/>
      <c r="B1589" s="134"/>
      <c r="C1589" s="134"/>
      <c r="D1589" s="134"/>
      <c r="E1589" s="136"/>
      <c r="F1589" s="134"/>
      <c r="G1589" s="134"/>
      <c r="H1589" s="134"/>
    </row>
    <row r="1590" ht="55.5" customHeight="1">
      <c r="A1590" s="134"/>
      <c r="B1590" s="134"/>
      <c r="C1590" s="134"/>
      <c r="D1590" s="134"/>
      <c r="E1590" s="136"/>
      <c r="F1590" s="134"/>
      <c r="G1590" s="134"/>
      <c r="H1590" s="134"/>
    </row>
    <row r="1591" ht="55.5" customHeight="1">
      <c r="A1591" s="134"/>
      <c r="B1591" s="134"/>
      <c r="C1591" s="134"/>
      <c r="D1591" s="134"/>
      <c r="E1591" s="136"/>
      <c r="F1591" s="134"/>
      <c r="G1591" s="134"/>
      <c r="H1591" s="134"/>
    </row>
    <row r="1592" ht="55.5" customHeight="1">
      <c r="A1592" s="134"/>
      <c r="B1592" s="134"/>
      <c r="C1592" s="134"/>
      <c r="D1592" s="134"/>
      <c r="E1592" s="136"/>
      <c r="F1592" s="134"/>
      <c r="G1592" s="134"/>
      <c r="H1592" s="134"/>
    </row>
    <row r="1593" ht="55.5" customHeight="1">
      <c r="A1593" s="134"/>
      <c r="B1593" s="134"/>
      <c r="C1593" s="134"/>
      <c r="D1593" s="134"/>
      <c r="E1593" s="136"/>
      <c r="F1593" s="134"/>
      <c r="G1593" s="134"/>
      <c r="H1593" s="134"/>
    </row>
    <row r="1594" ht="55.5" customHeight="1">
      <c r="A1594" s="134"/>
      <c r="B1594" s="134"/>
      <c r="C1594" s="134"/>
      <c r="D1594" s="134"/>
      <c r="E1594" s="136"/>
      <c r="F1594" s="134"/>
      <c r="G1594" s="134"/>
      <c r="H1594" s="134"/>
    </row>
    <row r="1595" ht="55.5" customHeight="1">
      <c r="A1595" s="134"/>
      <c r="B1595" s="134"/>
      <c r="C1595" s="134"/>
      <c r="D1595" s="134"/>
      <c r="E1595" s="136"/>
      <c r="F1595" s="134"/>
      <c r="G1595" s="134"/>
      <c r="H1595" s="134"/>
    </row>
    <row r="1596" ht="55.5" customHeight="1">
      <c r="A1596" s="134"/>
      <c r="B1596" s="134"/>
      <c r="C1596" s="134"/>
      <c r="D1596" s="134"/>
      <c r="E1596" s="136"/>
      <c r="F1596" s="134"/>
      <c r="G1596" s="134"/>
      <c r="H1596" s="134"/>
    </row>
    <row r="1597" ht="55.5" customHeight="1">
      <c r="A1597" s="134"/>
      <c r="B1597" s="134"/>
      <c r="C1597" s="134"/>
      <c r="D1597" s="134"/>
      <c r="E1597" s="136"/>
      <c r="F1597" s="134"/>
      <c r="G1597" s="134"/>
      <c r="H1597" s="134"/>
    </row>
    <row r="1598" ht="55.5" customHeight="1">
      <c r="A1598" s="134"/>
      <c r="B1598" s="134"/>
      <c r="C1598" s="134"/>
      <c r="D1598" s="134"/>
      <c r="E1598" s="136"/>
      <c r="F1598" s="134"/>
      <c r="G1598" s="134"/>
      <c r="H1598" s="134"/>
    </row>
    <row r="1599" ht="55.5" customHeight="1">
      <c r="A1599" s="134"/>
      <c r="B1599" s="134"/>
      <c r="C1599" s="134"/>
      <c r="D1599" s="134"/>
      <c r="E1599" s="136"/>
      <c r="F1599" s="134"/>
      <c r="G1599" s="134"/>
      <c r="H1599" s="134"/>
    </row>
    <row r="1600" ht="55.5" customHeight="1">
      <c r="A1600" s="134"/>
      <c r="B1600" s="134"/>
      <c r="C1600" s="134"/>
      <c r="D1600" s="134"/>
      <c r="E1600" s="136"/>
      <c r="F1600" s="134"/>
      <c r="G1600" s="134"/>
      <c r="H1600" s="134"/>
    </row>
    <row r="1601" ht="55.5" customHeight="1">
      <c r="A1601" s="134"/>
      <c r="B1601" s="134"/>
      <c r="C1601" s="134"/>
      <c r="D1601" s="134"/>
      <c r="E1601" s="136"/>
      <c r="F1601" s="134"/>
      <c r="G1601" s="134"/>
      <c r="H1601" s="134"/>
    </row>
    <row r="1602" ht="55.5" customHeight="1">
      <c r="A1602" s="134"/>
      <c r="B1602" s="134"/>
      <c r="C1602" s="134"/>
      <c r="D1602" s="134"/>
      <c r="E1602" s="136"/>
      <c r="F1602" s="134"/>
      <c r="G1602" s="134"/>
      <c r="H1602" s="134"/>
    </row>
    <row r="1603" ht="55.5" customHeight="1">
      <c r="A1603" s="134"/>
      <c r="B1603" s="134"/>
      <c r="C1603" s="134"/>
      <c r="D1603" s="134"/>
      <c r="E1603" s="136"/>
      <c r="F1603" s="134"/>
      <c r="G1603" s="134"/>
      <c r="H1603" s="134"/>
    </row>
    <row r="1604" ht="55.5" customHeight="1">
      <c r="A1604" s="134"/>
      <c r="B1604" s="134"/>
      <c r="C1604" s="134"/>
      <c r="D1604" s="134"/>
      <c r="E1604" s="136"/>
      <c r="F1604" s="134"/>
      <c r="G1604" s="134"/>
      <c r="H1604" s="134"/>
    </row>
    <row r="1605" ht="55.5" customHeight="1">
      <c r="A1605" s="134"/>
      <c r="B1605" s="134"/>
      <c r="C1605" s="134"/>
      <c r="D1605" s="134"/>
      <c r="E1605" s="136"/>
      <c r="F1605" s="134"/>
      <c r="G1605" s="134"/>
      <c r="H1605" s="134"/>
    </row>
    <row r="1606" ht="55.5" customHeight="1">
      <c r="A1606" s="134"/>
      <c r="B1606" s="134"/>
      <c r="C1606" s="134"/>
      <c r="D1606" s="134"/>
      <c r="E1606" s="136"/>
      <c r="F1606" s="134"/>
      <c r="G1606" s="134"/>
      <c r="H1606" s="134"/>
    </row>
    <row r="1607" ht="55.5" customHeight="1">
      <c r="A1607" s="134"/>
      <c r="B1607" s="134"/>
      <c r="C1607" s="134"/>
      <c r="D1607" s="134"/>
      <c r="E1607" s="136"/>
      <c r="F1607" s="134"/>
      <c r="G1607" s="134"/>
      <c r="H1607" s="134"/>
    </row>
    <row r="1608" ht="55.5" customHeight="1">
      <c r="A1608" s="134"/>
      <c r="B1608" s="134"/>
      <c r="C1608" s="134"/>
      <c r="D1608" s="134"/>
      <c r="E1608" s="136"/>
      <c r="F1608" s="134"/>
      <c r="G1608" s="134"/>
      <c r="H1608" s="134"/>
    </row>
    <row r="1609" ht="55.5" customHeight="1">
      <c r="A1609" s="134"/>
      <c r="B1609" s="134"/>
      <c r="C1609" s="134"/>
      <c r="D1609" s="134"/>
      <c r="E1609" s="136"/>
      <c r="F1609" s="134"/>
      <c r="G1609" s="134"/>
      <c r="H1609" s="134"/>
    </row>
    <row r="1610" ht="55.5" customHeight="1">
      <c r="A1610" s="134"/>
      <c r="B1610" s="134"/>
      <c r="C1610" s="134"/>
      <c r="D1610" s="134"/>
      <c r="E1610" s="136"/>
      <c r="F1610" s="134"/>
      <c r="G1610" s="134"/>
      <c r="H1610" s="134"/>
    </row>
    <row r="1611" ht="55.5" customHeight="1">
      <c r="A1611" s="134"/>
      <c r="B1611" s="134"/>
      <c r="C1611" s="134"/>
      <c r="D1611" s="134"/>
      <c r="E1611" s="136"/>
      <c r="F1611" s="134"/>
      <c r="G1611" s="134"/>
      <c r="H1611" s="134"/>
    </row>
    <row r="1612" ht="55.5" customHeight="1">
      <c r="A1612" s="134"/>
      <c r="B1612" s="134"/>
      <c r="C1612" s="134"/>
      <c r="D1612" s="134"/>
      <c r="E1612" s="136"/>
      <c r="F1612" s="134"/>
      <c r="G1612" s="134"/>
      <c r="H1612" s="134"/>
    </row>
    <row r="1613" ht="55.5" customHeight="1">
      <c r="A1613" s="134"/>
      <c r="B1613" s="134"/>
      <c r="C1613" s="134"/>
      <c r="D1613" s="134"/>
      <c r="E1613" s="136"/>
      <c r="F1613" s="134"/>
      <c r="G1613" s="134"/>
      <c r="H1613" s="134"/>
    </row>
    <row r="1614" ht="55.5" customHeight="1">
      <c r="A1614" s="134"/>
      <c r="B1614" s="134"/>
      <c r="C1614" s="134"/>
      <c r="D1614" s="134"/>
      <c r="E1614" s="136"/>
      <c r="F1614" s="134"/>
      <c r="G1614" s="134"/>
      <c r="H1614" s="134"/>
    </row>
    <row r="1615" ht="55.5" customHeight="1">
      <c r="A1615" s="134"/>
      <c r="B1615" s="134"/>
      <c r="C1615" s="134"/>
      <c r="D1615" s="134"/>
      <c r="E1615" s="136"/>
      <c r="F1615" s="134"/>
      <c r="G1615" s="134"/>
      <c r="H1615" s="134"/>
    </row>
    <row r="1616" ht="55.5" customHeight="1">
      <c r="A1616" s="134"/>
      <c r="B1616" s="134"/>
      <c r="C1616" s="134"/>
      <c r="D1616" s="134"/>
      <c r="E1616" s="136"/>
      <c r="F1616" s="134"/>
      <c r="G1616" s="134"/>
      <c r="H1616" s="134"/>
    </row>
    <row r="1617" ht="55.5" customHeight="1">
      <c r="A1617" s="134"/>
      <c r="B1617" s="134"/>
      <c r="C1617" s="134"/>
      <c r="D1617" s="134"/>
      <c r="E1617" s="136"/>
      <c r="F1617" s="134"/>
      <c r="G1617" s="134"/>
      <c r="H1617" s="134"/>
    </row>
    <row r="1618" ht="55.5" customHeight="1">
      <c r="A1618" s="134"/>
      <c r="B1618" s="134"/>
      <c r="C1618" s="134"/>
      <c r="D1618" s="134"/>
      <c r="E1618" s="136"/>
      <c r="F1618" s="134"/>
      <c r="G1618" s="134"/>
      <c r="H1618" s="134"/>
    </row>
    <row r="1619" ht="55.5" customHeight="1">
      <c r="A1619" s="134"/>
      <c r="B1619" s="134"/>
      <c r="C1619" s="134"/>
      <c r="D1619" s="134"/>
      <c r="E1619" s="136"/>
      <c r="F1619" s="134"/>
      <c r="G1619" s="134"/>
      <c r="H1619" s="134"/>
    </row>
    <row r="1620" ht="55.5" customHeight="1">
      <c r="A1620" s="134"/>
      <c r="B1620" s="134"/>
      <c r="C1620" s="134"/>
      <c r="D1620" s="134"/>
      <c r="E1620" s="136"/>
      <c r="F1620" s="134"/>
      <c r="G1620" s="134"/>
      <c r="H1620" s="134"/>
    </row>
    <row r="1621" ht="55.5" customHeight="1">
      <c r="A1621" s="134"/>
      <c r="B1621" s="134"/>
      <c r="C1621" s="134"/>
      <c r="D1621" s="134"/>
      <c r="E1621" s="136"/>
      <c r="F1621" s="134"/>
      <c r="G1621" s="134"/>
      <c r="H1621" s="134"/>
    </row>
    <row r="1622" ht="55.5" customHeight="1">
      <c r="A1622" s="134"/>
      <c r="B1622" s="134"/>
      <c r="C1622" s="134"/>
      <c r="D1622" s="134"/>
      <c r="E1622" s="136"/>
      <c r="F1622" s="134"/>
      <c r="G1622" s="134"/>
      <c r="H1622" s="134"/>
    </row>
    <row r="1623" ht="55.5" customHeight="1">
      <c r="A1623" s="134"/>
      <c r="B1623" s="134"/>
      <c r="C1623" s="134"/>
      <c r="D1623" s="134"/>
      <c r="E1623" s="136"/>
      <c r="F1623" s="134"/>
      <c r="G1623" s="134"/>
      <c r="H1623" s="134"/>
    </row>
    <row r="1624" ht="55.5" customHeight="1">
      <c r="A1624" s="134"/>
      <c r="B1624" s="134"/>
      <c r="C1624" s="134"/>
      <c r="D1624" s="134"/>
      <c r="E1624" s="136"/>
      <c r="F1624" s="134"/>
      <c r="G1624" s="134"/>
      <c r="H1624" s="134"/>
    </row>
    <row r="1625" ht="55.5" customHeight="1">
      <c r="A1625" s="134"/>
      <c r="B1625" s="134"/>
      <c r="C1625" s="134"/>
      <c r="D1625" s="134"/>
      <c r="E1625" s="136"/>
      <c r="F1625" s="134"/>
      <c r="G1625" s="134"/>
      <c r="H1625" s="134"/>
    </row>
    <row r="1626" ht="55.5" customHeight="1">
      <c r="A1626" s="134"/>
      <c r="B1626" s="134"/>
      <c r="C1626" s="134"/>
      <c r="D1626" s="134"/>
      <c r="E1626" s="136"/>
      <c r="F1626" s="134"/>
      <c r="G1626" s="134"/>
      <c r="H1626" s="134"/>
    </row>
    <row r="1627" ht="55.5" customHeight="1">
      <c r="A1627" s="134"/>
      <c r="B1627" s="134"/>
      <c r="C1627" s="134"/>
      <c r="D1627" s="134"/>
      <c r="E1627" s="136"/>
      <c r="F1627" s="134"/>
      <c r="G1627" s="134"/>
      <c r="H1627" s="134"/>
    </row>
    <row r="1628" ht="55.5" customHeight="1">
      <c r="A1628" s="134"/>
      <c r="B1628" s="134"/>
      <c r="C1628" s="134"/>
      <c r="D1628" s="134"/>
      <c r="E1628" s="136"/>
      <c r="F1628" s="134"/>
      <c r="G1628" s="134"/>
      <c r="H1628" s="134"/>
    </row>
    <row r="1629" ht="55.5" customHeight="1">
      <c r="A1629" s="134"/>
      <c r="B1629" s="134"/>
      <c r="C1629" s="134"/>
      <c r="D1629" s="134"/>
      <c r="E1629" s="136"/>
      <c r="F1629" s="134"/>
      <c r="G1629" s="134"/>
      <c r="H1629" s="134"/>
    </row>
    <row r="1630" ht="55.5" customHeight="1">
      <c r="A1630" s="134"/>
      <c r="B1630" s="134"/>
      <c r="C1630" s="134"/>
      <c r="D1630" s="134"/>
      <c r="E1630" s="136"/>
      <c r="F1630" s="134"/>
      <c r="G1630" s="134"/>
      <c r="H1630" s="134"/>
    </row>
    <row r="1631" ht="55.5" customHeight="1">
      <c r="A1631" s="134"/>
      <c r="B1631" s="134"/>
      <c r="C1631" s="134"/>
      <c r="D1631" s="134"/>
      <c r="E1631" s="136"/>
      <c r="F1631" s="134"/>
      <c r="G1631" s="134"/>
      <c r="H1631" s="134"/>
    </row>
    <row r="1632" ht="55.5" customHeight="1">
      <c r="A1632" s="134"/>
      <c r="B1632" s="134"/>
      <c r="C1632" s="134"/>
      <c r="D1632" s="134"/>
      <c r="E1632" s="136"/>
      <c r="F1632" s="134"/>
      <c r="G1632" s="134"/>
      <c r="H1632" s="134"/>
    </row>
    <row r="1633" ht="55.5" customHeight="1">
      <c r="A1633" s="134"/>
      <c r="B1633" s="134"/>
      <c r="C1633" s="134"/>
      <c r="D1633" s="134"/>
      <c r="E1633" s="136"/>
      <c r="F1633" s="134"/>
      <c r="G1633" s="134"/>
      <c r="H1633" s="134"/>
    </row>
    <row r="1634" ht="55.5" customHeight="1">
      <c r="A1634" s="134"/>
      <c r="B1634" s="134"/>
      <c r="C1634" s="134"/>
      <c r="D1634" s="134"/>
      <c r="E1634" s="136"/>
      <c r="F1634" s="134"/>
      <c r="G1634" s="134"/>
      <c r="H1634" s="134"/>
    </row>
    <row r="1635" ht="55.5" customHeight="1">
      <c r="A1635" s="134"/>
      <c r="B1635" s="134"/>
      <c r="C1635" s="134"/>
      <c r="D1635" s="134"/>
      <c r="E1635" s="136"/>
      <c r="F1635" s="134"/>
      <c r="G1635" s="134"/>
      <c r="H1635" s="134"/>
    </row>
    <row r="1636" ht="55.5" customHeight="1">
      <c r="A1636" s="134"/>
      <c r="B1636" s="134"/>
      <c r="C1636" s="134"/>
      <c r="D1636" s="134"/>
      <c r="E1636" s="136"/>
      <c r="F1636" s="134"/>
      <c r="G1636" s="134"/>
      <c r="H1636" s="134"/>
    </row>
    <row r="1637" ht="55.5" customHeight="1">
      <c r="A1637" s="134"/>
      <c r="B1637" s="134"/>
      <c r="C1637" s="134"/>
      <c r="D1637" s="134"/>
      <c r="E1637" s="136"/>
      <c r="F1637" s="134"/>
      <c r="G1637" s="134"/>
      <c r="H1637" s="134"/>
    </row>
    <row r="1638" ht="55.5" customHeight="1">
      <c r="A1638" s="134"/>
      <c r="B1638" s="134"/>
      <c r="C1638" s="134"/>
      <c r="D1638" s="134"/>
      <c r="E1638" s="136"/>
      <c r="F1638" s="134"/>
      <c r="G1638" s="134"/>
      <c r="H1638" s="134"/>
    </row>
    <row r="1639" ht="55.5" customHeight="1">
      <c r="A1639" s="134"/>
      <c r="B1639" s="134"/>
      <c r="C1639" s="134"/>
      <c r="D1639" s="134"/>
      <c r="E1639" s="136"/>
      <c r="F1639" s="134"/>
      <c r="G1639" s="134"/>
      <c r="H1639" s="134"/>
    </row>
    <row r="1640" ht="55.5" customHeight="1">
      <c r="A1640" s="134"/>
      <c r="B1640" s="134"/>
      <c r="C1640" s="134"/>
      <c r="D1640" s="134"/>
      <c r="E1640" s="136"/>
      <c r="F1640" s="134"/>
      <c r="G1640" s="134"/>
      <c r="H1640" s="134"/>
    </row>
    <row r="1641" ht="55.5" customHeight="1">
      <c r="A1641" s="134"/>
      <c r="B1641" s="134"/>
      <c r="C1641" s="134"/>
      <c r="D1641" s="134"/>
      <c r="E1641" s="136"/>
      <c r="F1641" s="134"/>
      <c r="G1641" s="134"/>
      <c r="H1641" s="134"/>
    </row>
    <row r="1642" ht="55.5" customHeight="1">
      <c r="A1642" s="134"/>
      <c r="B1642" s="134"/>
      <c r="C1642" s="134"/>
      <c r="D1642" s="134"/>
      <c r="E1642" s="136"/>
      <c r="F1642" s="134"/>
      <c r="G1642" s="134"/>
      <c r="H1642" s="134"/>
    </row>
    <row r="1643" ht="55.5" customHeight="1">
      <c r="A1643" s="134"/>
      <c r="B1643" s="134"/>
      <c r="C1643" s="134"/>
      <c r="D1643" s="134"/>
      <c r="E1643" s="136"/>
      <c r="F1643" s="134"/>
      <c r="G1643" s="134"/>
      <c r="H1643" s="134"/>
    </row>
    <row r="1644" ht="55.5" customHeight="1">
      <c r="A1644" s="134"/>
      <c r="B1644" s="134"/>
      <c r="C1644" s="134"/>
      <c r="D1644" s="134"/>
      <c r="E1644" s="136"/>
      <c r="F1644" s="134"/>
      <c r="G1644" s="134"/>
      <c r="H1644" s="134"/>
    </row>
    <row r="1645" ht="55.5" customHeight="1">
      <c r="A1645" s="134"/>
      <c r="B1645" s="134"/>
      <c r="C1645" s="134"/>
      <c r="D1645" s="134"/>
      <c r="E1645" s="136"/>
      <c r="F1645" s="134"/>
      <c r="G1645" s="134"/>
      <c r="H1645" s="134"/>
    </row>
    <row r="1646" ht="55.5" customHeight="1">
      <c r="A1646" s="134"/>
      <c r="B1646" s="134"/>
      <c r="C1646" s="134"/>
      <c r="D1646" s="134"/>
      <c r="E1646" s="136"/>
      <c r="F1646" s="134"/>
      <c r="G1646" s="134"/>
      <c r="H1646" s="134"/>
    </row>
    <row r="1647" ht="55.5" customHeight="1">
      <c r="A1647" s="134"/>
      <c r="B1647" s="134"/>
      <c r="C1647" s="134"/>
      <c r="D1647" s="134"/>
      <c r="E1647" s="136"/>
      <c r="F1647" s="134"/>
      <c r="G1647" s="134"/>
      <c r="H1647" s="134"/>
    </row>
    <row r="1648" ht="55.5" customHeight="1">
      <c r="A1648" s="134"/>
      <c r="B1648" s="134"/>
      <c r="C1648" s="134"/>
      <c r="D1648" s="134"/>
      <c r="E1648" s="136"/>
      <c r="F1648" s="134"/>
      <c r="G1648" s="134"/>
      <c r="H1648" s="134"/>
    </row>
    <row r="1649" ht="55.5" customHeight="1">
      <c r="A1649" s="134"/>
      <c r="B1649" s="134"/>
      <c r="C1649" s="134"/>
      <c r="D1649" s="134"/>
      <c r="E1649" s="136"/>
      <c r="F1649" s="134"/>
      <c r="G1649" s="134"/>
      <c r="H1649" s="134"/>
    </row>
    <row r="1650" ht="55.5" customHeight="1">
      <c r="A1650" s="134"/>
      <c r="B1650" s="134"/>
      <c r="C1650" s="134"/>
      <c r="D1650" s="134"/>
      <c r="E1650" s="136"/>
      <c r="F1650" s="134"/>
      <c r="G1650" s="134"/>
      <c r="H1650" s="134"/>
    </row>
    <row r="1651" ht="55.5" customHeight="1">
      <c r="A1651" s="134"/>
      <c r="B1651" s="134"/>
      <c r="C1651" s="134"/>
      <c r="D1651" s="134"/>
      <c r="E1651" s="136"/>
      <c r="F1651" s="134"/>
      <c r="G1651" s="134"/>
      <c r="H1651" s="134"/>
    </row>
    <row r="1652" ht="55.5" customHeight="1">
      <c r="A1652" s="134"/>
      <c r="B1652" s="134"/>
      <c r="C1652" s="134"/>
      <c r="D1652" s="134"/>
      <c r="E1652" s="136"/>
      <c r="F1652" s="134"/>
      <c r="G1652" s="134"/>
      <c r="H1652" s="134"/>
    </row>
    <row r="1653" ht="55.5" customHeight="1">
      <c r="A1653" s="134"/>
      <c r="B1653" s="134"/>
      <c r="C1653" s="134"/>
      <c r="D1653" s="134"/>
      <c r="E1653" s="136"/>
      <c r="F1653" s="134"/>
      <c r="G1653" s="134"/>
      <c r="H1653" s="134"/>
    </row>
    <row r="1654" ht="55.5" customHeight="1">
      <c r="A1654" s="134"/>
      <c r="B1654" s="134"/>
      <c r="C1654" s="134"/>
      <c r="D1654" s="134"/>
      <c r="E1654" s="136"/>
      <c r="F1654" s="134"/>
      <c r="G1654" s="134"/>
      <c r="H1654" s="134"/>
    </row>
    <row r="1655" ht="55.5" customHeight="1">
      <c r="A1655" s="134"/>
      <c r="B1655" s="134"/>
      <c r="C1655" s="134"/>
      <c r="D1655" s="134"/>
      <c r="E1655" s="136"/>
      <c r="F1655" s="134"/>
      <c r="G1655" s="134"/>
      <c r="H1655" s="134"/>
    </row>
    <row r="1656" ht="55.5" customHeight="1">
      <c r="A1656" s="134"/>
      <c r="B1656" s="134"/>
      <c r="C1656" s="134"/>
      <c r="D1656" s="134"/>
      <c r="E1656" s="136"/>
      <c r="F1656" s="134"/>
      <c r="G1656" s="134"/>
      <c r="H1656" s="134"/>
    </row>
    <row r="1657" ht="55.5" customHeight="1">
      <c r="A1657" s="134"/>
      <c r="B1657" s="134"/>
      <c r="C1657" s="134"/>
      <c r="D1657" s="134"/>
      <c r="E1657" s="136"/>
      <c r="F1657" s="134"/>
      <c r="G1657" s="134"/>
      <c r="H1657" s="134"/>
    </row>
    <row r="1658" ht="55.5" customHeight="1">
      <c r="A1658" s="134"/>
      <c r="B1658" s="134"/>
      <c r="C1658" s="134"/>
      <c r="D1658" s="134"/>
      <c r="E1658" s="136"/>
      <c r="F1658" s="134"/>
      <c r="G1658" s="134"/>
      <c r="H1658" s="134"/>
    </row>
    <row r="1659" ht="55.5" customHeight="1">
      <c r="A1659" s="134"/>
      <c r="B1659" s="134"/>
      <c r="C1659" s="134"/>
      <c r="D1659" s="134"/>
      <c r="E1659" s="136"/>
      <c r="F1659" s="134"/>
      <c r="G1659" s="134"/>
      <c r="H1659" s="134"/>
    </row>
    <row r="1660" ht="55.5" customHeight="1">
      <c r="A1660" s="134"/>
      <c r="B1660" s="134"/>
      <c r="C1660" s="134"/>
      <c r="D1660" s="134"/>
      <c r="E1660" s="136"/>
      <c r="F1660" s="134"/>
      <c r="G1660" s="134"/>
      <c r="H1660" s="134"/>
    </row>
    <row r="1661" ht="55.5" customHeight="1">
      <c r="A1661" s="134"/>
      <c r="B1661" s="134"/>
      <c r="C1661" s="134"/>
      <c r="D1661" s="134"/>
      <c r="E1661" s="136"/>
      <c r="F1661" s="134"/>
      <c r="G1661" s="134"/>
      <c r="H1661" s="134"/>
    </row>
    <row r="1662" ht="55.5" customHeight="1">
      <c r="A1662" s="134"/>
      <c r="B1662" s="134"/>
      <c r="C1662" s="134"/>
      <c r="D1662" s="134"/>
      <c r="E1662" s="136"/>
      <c r="F1662" s="134"/>
      <c r="G1662" s="134"/>
      <c r="H1662" s="134"/>
    </row>
    <row r="1663" ht="55.5" customHeight="1">
      <c r="A1663" s="134"/>
      <c r="B1663" s="134"/>
      <c r="C1663" s="134"/>
      <c r="D1663" s="134"/>
      <c r="E1663" s="136"/>
      <c r="F1663" s="134"/>
      <c r="G1663" s="134"/>
      <c r="H1663" s="134"/>
    </row>
    <row r="1664" ht="55.5" customHeight="1">
      <c r="A1664" s="134"/>
      <c r="B1664" s="134"/>
      <c r="C1664" s="134"/>
      <c r="D1664" s="134"/>
      <c r="E1664" s="136"/>
      <c r="F1664" s="134"/>
      <c r="G1664" s="134"/>
      <c r="H1664" s="134"/>
    </row>
    <row r="1665" ht="55.5" customHeight="1">
      <c r="A1665" s="134"/>
      <c r="B1665" s="134"/>
      <c r="C1665" s="134"/>
      <c r="D1665" s="134"/>
      <c r="E1665" s="136"/>
      <c r="F1665" s="134"/>
      <c r="G1665" s="134"/>
      <c r="H1665" s="134"/>
    </row>
    <row r="1666" ht="55.5" customHeight="1">
      <c r="A1666" s="134"/>
      <c r="B1666" s="134"/>
      <c r="C1666" s="134"/>
      <c r="D1666" s="134"/>
      <c r="E1666" s="136"/>
      <c r="F1666" s="134"/>
      <c r="G1666" s="134"/>
      <c r="H1666" s="134"/>
    </row>
    <row r="1667" ht="55.5" customHeight="1">
      <c r="A1667" s="134"/>
      <c r="B1667" s="134"/>
      <c r="C1667" s="134"/>
      <c r="D1667" s="134"/>
      <c r="E1667" s="136"/>
      <c r="F1667" s="134"/>
      <c r="G1667" s="134"/>
      <c r="H1667" s="134"/>
    </row>
    <row r="1668" ht="55.5" customHeight="1">
      <c r="A1668" s="134"/>
      <c r="B1668" s="134"/>
      <c r="C1668" s="134"/>
      <c r="D1668" s="134"/>
      <c r="E1668" s="136"/>
      <c r="F1668" s="134"/>
      <c r="G1668" s="134"/>
      <c r="H1668" s="134"/>
    </row>
    <row r="1669" ht="55.5" customHeight="1">
      <c r="A1669" s="134"/>
      <c r="B1669" s="134"/>
      <c r="C1669" s="134"/>
      <c r="D1669" s="134"/>
      <c r="E1669" s="136"/>
      <c r="F1669" s="134"/>
      <c r="G1669" s="134"/>
      <c r="H1669" s="134"/>
    </row>
    <row r="1670" ht="55.5" customHeight="1">
      <c r="A1670" s="134"/>
      <c r="B1670" s="134"/>
      <c r="C1670" s="134"/>
      <c r="D1670" s="134"/>
      <c r="E1670" s="136"/>
      <c r="F1670" s="134"/>
      <c r="G1670" s="134"/>
      <c r="H1670" s="134"/>
    </row>
    <row r="1671" ht="55.5" customHeight="1">
      <c r="A1671" s="134"/>
      <c r="B1671" s="134"/>
      <c r="C1671" s="134"/>
      <c r="D1671" s="134"/>
      <c r="E1671" s="136"/>
      <c r="F1671" s="134"/>
      <c r="G1671" s="134"/>
      <c r="H1671" s="134"/>
    </row>
    <row r="1672" ht="55.5" customHeight="1">
      <c r="A1672" s="134"/>
      <c r="B1672" s="134"/>
      <c r="C1672" s="134"/>
      <c r="D1672" s="134"/>
      <c r="E1672" s="136"/>
      <c r="F1672" s="134"/>
      <c r="G1672" s="134"/>
      <c r="H1672" s="134"/>
    </row>
    <row r="1673" ht="55.5" customHeight="1">
      <c r="A1673" s="134"/>
      <c r="B1673" s="134"/>
      <c r="C1673" s="134"/>
      <c r="D1673" s="134"/>
      <c r="E1673" s="136"/>
      <c r="F1673" s="134"/>
      <c r="G1673" s="134"/>
      <c r="H1673" s="134"/>
    </row>
    <row r="1674" ht="55.5" customHeight="1">
      <c r="A1674" s="134"/>
      <c r="B1674" s="134"/>
      <c r="C1674" s="134"/>
      <c r="D1674" s="134"/>
      <c r="E1674" s="136"/>
      <c r="F1674" s="134"/>
      <c r="G1674" s="134"/>
      <c r="H1674" s="134"/>
    </row>
    <row r="1675" ht="55.5" customHeight="1">
      <c r="A1675" s="134"/>
      <c r="B1675" s="134"/>
      <c r="C1675" s="134"/>
      <c r="D1675" s="134"/>
      <c r="E1675" s="136"/>
      <c r="F1675" s="134"/>
      <c r="G1675" s="134"/>
      <c r="H1675" s="134"/>
    </row>
    <row r="1676" ht="55.5" customHeight="1">
      <c r="A1676" s="134"/>
      <c r="B1676" s="134"/>
      <c r="C1676" s="134"/>
      <c r="D1676" s="134"/>
      <c r="E1676" s="136"/>
      <c r="F1676" s="134"/>
      <c r="G1676" s="134"/>
      <c r="H1676" s="134"/>
    </row>
    <row r="1677" ht="55.5" customHeight="1">
      <c r="A1677" s="134"/>
      <c r="B1677" s="134"/>
      <c r="C1677" s="134"/>
      <c r="D1677" s="134"/>
      <c r="E1677" s="136"/>
      <c r="F1677" s="134"/>
      <c r="G1677" s="134"/>
      <c r="H1677" s="134"/>
    </row>
    <row r="1678" ht="55.5" customHeight="1">
      <c r="A1678" s="134"/>
      <c r="B1678" s="134"/>
      <c r="C1678" s="134"/>
      <c r="D1678" s="134"/>
      <c r="E1678" s="136"/>
      <c r="F1678" s="134"/>
      <c r="G1678" s="134"/>
      <c r="H1678" s="134"/>
    </row>
    <row r="1679" ht="55.5" customHeight="1">
      <c r="A1679" s="134"/>
      <c r="B1679" s="134"/>
      <c r="C1679" s="134"/>
      <c r="D1679" s="134"/>
      <c r="E1679" s="136"/>
      <c r="F1679" s="134"/>
      <c r="G1679" s="134"/>
      <c r="H1679" s="134"/>
    </row>
    <row r="1680" ht="55.5" customHeight="1">
      <c r="A1680" s="134"/>
      <c r="B1680" s="134"/>
      <c r="C1680" s="134"/>
      <c r="D1680" s="134"/>
      <c r="E1680" s="136"/>
      <c r="F1680" s="134"/>
      <c r="G1680" s="134"/>
      <c r="H1680" s="134"/>
    </row>
    <row r="1681" ht="55.5" customHeight="1">
      <c r="A1681" s="134"/>
      <c r="B1681" s="134"/>
      <c r="C1681" s="134"/>
      <c r="D1681" s="134"/>
      <c r="E1681" s="136"/>
      <c r="F1681" s="134"/>
      <c r="G1681" s="134"/>
      <c r="H1681" s="134"/>
    </row>
    <row r="1682" ht="55.5" customHeight="1">
      <c r="A1682" s="134"/>
      <c r="B1682" s="134"/>
      <c r="C1682" s="134"/>
      <c r="D1682" s="134"/>
      <c r="E1682" s="136"/>
      <c r="F1682" s="134"/>
      <c r="G1682" s="134"/>
      <c r="H1682" s="134"/>
    </row>
    <row r="1683" ht="55.5" customHeight="1">
      <c r="A1683" s="134"/>
      <c r="B1683" s="134"/>
      <c r="C1683" s="134"/>
      <c r="D1683" s="134"/>
      <c r="E1683" s="136"/>
      <c r="F1683" s="134"/>
      <c r="G1683" s="134"/>
      <c r="H1683" s="134"/>
    </row>
    <row r="1684" ht="55.5" customHeight="1">
      <c r="A1684" s="134"/>
      <c r="B1684" s="134"/>
      <c r="C1684" s="134"/>
      <c r="D1684" s="134"/>
      <c r="E1684" s="136"/>
      <c r="F1684" s="134"/>
      <c r="G1684" s="134"/>
      <c r="H1684" s="134"/>
    </row>
    <row r="1685" ht="55.5" customHeight="1">
      <c r="A1685" s="134"/>
      <c r="B1685" s="134"/>
      <c r="C1685" s="134"/>
      <c r="D1685" s="134"/>
      <c r="E1685" s="136"/>
      <c r="F1685" s="134"/>
      <c r="G1685" s="134"/>
      <c r="H1685" s="134"/>
    </row>
    <row r="1686" ht="55.5" customHeight="1">
      <c r="A1686" s="134"/>
      <c r="B1686" s="134"/>
      <c r="C1686" s="134"/>
      <c r="D1686" s="134"/>
      <c r="E1686" s="136"/>
      <c r="F1686" s="134"/>
      <c r="G1686" s="134"/>
      <c r="H1686" s="134"/>
    </row>
    <row r="1687" ht="55.5" customHeight="1">
      <c r="A1687" s="134"/>
      <c r="B1687" s="134"/>
      <c r="C1687" s="134"/>
      <c r="D1687" s="134"/>
      <c r="E1687" s="136"/>
      <c r="F1687" s="134"/>
      <c r="G1687" s="134"/>
      <c r="H1687" s="134"/>
    </row>
    <row r="1688" ht="55.5" customHeight="1">
      <c r="A1688" s="134"/>
      <c r="B1688" s="134"/>
      <c r="C1688" s="134"/>
      <c r="D1688" s="134"/>
      <c r="E1688" s="136"/>
      <c r="F1688" s="134"/>
      <c r="G1688" s="134"/>
      <c r="H1688" s="134"/>
    </row>
    <row r="1689" ht="55.5" customHeight="1">
      <c r="A1689" s="134"/>
      <c r="B1689" s="134"/>
      <c r="C1689" s="134"/>
      <c r="D1689" s="134"/>
      <c r="E1689" s="136"/>
      <c r="F1689" s="134"/>
      <c r="G1689" s="134"/>
      <c r="H1689" s="134"/>
    </row>
    <row r="1690" ht="55.5" customHeight="1">
      <c r="A1690" s="134"/>
      <c r="B1690" s="134"/>
      <c r="C1690" s="134"/>
      <c r="D1690" s="134"/>
      <c r="E1690" s="136"/>
      <c r="F1690" s="134"/>
      <c r="G1690" s="134"/>
      <c r="H1690" s="134"/>
    </row>
    <row r="1691" ht="55.5" customHeight="1">
      <c r="A1691" s="134"/>
      <c r="B1691" s="134"/>
      <c r="C1691" s="134"/>
      <c r="D1691" s="134"/>
      <c r="E1691" s="136"/>
      <c r="F1691" s="134"/>
      <c r="G1691" s="134"/>
      <c r="H1691" s="134"/>
    </row>
    <row r="1692" ht="55.5" customHeight="1">
      <c r="A1692" s="134"/>
      <c r="B1692" s="134"/>
      <c r="C1692" s="134"/>
      <c r="D1692" s="134"/>
      <c r="E1692" s="136"/>
      <c r="F1692" s="134"/>
      <c r="G1692" s="134"/>
      <c r="H1692" s="134"/>
    </row>
    <row r="1693" ht="55.5" customHeight="1">
      <c r="A1693" s="134"/>
      <c r="B1693" s="134"/>
      <c r="C1693" s="134"/>
      <c r="D1693" s="134"/>
      <c r="E1693" s="136"/>
      <c r="F1693" s="134"/>
      <c r="G1693" s="134"/>
      <c r="H1693" s="134"/>
    </row>
    <row r="1694" ht="55.5" customHeight="1">
      <c r="A1694" s="134"/>
      <c r="B1694" s="134"/>
      <c r="C1694" s="134"/>
      <c r="D1694" s="134"/>
      <c r="E1694" s="136"/>
      <c r="F1694" s="134"/>
      <c r="G1694" s="134"/>
      <c r="H1694" s="134"/>
    </row>
    <row r="1695" ht="55.5" customHeight="1">
      <c r="A1695" s="134"/>
      <c r="B1695" s="134"/>
      <c r="C1695" s="134"/>
      <c r="D1695" s="134"/>
      <c r="E1695" s="136"/>
      <c r="F1695" s="134"/>
      <c r="G1695" s="134"/>
      <c r="H1695" s="134"/>
    </row>
    <row r="1696" ht="55.5" customHeight="1">
      <c r="A1696" s="134"/>
      <c r="B1696" s="134"/>
      <c r="C1696" s="134"/>
      <c r="D1696" s="134"/>
      <c r="E1696" s="136"/>
      <c r="F1696" s="134"/>
      <c r="G1696" s="134"/>
      <c r="H1696" s="134"/>
    </row>
    <row r="1697" ht="55.5" customHeight="1">
      <c r="A1697" s="134"/>
      <c r="B1697" s="134"/>
      <c r="C1697" s="134"/>
      <c r="D1697" s="134"/>
      <c r="E1697" s="136"/>
      <c r="F1697" s="134"/>
      <c r="G1697" s="134"/>
      <c r="H1697" s="134"/>
    </row>
    <row r="1698" ht="55.5" customHeight="1">
      <c r="A1698" s="134"/>
      <c r="B1698" s="134"/>
      <c r="C1698" s="134"/>
      <c r="D1698" s="134"/>
      <c r="E1698" s="136"/>
      <c r="F1698" s="134"/>
      <c r="G1698" s="134"/>
      <c r="H1698" s="134"/>
    </row>
    <row r="1699" ht="55.5" customHeight="1">
      <c r="A1699" s="134"/>
      <c r="B1699" s="134"/>
      <c r="C1699" s="134"/>
      <c r="D1699" s="134"/>
      <c r="E1699" s="136"/>
      <c r="F1699" s="134"/>
      <c r="G1699" s="134"/>
      <c r="H1699" s="134"/>
    </row>
    <row r="1700" ht="55.5" customHeight="1">
      <c r="A1700" s="134"/>
      <c r="B1700" s="134"/>
      <c r="C1700" s="134"/>
      <c r="D1700" s="134"/>
      <c r="E1700" s="136"/>
      <c r="F1700" s="134"/>
      <c r="G1700" s="134"/>
      <c r="H1700" s="134"/>
    </row>
    <row r="1701" ht="55.5" customHeight="1">
      <c r="A1701" s="134"/>
      <c r="B1701" s="134"/>
      <c r="C1701" s="134"/>
      <c r="D1701" s="134"/>
      <c r="E1701" s="136"/>
      <c r="F1701" s="134"/>
      <c r="G1701" s="134"/>
      <c r="H1701" s="134"/>
    </row>
    <row r="1702" ht="55.5" customHeight="1">
      <c r="A1702" s="134"/>
      <c r="B1702" s="134"/>
      <c r="C1702" s="134"/>
      <c r="D1702" s="134"/>
      <c r="E1702" s="136"/>
      <c r="F1702" s="134"/>
      <c r="G1702" s="134"/>
      <c r="H1702" s="134"/>
    </row>
    <row r="1703" ht="55.5" customHeight="1">
      <c r="A1703" s="134"/>
      <c r="B1703" s="134"/>
      <c r="C1703" s="134"/>
      <c r="D1703" s="134"/>
      <c r="E1703" s="136"/>
      <c r="F1703" s="134"/>
      <c r="G1703" s="134"/>
      <c r="H1703" s="134"/>
    </row>
    <row r="1704" ht="55.5" customHeight="1">
      <c r="A1704" s="134"/>
      <c r="B1704" s="134"/>
      <c r="C1704" s="134"/>
      <c r="D1704" s="134"/>
      <c r="E1704" s="136"/>
      <c r="F1704" s="134"/>
      <c r="G1704" s="134"/>
      <c r="H1704" s="134"/>
    </row>
    <row r="1705" ht="55.5" customHeight="1">
      <c r="A1705" s="134"/>
      <c r="B1705" s="134"/>
      <c r="C1705" s="134"/>
      <c r="D1705" s="134"/>
      <c r="E1705" s="136"/>
      <c r="F1705" s="134"/>
      <c r="G1705" s="134"/>
      <c r="H1705" s="134"/>
    </row>
    <row r="1706" ht="55.5" customHeight="1">
      <c r="A1706" s="134"/>
      <c r="B1706" s="134"/>
      <c r="C1706" s="134"/>
      <c r="D1706" s="134"/>
      <c r="E1706" s="136"/>
      <c r="F1706" s="134"/>
      <c r="G1706" s="134"/>
      <c r="H1706" s="134"/>
    </row>
    <row r="1707" ht="55.5" customHeight="1">
      <c r="A1707" s="134"/>
      <c r="B1707" s="134"/>
      <c r="C1707" s="134"/>
      <c r="D1707" s="134"/>
      <c r="E1707" s="136"/>
      <c r="F1707" s="134"/>
      <c r="G1707" s="134"/>
      <c r="H1707" s="134"/>
    </row>
    <row r="1708" ht="55.5" customHeight="1">
      <c r="A1708" s="134"/>
      <c r="B1708" s="134"/>
      <c r="C1708" s="134"/>
      <c r="D1708" s="134"/>
      <c r="E1708" s="136"/>
      <c r="F1708" s="134"/>
      <c r="G1708" s="134"/>
      <c r="H1708" s="134"/>
    </row>
    <row r="1709" ht="55.5" customHeight="1">
      <c r="A1709" s="134"/>
      <c r="B1709" s="134"/>
      <c r="C1709" s="134"/>
      <c r="D1709" s="134"/>
      <c r="E1709" s="136"/>
      <c r="F1709" s="134"/>
      <c r="G1709" s="134"/>
      <c r="H1709" s="134"/>
    </row>
    <row r="1710" ht="55.5" customHeight="1">
      <c r="A1710" s="134"/>
      <c r="B1710" s="134"/>
      <c r="C1710" s="134"/>
      <c r="D1710" s="134"/>
      <c r="E1710" s="136"/>
      <c r="F1710" s="134"/>
      <c r="G1710" s="134"/>
      <c r="H1710" s="134"/>
    </row>
    <row r="1711" ht="55.5" customHeight="1">
      <c r="A1711" s="134"/>
      <c r="B1711" s="134"/>
      <c r="C1711" s="134"/>
      <c r="D1711" s="134"/>
      <c r="E1711" s="136"/>
      <c r="F1711" s="134"/>
      <c r="G1711" s="134"/>
      <c r="H1711" s="134"/>
    </row>
    <row r="1712" ht="55.5" customHeight="1">
      <c r="A1712" s="134"/>
      <c r="B1712" s="134"/>
      <c r="C1712" s="134"/>
      <c r="D1712" s="134"/>
      <c r="E1712" s="136"/>
      <c r="F1712" s="134"/>
      <c r="G1712" s="134"/>
      <c r="H1712" s="134"/>
    </row>
    <row r="1713" ht="55.5" customHeight="1">
      <c r="A1713" s="134"/>
      <c r="B1713" s="134"/>
      <c r="C1713" s="134"/>
      <c r="D1713" s="134"/>
      <c r="E1713" s="136"/>
      <c r="F1713" s="134"/>
      <c r="G1713" s="134"/>
      <c r="H1713" s="134"/>
    </row>
    <row r="1714" ht="55.5" customHeight="1">
      <c r="A1714" s="134"/>
      <c r="B1714" s="134"/>
      <c r="C1714" s="134"/>
      <c r="D1714" s="134"/>
      <c r="E1714" s="136"/>
      <c r="F1714" s="134"/>
      <c r="G1714" s="134"/>
      <c r="H1714" s="134"/>
    </row>
    <row r="1715" ht="55.5" customHeight="1">
      <c r="A1715" s="134"/>
      <c r="B1715" s="134"/>
      <c r="C1715" s="134"/>
      <c r="D1715" s="134"/>
      <c r="E1715" s="136"/>
      <c r="F1715" s="134"/>
      <c r="G1715" s="134"/>
      <c r="H1715" s="134"/>
    </row>
    <row r="1716" ht="55.5" customHeight="1">
      <c r="A1716" s="134"/>
      <c r="B1716" s="134"/>
      <c r="C1716" s="134"/>
      <c r="D1716" s="134"/>
      <c r="E1716" s="136"/>
      <c r="F1716" s="134"/>
      <c r="G1716" s="134"/>
      <c r="H1716" s="134"/>
    </row>
    <row r="1717" ht="55.5" customHeight="1">
      <c r="A1717" s="134"/>
      <c r="B1717" s="134"/>
      <c r="C1717" s="134"/>
      <c r="D1717" s="134"/>
      <c r="E1717" s="136"/>
      <c r="F1717" s="134"/>
      <c r="G1717" s="134"/>
      <c r="H1717" s="134"/>
    </row>
    <row r="1718" ht="55.5" customHeight="1">
      <c r="A1718" s="134"/>
      <c r="B1718" s="134"/>
      <c r="C1718" s="134"/>
      <c r="D1718" s="134"/>
      <c r="E1718" s="136"/>
      <c r="F1718" s="134"/>
      <c r="G1718" s="134"/>
      <c r="H1718" s="134"/>
    </row>
    <row r="1719" ht="55.5" customHeight="1">
      <c r="A1719" s="134"/>
      <c r="B1719" s="134"/>
      <c r="C1719" s="134"/>
      <c r="D1719" s="134"/>
      <c r="E1719" s="136"/>
      <c r="F1719" s="134"/>
      <c r="G1719" s="134"/>
      <c r="H1719" s="134"/>
    </row>
    <row r="1720" ht="55.5" customHeight="1">
      <c r="A1720" s="134"/>
      <c r="B1720" s="134"/>
      <c r="C1720" s="134"/>
      <c r="D1720" s="134"/>
      <c r="E1720" s="136"/>
      <c r="F1720" s="134"/>
      <c r="G1720" s="134"/>
      <c r="H1720" s="134"/>
    </row>
    <row r="1721" ht="55.5" customHeight="1">
      <c r="A1721" s="134"/>
      <c r="B1721" s="134"/>
      <c r="C1721" s="134"/>
      <c r="D1721" s="134"/>
      <c r="E1721" s="136"/>
      <c r="F1721" s="134"/>
      <c r="G1721" s="134"/>
      <c r="H1721" s="134"/>
    </row>
    <row r="1722" ht="55.5" customHeight="1">
      <c r="A1722" s="134"/>
      <c r="B1722" s="134"/>
      <c r="C1722" s="134"/>
      <c r="D1722" s="134"/>
      <c r="E1722" s="136"/>
      <c r="F1722" s="134"/>
      <c r="G1722" s="134"/>
      <c r="H1722" s="134"/>
    </row>
    <row r="1723" ht="55.5" customHeight="1">
      <c r="A1723" s="134"/>
      <c r="B1723" s="134"/>
      <c r="C1723" s="134"/>
      <c r="D1723" s="134"/>
      <c r="E1723" s="136"/>
      <c r="F1723" s="134"/>
      <c r="G1723" s="134"/>
      <c r="H1723" s="134"/>
    </row>
    <row r="1724" ht="55.5" customHeight="1">
      <c r="A1724" s="134"/>
      <c r="B1724" s="134"/>
      <c r="C1724" s="134"/>
      <c r="D1724" s="134"/>
      <c r="E1724" s="136"/>
      <c r="F1724" s="134"/>
      <c r="G1724" s="134"/>
      <c r="H1724" s="134"/>
    </row>
    <row r="1725" ht="55.5" customHeight="1">
      <c r="A1725" s="134"/>
      <c r="B1725" s="134"/>
      <c r="C1725" s="134"/>
      <c r="D1725" s="134"/>
      <c r="E1725" s="136"/>
      <c r="F1725" s="134"/>
      <c r="G1725" s="134"/>
      <c r="H1725" s="134"/>
    </row>
    <row r="1726" ht="55.5" customHeight="1">
      <c r="A1726" s="134"/>
      <c r="B1726" s="134"/>
      <c r="C1726" s="134"/>
      <c r="D1726" s="134"/>
      <c r="E1726" s="136"/>
      <c r="F1726" s="134"/>
      <c r="G1726" s="134"/>
      <c r="H1726" s="134"/>
    </row>
    <row r="1727" ht="55.5" customHeight="1">
      <c r="A1727" s="134"/>
      <c r="B1727" s="134"/>
      <c r="C1727" s="134"/>
      <c r="D1727" s="134"/>
      <c r="E1727" s="136"/>
      <c r="F1727" s="134"/>
      <c r="G1727" s="134"/>
      <c r="H1727" s="134"/>
    </row>
    <row r="1728" ht="55.5" customHeight="1">
      <c r="A1728" s="134"/>
      <c r="B1728" s="134"/>
      <c r="C1728" s="134"/>
      <c r="D1728" s="134"/>
      <c r="E1728" s="136"/>
      <c r="F1728" s="134"/>
      <c r="G1728" s="134"/>
      <c r="H1728" s="134"/>
    </row>
    <row r="1729" ht="55.5" customHeight="1">
      <c r="A1729" s="134"/>
      <c r="B1729" s="134"/>
      <c r="C1729" s="134"/>
      <c r="D1729" s="134"/>
      <c r="E1729" s="136"/>
      <c r="F1729" s="134"/>
      <c r="G1729" s="134"/>
      <c r="H1729" s="134"/>
    </row>
    <row r="1730" ht="55.5" customHeight="1">
      <c r="A1730" s="134"/>
      <c r="B1730" s="134"/>
      <c r="C1730" s="134"/>
      <c r="D1730" s="134"/>
      <c r="E1730" s="136"/>
      <c r="F1730" s="134"/>
      <c r="G1730" s="134"/>
      <c r="H1730" s="134"/>
    </row>
    <row r="1731" ht="55.5" customHeight="1">
      <c r="A1731" s="134"/>
      <c r="B1731" s="134"/>
      <c r="C1731" s="134"/>
      <c r="D1731" s="134"/>
      <c r="E1731" s="136"/>
      <c r="F1731" s="134"/>
      <c r="G1731" s="134"/>
      <c r="H1731" s="134"/>
    </row>
    <row r="1732" ht="55.5" customHeight="1">
      <c r="A1732" s="134"/>
      <c r="B1732" s="134"/>
      <c r="C1732" s="134"/>
      <c r="D1732" s="134"/>
      <c r="E1732" s="136"/>
      <c r="F1732" s="134"/>
      <c r="G1732" s="134"/>
      <c r="H1732" s="134"/>
    </row>
    <row r="1733" ht="55.5" customHeight="1">
      <c r="A1733" s="134"/>
      <c r="B1733" s="134"/>
      <c r="C1733" s="134"/>
      <c r="D1733" s="134"/>
      <c r="E1733" s="136"/>
      <c r="F1733" s="134"/>
      <c r="G1733" s="134"/>
      <c r="H1733" s="134"/>
    </row>
    <row r="1734" ht="55.5" customHeight="1">
      <c r="A1734" s="134"/>
      <c r="B1734" s="134"/>
      <c r="C1734" s="134"/>
      <c r="D1734" s="134"/>
      <c r="E1734" s="136"/>
      <c r="F1734" s="134"/>
      <c r="G1734" s="134"/>
      <c r="H1734" s="134"/>
    </row>
    <row r="1735" ht="55.5" customHeight="1">
      <c r="A1735" s="134"/>
      <c r="B1735" s="134"/>
      <c r="C1735" s="134"/>
      <c r="D1735" s="134"/>
      <c r="E1735" s="136"/>
      <c r="F1735" s="134"/>
      <c r="G1735" s="134"/>
      <c r="H1735" s="134"/>
    </row>
    <row r="1736" ht="55.5" customHeight="1">
      <c r="A1736" s="134"/>
      <c r="B1736" s="134"/>
      <c r="C1736" s="134"/>
      <c r="D1736" s="134"/>
      <c r="E1736" s="136"/>
      <c r="F1736" s="134"/>
      <c r="G1736" s="134"/>
      <c r="H1736" s="134"/>
    </row>
    <row r="1737" ht="55.5" customHeight="1">
      <c r="A1737" s="134"/>
      <c r="B1737" s="134"/>
      <c r="C1737" s="134"/>
      <c r="D1737" s="134"/>
      <c r="E1737" s="136"/>
      <c r="F1737" s="134"/>
      <c r="G1737" s="134"/>
      <c r="H1737" s="134"/>
    </row>
    <row r="1738" ht="55.5" customHeight="1">
      <c r="A1738" s="134"/>
      <c r="B1738" s="134"/>
      <c r="C1738" s="134"/>
      <c r="D1738" s="134"/>
      <c r="E1738" s="136"/>
      <c r="F1738" s="134"/>
      <c r="G1738" s="134"/>
      <c r="H1738" s="134"/>
    </row>
    <row r="1739" ht="55.5" customHeight="1">
      <c r="A1739" s="134"/>
      <c r="B1739" s="134"/>
      <c r="C1739" s="134"/>
      <c r="D1739" s="134"/>
      <c r="E1739" s="136"/>
      <c r="F1739" s="134"/>
      <c r="G1739" s="134"/>
      <c r="H1739" s="134"/>
    </row>
    <row r="1740" ht="55.5" customHeight="1">
      <c r="A1740" s="134"/>
      <c r="B1740" s="134"/>
      <c r="C1740" s="134"/>
      <c r="D1740" s="134"/>
      <c r="E1740" s="136"/>
      <c r="F1740" s="134"/>
      <c r="G1740" s="134"/>
      <c r="H1740" s="134"/>
    </row>
    <row r="1741" ht="55.5" customHeight="1">
      <c r="A1741" s="134"/>
      <c r="B1741" s="134"/>
      <c r="C1741" s="134"/>
      <c r="D1741" s="134"/>
      <c r="E1741" s="136"/>
      <c r="F1741" s="134"/>
      <c r="G1741" s="134"/>
      <c r="H1741" s="134"/>
    </row>
    <row r="1742" ht="55.5" customHeight="1">
      <c r="A1742" s="134"/>
      <c r="B1742" s="134"/>
      <c r="C1742" s="134"/>
      <c r="D1742" s="134"/>
      <c r="E1742" s="136"/>
      <c r="F1742" s="134"/>
      <c r="G1742" s="134"/>
      <c r="H1742" s="134"/>
    </row>
    <row r="1743" ht="55.5" customHeight="1">
      <c r="A1743" s="134"/>
      <c r="B1743" s="134"/>
      <c r="C1743" s="134"/>
      <c r="D1743" s="134"/>
      <c r="E1743" s="136"/>
      <c r="F1743" s="134"/>
      <c r="G1743" s="134"/>
      <c r="H1743" s="134"/>
    </row>
    <row r="1744" ht="55.5" customHeight="1">
      <c r="A1744" s="134"/>
      <c r="B1744" s="134"/>
      <c r="C1744" s="134"/>
      <c r="D1744" s="134"/>
      <c r="E1744" s="136"/>
      <c r="F1744" s="134"/>
      <c r="G1744" s="134"/>
      <c r="H1744" s="134"/>
    </row>
    <row r="1745" ht="55.5" customHeight="1">
      <c r="A1745" s="134"/>
      <c r="B1745" s="134"/>
      <c r="C1745" s="134"/>
      <c r="D1745" s="134"/>
      <c r="E1745" s="136"/>
      <c r="F1745" s="134"/>
      <c r="G1745" s="134"/>
      <c r="H1745" s="134"/>
    </row>
    <row r="1746" ht="55.5" customHeight="1">
      <c r="A1746" s="134"/>
      <c r="B1746" s="134"/>
      <c r="C1746" s="134"/>
      <c r="D1746" s="134"/>
      <c r="E1746" s="136"/>
      <c r="F1746" s="134"/>
      <c r="G1746" s="134"/>
      <c r="H1746" s="134"/>
    </row>
    <row r="1747" ht="55.5" customHeight="1">
      <c r="A1747" s="134"/>
      <c r="B1747" s="134"/>
      <c r="C1747" s="134"/>
      <c r="D1747" s="134"/>
      <c r="E1747" s="136"/>
      <c r="F1747" s="134"/>
      <c r="G1747" s="134"/>
      <c r="H1747" s="134"/>
    </row>
    <row r="1748" ht="55.5" customHeight="1">
      <c r="A1748" s="134"/>
      <c r="B1748" s="134"/>
      <c r="C1748" s="134"/>
      <c r="D1748" s="134"/>
      <c r="E1748" s="136"/>
      <c r="F1748" s="134"/>
      <c r="G1748" s="134"/>
      <c r="H1748" s="134"/>
    </row>
    <row r="1749" ht="55.5" customHeight="1">
      <c r="A1749" s="134"/>
      <c r="B1749" s="134"/>
      <c r="C1749" s="134"/>
      <c r="D1749" s="134"/>
      <c r="E1749" s="136"/>
      <c r="F1749" s="134"/>
      <c r="G1749" s="134"/>
      <c r="H1749" s="134"/>
    </row>
    <row r="1750" ht="55.5" customHeight="1">
      <c r="A1750" s="134"/>
      <c r="B1750" s="134"/>
      <c r="C1750" s="134"/>
      <c r="D1750" s="134"/>
      <c r="E1750" s="136"/>
      <c r="F1750" s="134"/>
      <c r="G1750" s="134"/>
      <c r="H1750" s="134"/>
    </row>
    <row r="1751" ht="55.5" customHeight="1">
      <c r="A1751" s="134"/>
      <c r="B1751" s="134"/>
      <c r="C1751" s="134"/>
      <c r="D1751" s="134"/>
      <c r="E1751" s="136"/>
      <c r="F1751" s="134"/>
      <c r="G1751" s="134"/>
      <c r="H1751" s="134"/>
    </row>
    <row r="1752" ht="55.5" customHeight="1">
      <c r="A1752" s="134"/>
      <c r="B1752" s="134"/>
      <c r="C1752" s="134"/>
      <c r="D1752" s="134"/>
      <c r="E1752" s="136"/>
      <c r="F1752" s="134"/>
      <c r="G1752" s="134"/>
      <c r="H1752" s="134"/>
    </row>
    <row r="1753" ht="55.5" customHeight="1">
      <c r="A1753" s="134"/>
      <c r="B1753" s="134"/>
      <c r="C1753" s="134"/>
      <c r="D1753" s="134"/>
      <c r="E1753" s="136"/>
      <c r="F1753" s="134"/>
      <c r="G1753" s="134"/>
      <c r="H1753" s="134"/>
    </row>
    <row r="1754" ht="55.5" customHeight="1">
      <c r="A1754" s="134"/>
      <c r="B1754" s="134"/>
      <c r="C1754" s="134"/>
      <c r="D1754" s="134"/>
      <c r="E1754" s="136"/>
      <c r="F1754" s="134"/>
      <c r="G1754" s="134"/>
      <c r="H1754" s="134"/>
    </row>
    <row r="1755" ht="55.5" customHeight="1">
      <c r="A1755" s="134"/>
      <c r="B1755" s="134"/>
      <c r="C1755" s="134"/>
      <c r="D1755" s="134"/>
      <c r="E1755" s="136"/>
      <c r="F1755" s="134"/>
      <c r="G1755" s="134"/>
      <c r="H1755" s="134"/>
    </row>
    <row r="1756" ht="55.5" customHeight="1">
      <c r="A1756" s="134"/>
      <c r="B1756" s="134"/>
      <c r="C1756" s="134"/>
      <c r="D1756" s="134"/>
      <c r="E1756" s="136"/>
      <c r="F1756" s="134"/>
      <c r="G1756" s="134"/>
      <c r="H1756" s="134"/>
    </row>
    <row r="1757" ht="55.5" customHeight="1">
      <c r="A1757" s="134"/>
      <c r="B1757" s="134"/>
      <c r="C1757" s="134"/>
      <c r="D1757" s="134"/>
      <c r="E1757" s="136"/>
      <c r="F1757" s="134"/>
      <c r="G1757" s="134"/>
      <c r="H1757" s="134"/>
    </row>
    <row r="1758" ht="55.5" customHeight="1">
      <c r="A1758" s="134"/>
      <c r="B1758" s="134"/>
      <c r="C1758" s="134"/>
      <c r="D1758" s="134"/>
      <c r="E1758" s="136"/>
      <c r="F1758" s="134"/>
      <c r="G1758" s="134"/>
      <c r="H1758" s="134"/>
    </row>
    <row r="1759" ht="55.5" customHeight="1">
      <c r="A1759" s="134"/>
      <c r="B1759" s="134"/>
      <c r="C1759" s="134"/>
      <c r="D1759" s="134"/>
      <c r="E1759" s="136"/>
      <c r="F1759" s="134"/>
      <c r="G1759" s="134"/>
      <c r="H1759" s="134"/>
    </row>
    <row r="1760" ht="55.5" customHeight="1">
      <c r="A1760" s="134"/>
      <c r="B1760" s="134"/>
      <c r="C1760" s="134"/>
      <c r="D1760" s="134"/>
      <c r="E1760" s="136"/>
      <c r="F1760" s="134"/>
      <c r="G1760" s="134"/>
      <c r="H1760" s="134"/>
    </row>
    <row r="1761" ht="55.5" customHeight="1">
      <c r="A1761" s="134"/>
      <c r="B1761" s="134"/>
      <c r="C1761" s="134"/>
      <c r="D1761" s="134"/>
      <c r="E1761" s="136"/>
      <c r="F1761" s="134"/>
      <c r="G1761" s="134"/>
      <c r="H1761" s="134"/>
    </row>
    <row r="1762" ht="55.5" customHeight="1">
      <c r="A1762" s="134"/>
      <c r="B1762" s="134"/>
      <c r="C1762" s="134"/>
      <c r="D1762" s="134"/>
      <c r="E1762" s="136"/>
      <c r="F1762" s="134"/>
      <c r="G1762" s="134"/>
      <c r="H1762" s="134"/>
    </row>
    <row r="1763" ht="55.5" customHeight="1">
      <c r="A1763" s="134"/>
      <c r="B1763" s="134"/>
      <c r="C1763" s="134"/>
      <c r="D1763" s="134"/>
      <c r="E1763" s="136"/>
      <c r="F1763" s="134"/>
      <c r="G1763" s="134"/>
      <c r="H1763" s="134"/>
    </row>
    <row r="1764" ht="55.5" customHeight="1">
      <c r="A1764" s="134"/>
      <c r="B1764" s="134"/>
      <c r="C1764" s="134"/>
      <c r="D1764" s="134"/>
      <c r="E1764" s="136"/>
      <c r="F1764" s="134"/>
      <c r="G1764" s="134"/>
      <c r="H1764" s="134"/>
    </row>
    <row r="1765" ht="55.5" customHeight="1">
      <c r="A1765" s="134"/>
      <c r="B1765" s="134"/>
      <c r="C1765" s="134"/>
      <c r="D1765" s="134"/>
      <c r="E1765" s="136"/>
      <c r="F1765" s="134"/>
      <c r="G1765" s="134"/>
      <c r="H1765" s="134"/>
    </row>
    <row r="1766" ht="55.5" customHeight="1">
      <c r="A1766" s="134"/>
      <c r="B1766" s="134"/>
      <c r="C1766" s="134"/>
      <c r="D1766" s="134"/>
      <c r="E1766" s="136"/>
      <c r="F1766" s="134"/>
      <c r="G1766" s="134"/>
      <c r="H1766" s="134"/>
    </row>
    <row r="1767" ht="55.5" customHeight="1">
      <c r="A1767" s="134"/>
      <c r="B1767" s="134"/>
      <c r="C1767" s="134"/>
      <c r="D1767" s="134"/>
      <c r="E1767" s="136"/>
      <c r="F1767" s="134"/>
      <c r="G1767" s="134"/>
      <c r="H1767" s="134"/>
    </row>
    <row r="1768" ht="55.5" customHeight="1">
      <c r="A1768" s="134"/>
      <c r="B1768" s="134"/>
      <c r="C1768" s="134"/>
      <c r="D1768" s="134"/>
      <c r="E1768" s="136"/>
      <c r="F1768" s="134"/>
      <c r="G1768" s="134"/>
      <c r="H1768" s="134"/>
    </row>
    <row r="1769" ht="55.5" customHeight="1">
      <c r="A1769" s="134"/>
      <c r="B1769" s="134"/>
      <c r="C1769" s="134"/>
      <c r="D1769" s="134"/>
      <c r="E1769" s="136"/>
      <c r="F1769" s="134"/>
      <c r="G1769" s="134"/>
      <c r="H1769" s="134"/>
    </row>
    <row r="1770" ht="55.5" customHeight="1">
      <c r="A1770" s="134"/>
      <c r="B1770" s="134"/>
      <c r="C1770" s="134"/>
      <c r="D1770" s="134"/>
      <c r="E1770" s="136"/>
      <c r="F1770" s="134"/>
      <c r="G1770" s="134"/>
      <c r="H1770" s="134"/>
    </row>
    <row r="1771" ht="55.5" customHeight="1">
      <c r="A1771" s="134"/>
      <c r="B1771" s="134"/>
      <c r="C1771" s="134"/>
      <c r="D1771" s="134"/>
      <c r="E1771" s="136"/>
      <c r="F1771" s="134"/>
      <c r="G1771" s="134"/>
      <c r="H1771" s="134"/>
    </row>
    <row r="1772" ht="55.5" customHeight="1">
      <c r="A1772" s="134"/>
      <c r="B1772" s="134"/>
      <c r="C1772" s="134"/>
      <c r="D1772" s="134"/>
      <c r="E1772" s="136"/>
      <c r="F1772" s="134"/>
      <c r="G1772" s="134"/>
      <c r="H1772" s="134"/>
    </row>
    <row r="1773" ht="55.5" customHeight="1">
      <c r="A1773" s="134"/>
      <c r="B1773" s="134"/>
      <c r="C1773" s="134"/>
      <c r="D1773" s="134"/>
      <c r="E1773" s="136"/>
      <c r="F1773" s="134"/>
      <c r="G1773" s="134"/>
      <c r="H1773" s="134"/>
    </row>
    <row r="1774" ht="55.5" customHeight="1">
      <c r="A1774" s="134"/>
      <c r="B1774" s="134"/>
      <c r="C1774" s="134"/>
      <c r="D1774" s="134"/>
      <c r="E1774" s="136"/>
      <c r="F1774" s="134"/>
      <c r="G1774" s="134"/>
      <c r="H1774" s="134"/>
    </row>
    <row r="1775" ht="55.5" customHeight="1">
      <c r="A1775" s="134"/>
      <c r="B1775" s="134"/>
      <c r="C1775" s="134"/>
      <c r="D1775" s="134"/>
      <c r="E1775" s="136"/>
      <c r="F1775" s="134"/>
      <c r="G1775" s="134"/>
      <c r="H1775" s="134"/>
    </row>
    <row r="1776" ht="55.5" customHeight="1">
      <c r="A1776" s="134"/>
      <c r="B1776" s="134"/>
      <c r="C1776" s="134"/>
      <c r="D1776" s="134"/>
      <c r="E1776" s="136"/>
      <c r="F1776" s="134"/>
      <c r="G1776" s="134"/>
      <c r="H1776" s="134"/>
    </row>
    <row r="1777" ht="55.5" customHeight="1">
      <c r="A1777" s="134"/>
      <c r="B1777" s="134"/>
      <c r="C1777" s="134"/>
      <c r="D1777" s="134"/>
      <c r="E1777" s="136"/>
      <c r="F1777" s="134"/>
      <c r="G1777" s="134"/>
      <c r="H1777" s="134"/>
    </row>
    <row r="1778" ht="55.5" customHeight="1">
      <c r="A1778" s="134"/>
      <c r="B1778" s="134"/>
      <c r="C1778" s="134"/>
      <c r="D1778" s="134"/>
      <c r="E1778" s="136"/>
      <c r="F1778" s="134"/>
      <c r="G1778" s="134"/>
      <c r="H1778" s="134"/>
    </row>
    <row r="1779" ht="55.5" customHeight="1">
      <c r="A1779" s="134"/>
      <c r="B1779" s="134"/>
      <c r="C1779" s="134"/>
      <c r="D1779" s="134"/>
      <c r="E1779" s="136"/>
      <c r="F1779" s="134"/>
      <c r="G1779" s="134"/>
      <c r="H1779" s="134"/>
    </row>
    <row r="1780" ht="55.5" customHeight="1">
      <c r="A1780" s="134"/>
      <c r="B1780" s="134"/>
      <c r="C1780" s="134"/>
      <c r="D1780" s="134"/>
      <c r="E1780" s="136"/>
      <c r="F1780" s="134"/>
      <c r="G1780" s="134"/>
      <c r="H1780" s="134"/>
    </row>
    <row r="1781" ht="55.5" customHeight="1">
      <c r="A1781" s="134"/>
      <c r="B1781" s="134"/>
      <c r="C1781" s="134"/>
      <c r="D1781" s="134"/>
      <c r="E1781" s="136"/>
      <c r="F1781" s="134"/>
      <c r="G1781" s="134"/>
      <c r="H1781" s="134"/>
    </row>
    <row r="1782" ht="55.5" customHeight="1">
      <c r="A1782" s="134"/>
      <c r="B1782" s="134"/>
      <c r="C1782" s="134"/>
      <c r="D1782" s="134"/>
      <c r="E1782" s="136"/>
      <c r="F1782" s="134"/>
      <c r="G1782" s="134"/>
      <c r="H1782" s="134"/>
    </row>
    <row r="1783" ht="55.5" customHeight="1">
      <c r="A1783" s="134"/>
      <c r="B1783" s="134"/>
      <c r="C1783" s="134"/>
      <c r="D1783" s="134"/>
      <c r="E1783" s="136"/>
      <c r="F1783" s="134"/>
      <c r="G1783" s="134"/>
      <c r="H1783" s="134"/>
    </row>
    <row r="1784" ht="55.5" customHeight="1">
      <c r="A1784" s="134"/>
      <c r="B1784" s="134"/>
      <c r="C1784" s="134"/>
      <c r="D1784" s="134"/>
      <c r="E1784" s="136"/>
      <c r="F1784" s="134"/>
      <c r="G1784" s="134"/>
      <c r="H1784" s="134"/>
    </row>
    <row r="1785" ht="55.5" customHeight="1">
      <c r="A1785" s="134"/>
      <c r="B1785" s="134"/>
      <c r="C1785" s="134"/>
      <c r="D1785" s="134"/>
      <c r="E1785" s="136"/>
      <c r="F1785" s="134"/>
      <c r="G1785" s="134"/>
      <c r="H1785" s="134"/>
    </row>
    <row r="1786" ht="55.5" customHeight="1">
      <c r="A1786" s="134"/>
      <c r="B1786" s="134"/>
      <c r="C1786" s="134"/>
      <c r="D1786" s="134"/>
      <c r="E1786" s="136"/>
      <c r="F1786" s="134"/>
      <c r="G1786" s="134"/>
      <c r="H1786" s="134"/>
    </row>
    <row r="1787" ht="55.5" customHeight="1">
      <c r="A1787" s="134"/>
      <c r="B1787" s="134"/>
      <c r="C1787" s="134"/>
      <c r="D1787" s="134"/>
      <c r="E1787" s="136"/>
      <c r="F1787" s="134"/>
      <c r="G1787" s="134"/>
      <c r="H1787" s="134"/>
    </row>
    <row r="1788" ht="55.5" customHeight="1">
      <c r="A1788" s="134"/>
      <c r="B1788" s="134"/>
      <c r="C1788" s="134"/>
      <c r="D1788" s="134"/>
      <c r="E1788" s="136"/>
      <c r="F1788" s="134"/>
      <c r="G1788" s="134"/>
      <c r="H1788" s="134"/>
    </row>
    <row r="1789" ht="55.5" customHeight="1">
      <c r="A1789" s="134"/>
      <c r="B1789" s="134"/>
      <c r="C1789" s="134"/>
      <c r="D1789" s="134"/>
      <c r="E1789" s="136"/>
      <c r="F1789" s="134"/>
      <c r="G1789" s="134"/>
      <c r="H1789" s="134"/>
    </row>
    <row r="1790" ht="55.5" customHeight="1">
      <c r="A1790" s="134"/>
      <c r="B1790" s="134"/>
      <c r="C1790" s="134"/>
      <c r="D1790" s="134"/>
      <c r="E1790" s="136"/>
      <c r="F1790" s="134"/>
      <c r="G1790" s="134"/>
      <c r="H1790" s="134"/>
    </row>
    <row r="1791" ht="55.5" customHeight="1">
      <c r="A1791" s="134"/>
      <c r="B1791" s="134"/>
      <c r="C1791" s="134"/>
      <c r="D1791" s="134"/>
      <c r="E1791" s="136"/>
      <c r="F1791" s="134"/>
      <c r="G1791" s="134"/>
      <c r="H1791" s="134"/>
    </row>
    <row r="1792" ht="55.5" customHeight="1">
      <c r="A1792" s="134"/>
      <c r="B1792" s="134"/>
      <c r="C1792" s="134"/>
      <c r="D1792" s="134"/>
      <c r="E1792" s="136"/>
      <c r="F1792" s="134"/>
      <c r="G1792" s="134"/>
      <c r="H1792" s="134"/>
    </row>
    <row r="1793" ht="55.5" customHeight="1">
      <c r="A1793" s="134"/>
      <c r="B1793" s="134"/>
      <c r="C1793" s="134"/>
      <c r="D1793" s="134"/>
      <c r="E1793" s="136"/>
      <c r="F1793" s="134"/>
      <c r="G1793" s="134"/>
      <c r="H1793" s="134"/>
    </row>
    <row r="1794" ht="55.5" customHeight="1">
      <c r="A1794" s="134"/>
      <c r="B1794" s="134"/>
      <c r="C1794" s="134"/>
      <c r="D1794" s="134"/>
      <c r="E1794" s="136"/>
      <c r="F1794" s="134"/>
      <c r="G1794" s="134"/>
      <c r="H1794" s="134"/>
    </row>
    <row r="1795" ht="55.5" customHeight="1">
      <c r="A1795" s="134"/>
      <c r="B1795" s="134"/>
      <c r="C1795" s="134"/>
      <c r="D1795" s="134"/>
      <c r="E1795" s="136"/>
      <c r="F1795" s="134"/>
      <c r="G1795" s="134"/>
      <c r="H1795" s="134"/>
    </row>
    <row r="1796" ht="55.5" customHeight="1">
      <c r="A1796" s="134"/>
      <c r="B1796" s="134"/>
      <c r="C1796" s="134"/>
      <c r="D1796" s="134"/>
      <c r="E1796" s="136"/>
      <c r="F1796" s="134"/>
      <c r="G1796" s="134"/>
      <c r="H1796" s="134"/>
    </row>
    <row r="1797" ht="55.5" customHeight="1">
      <c r="A1797" s="134"/>
      <c r="B1797" s="134"/>
      <c r="C1797" s="134"/>
      <c r="D1797" s="134"/>
      <c r="E1797" s="136"/>
      <c r="F1797" s="134"/>
      <c r="G1797" s="134"/>
      <c r="H1797" s="134"/>
    </row>
    <row r="1798" ht="55.5" customHeight="1">
      <c r="A1798" s="134"/>
      <c r="B1798" s="134"/>
      <c r="C1798" s="134"/>
      <c r="D1798" s="134"/>
      <c r="E1798" s="136"/>
      <c r="F1798" s="134"/>
      <c r="G1798" s="134"/>
      <c r="H1798" s="134"/>
    </row>
    <row r="1799" ht="55.5" customHeight="1">
      <c r="A1799" s="134"/>
      <c r="B1799" s="134"/>
      <c r="C1799" s="134"/>
      <c r="D1799" s="134"/>
      <c r="E1799" s="136"/>
      <c r="F1799" s="134"/>
      <c r="G1799" s="134"/>
      <c r="H1799" s="134"/>
    </row>
    <row r="1800" ht="55.5" customHeight="1">
      <c r="A1800" s="134"/>
      <c r="B1800" s="134"/>
      <c r="C1800" s="134"/>
      <c r="D1800" s="134"/>
      <c r="E1800" s="136"/>
      <c r="F1800" s="134"/>
      <c r="G1800" s="134"/>
      <c r="H1800" s="134"/>
    </row>
    <row r="1801" ht="55.5" customHeight="1">
      <c r="A1801" s="134"/>
      <c r="B1801" s="134"/>
      <c r="C1801" s="134"/>
      <c r="D1801" s="134"/>
      <c r="E1801" s="136"/>
      <c r="F1801" s="134"/>
      <c r="G1801" s="134"/>
      <c r="H1801" s="134"/>
    </row>
    <row r="1802" ht="55.5" customHeight="1">
      <c r="A1802" s="134"/>
      <c r="B1802" s="134"/>
      <c r="C1802" s="134"/>
      <c r="D1802" s="134"/>
      <c r="E1802" s="136"/>
      <c r="F1802" s="134"/>
      <c r="G1802" s="134"/>
      <c r="H1802" s="134"/>
    </row>
    <row r="1803" ht="55.5" customHeight="1">
      <c r="A1803" s="134"/>
      <c r="B1803" s="134"/>
      <c r="C1803" s="134"/>
      <c r="D1803" s="134"/>
      <c r="E1803" s="136"/>
      <c r="F1803" s="134"/>
      <c r="G1803" s="134"/>
      <c r="H1803" s="134"/>
    </row>
    <row r="1804" ht="55.5" customHeight="1">
      <c r="A1804" s="134"/>
      <c r="B1804" s="134"/>
      <c r="C1804" s="134"/>
      <c r="D1804" s="134"/>
      <c r="E1804" s="136"/>
      <c r="F1804" s="134"/>
      <c r="G1804" s="134"/>
      <c r="H1804" s="134"/>
    </row>
    <row r="1805" ht="55.5" customHeight="1">
      <c r="A1805" s="134"/>
      <c r="B1805" s="134"/>
      <c r="C1805" s="134"/>
      <c r="D1805" s="134"/>
      <c r="E1805" s="136"/>
      <c r="F1805" s="134"/>
      <c r="G1805" s="134"/>
      <c r="H1805" s="134"/>
    </row>
    <row r="1806" ht="55.5" customHeight="1">
      <c r="A1806" s="134"/>
      <c r="B1806" s="134"/>
      <c r="C1806" s="134"/>
      <c r="D1806" s="134"/>
      <c r="E1806" s="136"/>
      <c r="F1806" s="134"/>
      <c r="G1806" s="134"/>
      <c r="H1806" s="134"/>
    </row>
    <row r="1807" ht="55.5" customHeight="1">
      <c r="A1807" s="134"/>
      <c r="B1807" s="134"/>
      <c r="C1807" s="134"/>
      <c r="D1807" s="134"/>
      <c r="E1807" s="136"/>
      <c r="F1807" s="134"/>
      <c r="G1807" s="134"/>
      <c r="H1807" s="134"/>
    </row>
    <row r="1808" ht="55.5" customHeight="1">
      <c r="A1808" s="134"/>
      <c r="B1808" s="134"/>
      <c r="C1808" s="134"/>
      <c r="D1808" s="134"/>
      <c r="E1808" s="136"/>
      <c r="F1808" s="134"/>
      <c r="G1808" s="134"/>
      <c r="H1808" s="134"/>
    </row>
    <row r="1809" ht="55.5" customHeight="1">
      <c r="A1809" s="134"/>
      <c r="B1809" s="134"/>
      <c r="C1809" s="134"/>
      <c r="D1809" s="134"/>
      <c r="E1809" s="136"/>
      <c r="F1809" s="134"/>
      <c r="G1809" s="134"/>
      <c r="H1809" s="134"/>
    </row>
    <row r="1810" ht="55.5" customHeight="1">
      <c r="A1810" s="134"/>
      <c r="B1810" s="134"/>
      <c r="C1810" s="134"/>
      <c r="D1810" s="134"/>
      <c r="E1810" s="136"/>
      <c r="F1810" s="134"/>
      <c r="G1810" s="134"/>
      <c r="H1810" s="134"/>
    </row>
    <row r="1811" ht="55.5" customHeight="1">
      <c r="A1811" s="134"/>
      <c r="B1811" s="134"/>
      <c r="C1811" s="134"/>
      <c r="D1811" s="134"/>
      <c r="E1811" s="136"/>
      <c r="F1811" s="134"/>
      <c r="G1811" s="134"/>
      <c r="H1811" s="134"/>
    </row>
    <row r="1812" ht="55.5" customHeight="1">
      <c r="A1812" s="134"/>
      <c r="B1812" s="134"/>
      <c r="C1812" s="134"/>
      <c r="D1812" s="134"/>
      <c r="E1812" s="136"/>
      <c r="F1812" s="134"/>
      <c r="G1812" s="134"/>
      <c r="H1812" s="134"/>
    </row>
    <row r="1813" ht="55.5" customHeight="1">
      <c r="A1813" s="134"/>
      <c r="B1813" s="134"/>
      <c r="C1813" s="134"/>
      <c r="D1813" s="134"/>
      <c r="E1813" s="136"/>
      <c r="F1813" s="134"/>
      <c r="G1813" s="134"/>
      <c r="H1813" s="134"/>
    </row>
    <row r="1814" ht="55.5" customHeight="1">
      <c r="A1814" s="134"/>
      <c r="B1814" s="134"/>
      <c r="C1814" s="134"/>
      <c r="D1814" s="134"/>
      <c r="E1814" s="136"/>
      <c r="F1814" s="134"/>
      <c r="G1814" s="134"/>
      <c r="H1814" s="134"/>
    </row>
    <row r="1815" ht="55.5" customHeight="1">
      <c r="A1815" s="134"/>
      <c r="B1815" s="134"/>
      <c r="C1815" s="134"/>
      <c r="D1815" s="134"/>
      <c r="E1815" s="136"/>
      <c r="F1815" s="134"/>
      <c r="G1815" s="134"/>
      <c r="H1815" s="134"/>
    </row>
    <row r="1816" ht="55.5" customHeight="1">
      <c r="A1816" s="134"/>
      <c r="B1816" s="134"/>
      <c r="C1816" s="134"/>
      <c r="D1816" s="134"/>
      <c r="E1816" s="136"/>
      <c r="F1816" s="134"/>
      <c r="G1816" s="134"/>
      <c r="H1816" s="134"/>
    </row>
    <row r="1817" ht="55.5" customHeight="1">
      <c r="A1817" s="134"/>
      <c r="B1817" s="134"/>
      <c r="C1817" s="134"/>
      <c r="D1817" s="134"/>
      <c r="E1817" s="136"/>
      <c r="F1817" s="134"/>
      <c r="G1817" s="134"/>
      <c r="H1817" s="134"/>
    </row>
    <row r="1818" ht="55.5" customHeight="1">
      <c r="A1818" s="134"/>
      <c r="B1818" s="134"/>
      <c r="C1818" s="134"/>
      <c r="D1818" s="134"/>
      <c r="E1818" s="136"/>
      <c r="F1818" s="134"/>
      <c r="G1818" s="134"/>
      <c r="H1818" s="134"/>
    </row>
    <row r="1819" ht="55.5" customHeight="1">
      <c r="A1819" s="134"/>
      <c r="B1819" s="134"/>
      <c r="C1819" s="134"/>
      <c r="D1819" s="134"/>
      <c r="E1819" s="136"/>
      <c r="F1819" s="134"/>
      <c r="G1819" s="134"/>
      <c r="H1819" s="134"/>
    </row>
    <row r="1820" ht="55.5" customHeight="1">
      <c r="A1820" s="134"/>
      <c r="B1820" s="134"/>
      <c r="C1820" s="134"/>
      <c r="D1820" s="134"/>
      <c r="E1820" s="136"/>
      <c r="F1820" s="134"/>
      <c r="G1820" s="134"/>
      <c r="H1820" s="134"/>
    </row>
    <row r="1821" ht="55.5" customHeight="1">
      <c r="A1821" s="134"/>
      <c r="B1821" s="134"/>
      <c r="C1821" s="134"/>
      <c r="D1821" s="134"/>
      <c r="E1821" s="136"/>
      <c r="F1821" s="134"/>
      <c r="G1821" s="134"/>
      <c r="H1821" s="134"/>
    </row>
    <row r="1822" ht="55.5" customHeight="1">
      <c r="A1822" s="134"/>
      <c r="B1822" s="134"/>
      <c r="C1822" s="134"/>
      <c r="D1822" s="134"/>
      <c r="E1822" s="136"/>
      <c r="F1822" s="134"/>
      <c r="G1822" s="134"/>
      <c r="H1822" s="134"/>
    </row>
    <row r="1823" ht="55.5" customHeight="1">
      <c r="A1823" s="134"/>
      <c r="B1823" s="134"/>
      <c r="C1823" s="134"/>
      <c r="D1823" s="134"/>
      <c r="E1823" s="136"/>
      <c r="F1823" s="134"/>
      <c r="G1823" s="134"/>
      <c r="H1823" s="134"/>
    </row>
    <row r="1824" ht="55.5" customHeight="1">
      <c r="A1824" s="134"/>
      <c r="B1824" s="134"/>
      <c r="C1824" s="134"/>
      <c r="D1824" s="134"/>
      <c r="E1824" s="136"/>
      <c r="F1824" s="134"/>
      <c r="G1824" s="134"/>
      <c r="H1824" s="134"/>
    </row>
    <row r="1825" ht="55.5" customHeight="1">
      <c r="A1825" s="134"/>
      <c r="B1825" s="134"/>
      <c r="C1825" s="134"/>
      <c r="D1825" s="134"/>
      <c r="E1825" s="136"/>
      <c r="F1825" s="134"/>
      <c r="G1825" s="134"/>
      <c r="H1825" s="134"/>
    </row>
    <row r="1826" ht="55.5" customHeight="1">
      <c r="A1826" s="134"/>
      <c r="B1826" s="134"/>
      <c r="C1826" s="134"/>
      <c r="D1826" s="134"/>
      <c r="E1826" s="136"/>
      <c r="F1826" s="134"/>
      <c r="G1826" s="134"/>
      <c r="H1826" s="134"/>
    </row>
    <row r="1827" ht="55.5" customHeight="1">
      <c r="A1827" s="134"/>
      <c r="B1827" s="134"/>
      <c r="C1827" s="134"/>
      <c r="D1827" s="134"/>
      <c r="E1827" s="136"/>
      <c r="F1827" s="134"/>
      <c r="G1827" s="134"/>
      <c r="H1827" s="134"/>
    </row>
    <row r="1828" ht="55.5" customHeight="1">
      <c r="A1828" s="134"/>
      <c r="B1828" s="134"/>
      <c r="C1828" s="134"/>
      <c r="D1828" s="134"/>
      <c r="E1828" s="136"/>
      <c r="F1828" s="134"/>
      <c r="G1828" s="134"/>
      <c r="H1828" s="134"/>
    </row>
    <row r="1829" ht="55.5" customHeight="1">
      <c r="A1829" s="134"/>
      <c r="B1829" s="134"/>
      <c r="C1829" s="134"/>
      <c r="D1829" s="134"/>
      <c r="E1829" s="136"/>
      <c r="F1829" s="134"/>
      <c r="G1829" s="134"/>
      <c r="H1829" s="134"/>
    </row>
    <row r="1830" ht="55.5" customHeight="1">
      <c r="A1830" s="134"/>
      <c r="B1830" s="134"/>
      <c r="C1830" s="134"/>
      <c r="D1830" s="134"/>
      <c r="E1830" s="136"/>
      <c r="F1830" s="134"/>
      <c r="G1830" s="134"/>
      <c r="H1830" s="134"/>
    </row>
    <row r="1831" ht="55.5" customHeight="1">
      <c r="A1831" s="134"/>
      <c r="B1831" s="134"/>
      <c r="C1831" s="134"/>
      <c r="D1831" s="134"/>
      <c r="E1831" s="136"/>
      <c r="F1831" s="134"/>
      <c r="G1831" s="134"/>
      <c r="H1831" s="134"/>
    </row>
    <row r="1832" ht="55.5" customHeight="1">
      <c r="A1832" s="134"/>
      <c r="B1832" s="134"/>
      <c r="C1832" s="134"/>
      <c r="D1832" s="134"/>
      <c r="E1832" s="136"/>
      <c r="F1832" s="134"/>
      <c r="G1832" s="134"/>
      <c r="H1832" s="134"/>
    </row>
    <row r="1833" ht="55.5" customHeight="1">
      <c r="A1833" s="134"/>
      <c r="B1833" s="134"/>
      <c r="C1833" s="134"/>
      <c r="D1833" s="134"/>
      <c r="E1833" s="136"/>
      <c r="F1833" s="134"/>
      <c r="G1833" s="134"/>
      <c r="H1833" s="134"/>
    </row>
    <row r="1834" ht="55.5" customHeight="1">
      <c r="A1834" s="134"/>
      <c r="B1834" s="134"/>
      <c r="C1834" s="134"/>
      <c r="D1834" s="134"/>
      <c r="E1834" s="136"/>
      <c r="F1834" s="134"/>
      <c r="G1834" s="134"/>
      <c r="H1834" s="134"/>
    </row>
    <row r="1835" ht="55.5" customHeight="1">
      <c r="A1835" s="134"/>
      <c r="B1835" s="134"/>
      <c r="C1835" s="134"/>
      <c r="D1835" s="134"/>
      <c r="E1835" s="136"/>
      <c r="F1835" s="134"/>
      <c r="G1835" s="134"/>
      <c r="H1835" s="134"/>
    </row>
    <row r="1836" ht="55.5" customHeight="1">
      <c r="A1836" s="134"/>
      <c r="B1836" s="134"/>
      <c r="C1836" s="134"/>
      <c r="D1836" s="134"/>
      <c r="E1836" s="136"/>
      <c r="F1836" s="134"/>
      <c r="G1836" s="134"/>
      <c r="H1836" s="134"/>
    </row>
    <row r="1837" ht="55.5" customHeight="1">
      <c r="A1837" s="134"/>
      <c r="B1837" s="134"/>
      <c r="C1837" s="134"/>
      <c r="D1837" s="134"/>
      <c r="E1837" s="136"/>
      <c r="F1837" s="134"/>
      <c r="G1837" s="134"/>
      <c r="H1837" s="134"/>
    </row>
    <row r="1838" ht="55.5" customHeight="1">
      <c r="A1838" s="134"/>
      <c r="B1838" s="134"/>
      <c r="C1838" s="134"/>
      <c r="D1838" s="134"/>
      <c r="E1838" s="136"/>
      <c r="F1838" s="134"/>
      <c r="G1838" s="134"/>
      <c r="H1838" s="134"/>
    </row>
    <row r="1839" ht="55.5" customHeight="1">
      <c r="A1839" s="134"/>
      <c r="B1839" s="134"/>
      <c r="C1839" s="134"/>
      <c r="D1839" s="134"/>
      <c r="E1839" s="136"/>
      <c r="F1839" s="134"/>
      <c r="G1839" s="134"/>
      <c r="H1839" s="134"/>
    </row>
    <row r="1840" ht="55.5" customHeight="1">
      <c r="A1840" s="134"/>
      <c r="B1840" s="134"/>
      <c r="C1840" s="134"/>
      <c r="D1840" s="134"/>
      <c r="E1840" s="136"/>
      <c r="F1840" s="134"/>
      <c r="G1840" s="134"/>
      <c r="H1840" s="134"/>
    </row>
    <row r="1841" ht="55.5" customHeight="1">
      <c r="A1841" s="134"/>
      <c r="B1841" s="134"/>
      <c r="C1841" s="134"/>
      <c r="D1841" s="134"/>
      <c r="E1841" s="136"/>
      <c r="F1841" s="134"/>
      <c r="G1841" s="134"/>
      <c r="H1841" s="134"/>
    </row>
    <row r="1842" ht="55.5" customHeight="1">
      <c r="A1842" s="134"/>
      <c r="B1842" s="134"/>
      <c r="C1842" s="134"/>
      <c r="D1842" s="134"/>
      <c r="E1842" s="136"/>
      <c r="F1842" s="134"/>
      <c r="G1842" s="134"/>
      <c r="H1842" s="134"/>
    </row>
    <row r="1843" ht="55.5" customHeight="1">
      <c r="A1843" s="134"/>
      <c r="B1843" s="134"/>
      <c r="C1843" s="134"/>
      <c r="D1843" s="134"/>
      <c r="E1843" s="136"/>
      <c r="F1843" s="134"/>
      <c r="G1843" s="134"/>
      <c r="H1843" s="134"/>
    </row>
    <row r="1844" ht="55.5" customHeight="1">
      <c r="A1844" s="134"/>
      <c r="B1844" s="134"/>
      <c r="C1844" s="134"/>
      <c r="D1844" s="134"/>
      <c r="E1844" s="136"/>
      <c r="F1844" s="134"/>
      <c r="G1844" s="134"/>
      <c r="H1844" s="134"/>
    </row>
    <row r="1845" ht="55.5" customHeight="1">
      <c r="A1845" s="134"/>
      <c r="B1845" s="134"/>
      <c r="C1845" s="134"/>
      <c r="D1845" s="134"/>
      <c r="E1845" s="136"/>
      <c r="F1845" s="134"/>
      <c r="G1845" s="134"/>
      <c r="H1845" s="134"/>
    </row>
    <row r="1846" ht="55.5" customHeight="1">
      <c r="A1846" s="134"/>
      <c r="B1846" s="134"/>
      <c r="C1846" s="134"/>
      <c r="D1846" s="134"/>
      <c r="E1846" s="136"/>
      <c r="F1846" s="134"/>
      <c r="G1846" s="134"/>
      <c r="H1846" s="134"/>
    </row>
    <row r="1847" ht="55.5" customHeight="1">
      <c r="A1847" s="134"/>
      <c r="B1847" s="134"/>
      <c r="C1847" s="134"/>
      <c r="D1847" s="134"/>
      <c r="E1847" s="136"/>
      <c r="F1847" s="134"/>
      <c r="G1847" s="134"/>
      <c r="H1847" s="134"/>
    </row>
    <row r="1848" ht="55.5" customHeight="1">
      <c r="A1848" s="134"/>
      <c r="B1848" s="134"/>
      <c r="C1848" s="134"/>
      <c r="D1848" s="134"/>
      <c r="E1848" s="136"/>
      <c r="F1848" s="134"/>
      <c r="G1848" s="134"/>
      <c r="H1848" s="134"/>
    </row>
    <row r="1849" ht="55.5" customHeight="1">
      <c r="A1849" s="134"/>
      <c r="B1849" s="134"/>
      <c r="C1849" s="134"/>
      <c r="D1849" s="134"/>
      <c r="E1849" s="136"/>
      <c r="F1849" s="134"/>
      <c r="G1849" s="134"/>
      <c r="H1849" s="134"/>
    </row>
    <row r="1850" ht="55.5" customHeight="1">
      <c r="A1850" s="134"/>
      <c r="B1850" s="134"/>
      <c r="C1850" s="134"/>
      <c r="D1850" s="134"/>
      <c r="E1850" s="136"/>
      <c r="F1850" s="134"/>
      <c r="G1850" s="134"/>
      <c r="H1850" s="134"/>
    </row>
    <row r="1851" ht="55.5" customHeight="1">
      <c r="A1851" s="134"/>
      <c r="B1851" s="134"/>
      <c r="C1851" s="134"/>
      <c r="D1851" s="134"/>
      <c r="E1851" s="136"/>
      <c r="F1851" s="134"/>
      <c r="G1851" s="134"/>
      <c r="H1851" s="134"/>
    </row>
    <row r="1852" ht="55.5" customHeight="1">
      <c r="A1852" s="134"/>
      <c r="B1852" s="134"/>
      <c r="C1852" s="134"/>
      <c r="D1852" s="134"/>
      <c r="E1852" s="136"/>
      <c r="F1852" s="134"/>
      <c r="G1852" s="134"/>
      <c r="H1852" s="134"/>
    </row>
    <row r="1853" ht="55.5" customHeight="1">
      <c r="A1853" s="134"/>
      <c r="B1853" s="134"/>
      <c r="C1853" s="134"/>
      <c r="D1853" s="134"/>
      <c r="E1853" s="136"/>
      <c r="F1853" s="134"/>
      <c r="G1853" s="134"/>
      <c r="H1853" s="134"/>
    </row>
    <row r="1854" ht="55.5" customHeight="1">
      <c r="A1854" s="134"/>
      <c r="B1854" s="134"/>
      <c r="C1854" s="134"/>
      <c r="D1854" s="134"/>
      <c r="E1854" s="136"/>
      <c r="F1854" s="134"/>
      <c r="G1854" s="134"/>
      <c r="H1854" s="134"/>
    </row>
    <row r="1855" ht="55.5" customHeight="1">
      <c r="A1855" s="134"/>
      <c r="B1855" s="134"/>
      <c r="C1855" s="134"/>
      <c r="D1855" s="134"/>
      <c r="E1855" s="136"/>
      <c r="F1855" s="134"/>
      <c r="G1855" s="134"/>
      <c r="H1855" s="134"/>
    </row>
    <row r="1856" ht="55.5" customHeight="1">
      <c r="A1856" s="134"/>
      <c r="B1856" s="134"/>
      <c r="C1856" s="134"/>
      <c r="D1856" s="134"/>
      <c r="E1856" s="136"/>
      <c r="F1856" s="134"/>
      <c r="G1856" s="134"/>
      <c r="H1856" s="134"/>
    </row>
    <row r="1857" ht="55.5" customHeight="1">
      <c r="A1857" s="134"/>
      <c r="B1857" s="134"/>
      <c r="C1857" s="134"/>
      <c r="D1857" s="134"/>
      <c r="E1857" s="136"/>
      <c r="F1857" s="134"/>
      <c r="G1857" s="134"/>
      <c r="H1857" s="134"/>
    </row>
    <row r="1858" ht="55.5" customHeight="1">
      <c r="A1858" s="134"/>
      <c r="B1858" s="134"/>
      <c r="C1858" s="134"/>
      <c r="D1858" s="134"/>
      <c r="E1858" s="136"/>
      <c r="F1858" s="134"/>
      <c r="G1858" s="134"/>
      <c r="H1858" s="134"/>
    </row>
    <row r="1859" ht="55.5" customHeight="1">
      <c r="A1859" s="134"/>
      <c r="B1859" s="134"/>
      <c r="C1859" s="134"/>
      <c r="D1859" s="134"/>
      <c r="E1859" s="136"/>
      <c r="F1859" s="134"/>
      <c r="G1859" s="134"/>
      <c r="H1859" s="134"/>
    </row>
    <row r="1860" ht="55.5" customHeight="1">
      <c r="A1860" s="134"/>
      <c r="B1860" s="134"/>
      <c r="C1860" s="134"/>
      <c r="D1860" s="134"/>
      <c r="E1860" s="136"/>
      <c r="F1860" s="134"/>
      <c r="G1860" s="134"/>
      <c r="H1860" s="134"/>
    </row>
    <row r="1861" ht="55.5" customHeight="1">
      <c r="A1861" s="134"/>
      <c r="B1861" s="134"/>
      <c r="C1861" s="134"/>
      <c r="D1861" s="134"/>
      <c r="E1861" s="136"/>
      <c r="F1861" s="134"/>
      <c r="G1861" s="134"/>
      <c r="H1861" s="134"/>
    </row>
    <row r="1862" ht="55.5" customHeight="1">
      <c r="A1862" s="134"/>
      <c r="B1862" s="134"/>
      <c r="C1862" s="134"/>
      <c r="D1862" s="134"/>
      <c r="E1862" s="136"/>
      <c r="F1862" s="134"/>
      <c r="G1862" s="134"/>
      <c r="H1862" s="134"/>
    </row>
    <row r="1863" ht="55.5" customHeight="1">
      <c r="A1863" s="134"/>
      <c r="B1863" s="134"/>
      <c r="C1863" s="134"/>
      <c r="D1863" s="134"/>
      <c r="E1863" s="136"/>
      <c r="F1863" s="134"/>
      <c r="G1863" s="134"/>
      <c r="H1863" s="134"/>
    </row>
    <row r="1864" ht="55.5" customHeight="1">
      <c r="A1864" s="134"/>
      <c r="B1864" s="134"/>
      <c r="C1864" s="134"/>
      <c r="D1864" s="134"/>
      <c r="E1864" s="136"/>
      <c r="F1864" s="134"/>
      <c r="G1864" s="134"/>
      <c r="H1864" s="134"/>
    </row>
    <row r="1865" ht="55.5" customHeight="1">
      <c r="A1865" s="134"/>
      <c r="B1865" s="134"/>
      <c r="C1865" s="134"/>
      <c r="D1865" s="134"/>
      <c r="E1865" s="136"/>
      <c r="F1865" s="134"/>
      <c r="G1865" s="134"/>
      <c r="H1865" s="134"/>
    </row>
    <row r="1866" ht="55.5" customHeight="1">
      <c r="A1866" s="134"/>
      <c r="B1866" s="134"/>
      <c r="C1866" s="134"/>
      <c r="D1866" s="134"/>
      <c r="E1866" s="136"/>
      <c r="F1866" s="134"/>
      <c r="G1866" s="134"/>
      <c r="H1866" s="134"/>
    </row>
    <row r="1867" ht="55.5" customHeight="1">
      <c r="A1867" s="134"/>
      <c r="B1867" s="134"/>
      <c r="C1867" s="134"/>
      <c r="D1867" s="134"/>
      <c r="E1867" s="136"/>
      <c r="F1867" s="134"/>
      <c r="G1867" s="134"/>
      <c r="H1867" s="134"/>
    </row>
    <row r="1868" ht="55.5" customHeight="1">
      <c r="A1868" s="134"/>
      <c r="B1868" s="134"/>
      <c r="C1868" s="134"/>
      <c r="D1868" s="134"/>
      <c r="E1868" s="136"/>
      <c r="F1868" s="134"/>
      <c r="G1868" s="134"/>
      <c r="H1868" s="134"/>
    </row>
    <row r="1869" ht="55.5" customHeight="1">
      <c r="A1869" s="134"/>
      <c r="B1869" s="134"/>
      <c r="C1869" s="134"/>
      <c r="D1869" s="134"/>
      <c r="E1869" s="136"/>
      <c r="F1869" s="134"/>
      <c r="G1869" s="134"/>
      <c r="H1869" s="134"/>
    </row>
    <row r="1870" ht="55.5" customHeight="1">
      <c r="A1870" s="134"/>
      <c r="B1870" s="134"/>
      <c r="C1870" s="134"/>
      <c r="D1870" s="134"/>
      <c r="E1870" s="136"/>
      <c r="F1870" s="134"/>
      <c r="G1870" s="134"/>
      <c r="H1870" s="134"/>
    </row>
    <row r="1871" ht="55.5" customHeight="1">
      <c r="A1871" s="134"/>
      <c r="B1871" s="134"/>
      <c r="C1871" s="134"/>
      <c r="D1871" s="134"/>
      <c r="E1871" s="136"/>
      <c r="F1871" s="134"/>
      <c r="G1871" s="134"/>
      <c r="H1871" s="134"/>
    </row>
    <row r="1872" ht="55.5" customHeight="1">
      <c r="A1872" s="134"/>
      <c r="B1872" s="134"/>
      <c r="C1872" s="134"/>
      <c r="D1872" s="134"/>
      <c r="E1872" s="136"/>
      <c r="F1872" s="134"/>
      <c r="G1872" s="134"/>
      <c r="H1872" s="134"/>
    </row>
    <row r="1873" ht="55.5" customHeight="1">
      <c r="A1873" s="134"/>
      <c r="B1873" s="134"/>
      <c r="C1873" s="134"/>
      <c r="D1873" s="134"/>
      <c r="E1873" s="136"/>
      <c r="F1873" s="134"/>
      <c r="G1873" s="134"/>
      <c r="H1873" s="134"/>
    </row>
    <row r="1874" ht="55.5" customHeight="1">
      <c r="A1874" s="134"/>
      <c r="B1874" s="134"/>
      <c r="C1874" s="134"/>
      <c r="D1874" s="134"/>
      <c r="E1874" s="136"/>
      <c r="F1874" s="134"/>
      <c r="G1874" s="134"/>
      <c r="H1874" s="134"/>
    </row>
    <row r="1875" ht="55.5" customHeight="1">
      <c r="A1875" s="134"/>
      <c r="B1875" s="134"/>
      <c r="C1875" s="134"/>
      <c r="D1875" s="134"/>
      <c r="E1875" s="136"/>
      <c r="F1875" s="134"/>
      <c r="G1875" s="134"/>
      <c r="H1875" s="134"/>
    </row>
  </sheetData>
  <mergeCells count="162">
    <mergeCell ref="D2:D6"/>
    <mergeCell ref="D7:D10"/>
    <mergeCell ref="D11:D17"/>
    <mergeCell ref="D18:D28"/>
    <mergeCell ref="D29:D30"/>
    <mergeCell ref="D31:D33"/>
    <mergeCell ref="D34:D39"/>
    <mergeCell ref="D79:D85"/>
    <mergeCell ref="D86:D96"/>
    <mergeCell ref="D97:D98"/>
    <mergeCell ref="D99:D101"/>
    <mergeCell ref="D102:D107"/>
    <mergeCell ref="D108:D112"/>
    <mergeCell ref="D114:D120"/>
    <mergeCell ref="D122:D124"/>
    <mergeCell ref="D126:D133"/>
    <mergeCell ref="D134:D140"/>
    <mergeCell ref="D141:D143"/>
    <mergeCell ref="D144:D148"/>
    <mergeCell ref="D74:D78"/>
    <mergeCell ref="D150:D153"/>
    <mergeCell ref="D154:D160"/>
    <mergeCell ref="D161:D171"/>
    <mergeCell ref="D172:D173"/>
    <mergeCell ref="D174:D176"/>
    <mergeCell ref="D177:D182"/>
    <mergeCell ref="D184:D188"/>
    <mergeCell ref="D190:D196"/>
    <mergeCell ref="D198:D200"/>
    <mergeCell ref="D202:D209"/>
    <mergeCell ref="D215:D221"/>
    <mergeCell ref="D40:D44"/>
    <mergeCell ref="D45:D52"/>
    <mergeCell ref="D54:D56"/>
    <mergeCell ref="D58:D63"/>
    <mergeCell ref="B64:B148"/>
    <mergeCell ref="D64:D73"/>
    <mergeCell ref="B149:B221"/>
    <mergeCell ref="D251:D256"/>
    <mergeCell ref="D257:D260"/>
    <mergeCell ref="D261:D267"/>
    <mergeCell ref="D271:D274"/>
    <mergeCell ref="D275:D280"/>
    <mergeCell ref="D281:D285"/>
    <mergeCell ref="D286:D288"/>
    <mergeCell ref="D289:D291"/>
    <mergeCell ref="D298:D303"/>
    <mergeCell ref="D304:D307"/>
    <mergeCell ref="D308:D318"/>
    <mergeCell ref="D319:D320"/>
    <mergeCell ref="D321:D322"/>
    <mergeCell ref="D323:D327"/>
    <mergeCell ref="D417:D420"/>
    <mergeCell ref="D421:D424"/>
    <mergeCell ref="D425:D431"/>
    <mergeCell ref="D433:D435"/>
    <mergeCell ref="D436:D439"/>
    <mergeCell ref="D440:D445"/>
    <mergeCell ref="D446:D448"/>
    <mergeCell ref="D449:D451"/>
    <mergeCell ref="D452:D461"/>
    <mergeCell ref="D462:D464"/>
    <mergeCell ref="D465:D474"/>
    <mergeCell ref="D475:D477"/>
    <mergeCell ref="D478:D483"/>
    <mergeCell ref="D484:D489"/>
    <mergeCell ref="D529:D530"/>
    <mergeCell ref="D531:D532"/>
    <mergeCell ref="D533:D534"/>
    <mergeCell ref="D535:D536"/>
    <mergeCell ref="D537:D538"/>
    <mergeCell ref="D539:D541"/>
    <mergeCell ref="D542:D547"/>
    <mergeCell ref="D548:D554"/>
    <mergeCell ref="D555:D556"/>
    <mergeCell ref="D579:D584"/>
    <mergeCell ref="D586:D587"/>
    <mergeCell ref="D588:D596"/>
    <mergeCell ref="D598:D599"/>
    <mergeCell ref="D602:D616"/>
    <mergeCell ref="D633:D645"/>
    <mergeCell ref="D647:D650"/>
    <mergeCell ref="D664:D665"/>
    <mergeCell ref="D697:D705"/>
    <mergeCell ref="D706:D708"/>
    <mergeCell ref="D709:D714"/>
    <mergeCell ref="D717:D720"/>
    <mergeCell ref="D721:D729"/>
    <mergeCell ref="D731:D738"/>
    <mergeCell ref="E735:E736"/>
    <mergeCell ref="D745:D749"/>
    <mergeCell ref="D750:D755"/>
    <mergeCell ref="D764:D775"/>
    <mergeCell ref="D739:D744"/>
    <mergeCell ref="D784:D793"/>
    <mergeCell ref="D800:D802"/>
    <mergeCell ref="D812:D814"/>
    <mergeCell ref="D815:D825"/>
    <mergeCell ref="D826:D829"/>
    <mergeCell ref="D841:D845"/>
    <mergeCell ref="D858:D869"/>
    <mergeCell ref="D870:D875"/>
    <mergeCell ref="B295:B375"/>
    <mergeCell ref="B376:B439"/>
    <mergeCell ref="B449:B495"/>
    <mergeCell ref="B496:B521"/>
    <mergeCell ref="B522:B526"/>
    <mergeCell ref="B527:B538"/>
    <mergeCell ref="B440:B448"/>
    <mergeCell ref="B539:B575"/>
    <mergeCell ref="B576:B587"/>
    <mergeCell ref="B588:B601"/>
    <mergeCell ref="B602:B632"/>
    <mergeCell ref="B633:B650"/>
    <mergeCell ref="B651:B667"/>
    <mergeCell ref="B668:B677"/>
    <mergeCell ref="B678:B692"/>
    <mergeCell ref="B697:B705"/>
    <mergeCell ref="B706:B730"/>
    <mergeCell ref="B731:B738"/>
    <mergeCell ref="B764:B775"/>
    <mergeCell ref="B745:B763"/>
    <mergeCell ref="B739:B744"/>
    <mergeCell ref="B848:B857"/>
    <mergeCell ref="B858:B869"/>
    <mergeCell ref="B870:B875"/>
    <mergeCell ref="B776:B783"/>
    <mergeCell ref="B784:B793"/>
    <mergeCell ref="B794:B803"/>
    <mergeCell ref="B812:B832"/>
    <mergeCell ref="B833:B840"/>
    <mergeCell ref="B841:B847"/>
    <mergeCell ref="B804:B811"/>
    <mergeCell ref="D249:D250"/>
    <mergeCell ref="D295:D297"/>
    <mergeCell ref="D328:D332"/>
    <mergeCell ref="D333:D339"/>
    <mergeCell ref="D342:D345"/>
    <mergeCell ref="D346:D363"/>
    <mergeCell ref="B222:B294"/>
    <mergeCell ref="D223:D225"/>
    <mergeCell ref="D226:D231"/>
    <mergeCell ref="D232:D235"/>
    <mergeCell ref="D236:D246"/>
    <mergeCell ref="D247:D248"/>
    <mergeCell ref="D373:D375"/>
    <mergeCell ref="D364:D369"/>
    <mergeCell ref="D370:D372"/>
    <mergeCell ref="D376:D379"/>
    <mergeCell ref="D380:D391"/>
    <mergeCell ref="D396:D401"/>
    <mergeCell ref="D402:D405"/>
    <mergeCell ref="D406:D416"/>
    <mergeCell ref="D560:D570"/>
    <mergeCell ref="D571:D574"/>
    <mergeCell ref="D492:D495"/>
    <mergeCell ref="D496:D501"/>
    <mergeCell ref="D502:D503"/>
    <mergeCell ref="D504:D509"/>
    <mergeCell ref="D510:D515"/>
    <mergeCell ref="D516:D521"/>
    <mergeCell ref="D527:D528"/>
  </mergeCells>
  <hyperlinks>
    <hyperlink r:id="rId1" ref="J380"/>
    <hyperlink r:id="rId2" location="issuer-provided-nonce" ref="I420"/>
    <hyperlink r:id="rId3" ref="J432"/>
    <hyperlink r:id="rId4" ref="G516"/>
    <hyperlink r:id="rId5" ref="G517"/>
    <hyperlink r:id="rId6" ref="G518"/>
    <hyperlink r:id="rId7" ref="G527"/>
    <hyperlink r:id="rId8" ref="G543"/>
    <hyperlink r:id="rId9" ref="G549"/>
    <hyperlink r:id="rId10" ref="G554"/>
    <hyperlink r:id="rId11" ref="G556"/>
    <hyperlink r:id="rId12" ref="G579"/>
    <hyperlink r:id="rId13" ref="G581"/>
    <hyperlink r:id="rId14" ref="G583"/>
    <hyperlink r:id="rId15" ref="G585"/>
    <hyperlink r:id="rId16" ref="G593"/>
    <hyperlink r:id="rId17" ref="G634"/>
    <hyperlink r:id="rId18" ref="G639"/>
    <hyperlink r:id="rId19" ref="J668"/>
    <hyperlink r:id="rId20" ref="J713"/>
    <hyperlink r:id="rId21" ref="J714"/>
    <hyperlink r:id="rId22" ref="J715"/>
    <hyperlink r:id="rId23" ref="J716"/>
    <hyperlink r:id="rId24" ref="J744"/>
    <hyperlink r:id="rId25" ref="J749"/>
    <hyperlink r:id="rId26" ref="J759"/>
    <hyperlink r:id="rId27" ref="J760"/>
    <hyperlink r:id="rId28" ref="J767"/>
    <hyperlink r:id="rId29" ref="J768"/>
    <hyperlink r:id="rId30" ref="J770"/>
    <hyperlink r:id="rId31" ref="J778"/>
    <hyperlink r:id="rId32" ref="J827"/>
    <hyperlink r:id="rId33" ref="J829"/>
    <hyperlink r:id="rId34" ref="J830"/>
    <hyperlink r:id="rId35" ref="J853"/>
    <hyperlink r:id="rId36" ref="J855"/>
    <hyperlink r:id="rId37" ref="J861"/>
    <hyperlink r:id="rId38" ref="J868"/>
    <hyperlink r:id="rId39" location="verification-methods" ref="G876"/>
    <hyperlink r:id="rId40" ref="J876"/>
  </hyperlinks>
  <printOptions/>
  <pageMargins bottom="0.75" footer="0.0" header="0.0" left="0.7" right="0.7" top="0.75"/>
  <pageSetup orientation="landscape"/>
  <drawing r:id="rId4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20.86"/>
    <col customWidth="1" min="2" max="2" width="77.0"/>
    <col customWidth="1" min="3" max="3" width="12.14"/>
    <col customWidth="1" min="4" max="4" width="12.57"/>
    <col customWidth="1" min="5" max="5" width="13.57"/>
    <col customWidth="1" min="6" max="6" width="26.71"/>
  </cols>
  <sheetData>
    <row r="1">
      <c r="A1" s="137" t="s">
        <v>1604</v>
      </c>
      <c r="B1" s="137" t="s">
        <v>1605</v>
      </c>
      <c r="C1" s="137" t="s">
        <v>1606</v>
      </c>
      <c r="D1" s="137" t="s">
        <v>1607</v>
      </c>
      <c r="E1" s="137" t="s">
        <v>1608</v>
      </c>
      <c r="F1" s="137" t="s">
        <v>1609</v>
      </c>
      <c r="G1" s="138"/>
      <c r="H1" s="138"/>
      <c r="I1" s="138"/>
      <c r="J1" s="138"/>
      <c r="K1" s="138"/>
      <c r="L1" s="138"/>
      <c r="M1" s="138"/>
      <c r="N1" s="138"/>
      <c r="O1" s="138"/>
      <c r="P1" s="138"/>
      <c r="Q1" s="138"/>
      <c r="R1" s="138"/>
      <c r="S1" s="138"/>
      <c r="T1" s="138"/>
      <c r="U1" s="138"/>
      <c r="V1" s="138"/>
      <c r="W1" s="138"/>
      <c r="X1" s="138"/>
      <c r="Y1" s="138"/>
    </row>
    <row r="2">
      <c r="A2" s="139" t="s">
        <v>1610</v>
      </c>
      <c r="B2" s="140" t="s">
        <v>1611</v>
      </c>
      <c r="C2" s="141" t="s">
        <v>1612</v>
      </c>
      <c r="D2" s="142" t="s">
        <v>1613</v>
      </c>
      <c r="E2" s="139" t="s">
        <v>1614</v>
      </c>
      <c r="F2" s="143"/>
      <c r="G2" s="144"/>
      <c r="H2" s="144"/>
      <c r="I2" s="144"/>
      <c r="J2" s="144"/>
      <c r="K2" s="144"/>
      <c r="L2" s="144"/>
      <c r="M2" s="144"/>
      <c r="N2" s="144"/>
      <c r="O2" s="144"/>
      <c r="P2" s="144"/>
      <c r="Q2" s="144"/>
      <c r="R2" s="144"/>
      <c r="S2" s="144"/>
      <c r="T2" s="144"/>
      <c r="U2" s="144"/>
      <c r="V2" s="144"/>
      <c r="W2" s="144"/>
      <c r="X2" s="144"/>
      <c r="Y2" s="38"/>
    </row>
    <row r="3">
      <c r="A3" s="139" t="s">
        <v>1615</v>
      </c>
      <c r="B3" s="145" t="s">
        <v>1616</v>
      </c>
      <c r="C3" s="141" t="s">
        <v>1612</v>
      </c>
      <c r="D3" s="142" t="s">
        <v>1613</v>
      </c>
      <c r="E3" s="139" t="s">
        <v>1617</v>
      </c>
      <c r="F3" s="143"/>
      <c r="G3" s="144"/>
      <c r="H3" s="144"/>
      <c r="I3" s="144"/>
      <c r="J3" s="144"/>
      <c r="K3" s="144"/>
      <c r="L3" s="144"/>
      <c r="M3" s="144"/>
      <c r="N3" s="144"/>
      <c r="O3" s="144"/>
      <c r="P3" s="144"/>
      <c r="Q3" s="144"/>
      <c r="R3" s="144"/>
      <c r="S3" s="144"/>
      <c r="T3" s="144"/>
      <c r="U3" s="144"/>
      <c r="V3" s="144"/>
      <c r="W3" s="144"/>
      <c r="X3" s="144"/>
      <c r="Y3" s="38"/>
    </row>
    <row r="4">
      <c r="A4" s="139" t="s">
        <v>1618</v>
      </c>
      <c r="B4" s="145" t="s">
        <v>1619</v>
      </c>
      <c r="C4" s="141" t="s">
        <v>1612</v>
      </c>
      <c r="D4" s="142" t="s">
        <v>1613</v>
      </c>
      <c r="E4" s="139" t="s">
        <v>1617</v>
      </c>
      <c r="F4" s="143"/>
      <c r="G4" s="144"/>
      <c r="H4" s="144"/>
      <c r="I4" s="144"/>
      <c r="J4" s="144"/>
      <c r="K4" s="144"/>
      <c r="L4" s="144"/>
      <c r="M4" s="144"/>
      <c r="N4" s="144"/>
      <c r="O4" s="144"/>
      <c r="P4" s="144"/>
      <c r="Q4" s="144"/>
      <c r="R4" s="144"/>
      <c r="S4" s="144"/>
      <c r="T4" s="144"/>
      <c r="U4" s="144"/>
      <c r="V4" s="144"/>
      <c r="W4" s="144"/>
      <c r="X4" s="144"/>
      <c r="Y4" s="38"/>
    </row>
    <row r="5">
      <c r="A5" s="139" t="s">
        <v>1620</v>
      </c>
      <c r="B5" s="145" t="s">
        <v>1621</v>
      </c>
      <c r="C5" s="141" t="s">
        <v>1612</v>
      </c>
      <c r="D5" s="142" t="s">
        <v>1613</v>
      </c>
      <c r="E5" s="139" t="s">
        <v>1617</v>
      </c>
      <c r="F5" s="143"/>
      <c r="G5" s="144"/>
      <c r="H5" s="144"/>
      <c r="I5" s="144"/>
      <c r="J5" s="144"/>
      <c r="K5" s="144"/>
      <c r="L5" s="144"/>
      <c r="M5" s="144"/>
      <c r="N5" s="144"/>
      <c r="O5" s="144"/>
      <c r="P5" s="144"/>
      <c r="Q5" s="144"/>
      <c r="R5" s="144"/>
      <c r="S5" s="144"/>
      <c r="T5" s="144"/>
      <c r="U5" s="144"/>
      <c r="V5" s="144"/>
      <c r="W5" s="144"/>
      <c r="X5" s="144"/>
      <c r="Y5" s="38"/>
    </row>
    <row r="6">
      <c r="A6" s="139" t="s">
        <v>1622</v>
      </c>
      <c r="B6" s="145" t="s">
        <v>1623</v>
      </c>
      <c r="C6" s="141" t="s">
        <v>1612</v>
      </c>
      <c r="D6" s="142" t="s">
        <v>1613</v>
      </c>
      <c r="E6" s="139" t="s">
        <v>1617</v>
      </c>
      <c r="F6" s="143"/>
      <c r="G6" s="144"/>
      <c r="H6" s="144"/>
      <c r="I6" s="144"/>
      <c r="J6" s="144"/>
      <c r="K6" s="144"/>
      <c r="L6" s="144"/>
      <c r="M6" s="144"/>
      <c r="N6" s="144"/>
      <c r="O6" s="144"/>
      <c r="P6" s="144"/>
      <c r="Q6" s="144"/>
      <c r="R6" s="144"/>
      <c r="S6" s="144"/>
      <c r="T6" s="144"/>
      <c r="U6" s="144"/>
      <c r="V6" s="144"/>
      <c r="W6" s="144"/>
      <c r="X6" s="144"/>
      <c r="Y6" s="38"/>
    </row>
    <row r="7">
      <c r="A7" s="139" t="s">
        <v>1624</v>
      </c>
      <c r="B7" s="145" t="s">
        <v>1625</v>
      </c>
      <c r="C7" s="141" t="s">
        <v>1612</v>
      </c>
      <c r="D7" s="142" t="s">
        <v>1613</v>
      </c>
      <c r="E7" s="139" t="s">
        <v>1614</v>
      </c>
      <c r="F7" s="143"/>
      <c r="G7" s="144"/>
      <c r="H7" s="144"/>
      <c r="I7" s="144"/>
      <c r="J7" s="144"/>
      <c r="K7" s="144"/>
      <c r="L7" s="144"/>
      <c r="M7" s="144"/>
      <c r="N7" s="144"/>
      <c r="O7" s="144"/>
      <c r="P7" s="144"/>
      <c r="Q7" s="144"/>
      <c r="R7" s="144"/>
      <c r="S7" s="144"/>
      <c r="T7" s="144"/>
      <c r="U7" s="144"/>
      <c r="V7" s="144"/>
      <c r="W7" s="144"/>
      <c r="X7" s="144"/>
      <c r="Y7" s="38"/>
    </row>
    <row r="8">
      <c r="A8" s="139" t="s">
        <v>1626</v>
      </c>
      <c r="B8" s="145" t="s">
        <v>1627</v>
      </c>
      <c r="C8" s="141" t="s">
        <v>1612</v>
      </c>
      <c r="D8" s="142" t="s">
        <v>1613</v>
      </c>
      <c r="E8" s="139" t="s">
        <v>1617</v>
      </c>
      <c r="F8" s="143"/>
      <c r="G8" s="144"/>
      <c r="H8" s="144"/>
      <c r="I8" s="144"/>
      <c r="J8" s="144"/>
      <c r="K8" s="144"/>
      <c r="L8" s="144"/>
      <c r="M8" s="144"/>
      <c r="N8" s="144"/>
      <c r="O8" s="144"/>
      <c r="P8" s="144"/>
      <c r="Q8" s="144"/>
      <c r="R8" s="144"/>
      <c r="S8" s="144"/>
      <c r="T8" s="144"/>
      <c r="U8" s="144"/>
      <c r="V8" s="144"/>
      <c r="W8" s="144"/>
      <c r="X8" s="144"/>
      <c r="Y8" s="38"/>
    </row>
    <row r="9">
      <c r="A9" s="139" t="s">
        <v>1628</v>
      </c>
      <c r="B9" s="145" t="s">
        <v>1629</v>
      </c>
      <c r="C9" s="141" t="s">
        <v>1612</v>
      </c>
      <c r="D9" s="142" t="s">
        <v>1630</v>
      </c>
      <c r="E9" s="139" t="s">
        <v>1617</v>
      </c>
      <c r="F9" s="143"/>
      <c r="G9" s="144"/>
      <c r="H9" s="144"/>
      <c r="I9" s="144"/>
      <c r="J9" s="144"/>
      <c r="K9" s="144"/>
      <c r="L9" s="144"/>
      <c r="M9" s="144"/>
      <c r="N9" s="144"/>
      <c r="O9" s="144"/>
      <c r="P9" s="144"/>
      <c r="Q9" s="144"/>
      <c r="R9" s="144"/>
      <c r="S9" s="144"/>
      <c r="T9" s="144"/>
      <c r="U9" s="144"/>
      <c r="V9" s="144"/>
      <c r="W9" s="144"/>
      <c r="X9" s="144"/>
      <c r="Y9" s="38"/>
    </row>
    <row r="10">
      <c r="A10" s="139" t="s">
        <v>1631</v>
      </c>
      <c r="B10" s="145" t="s">
        <v>1632</v>
      </c>
      <c r="C10" s="141" t="s">
        <v>1612</v>
      </c>
      <c r="D10" s="142" t="s">
        <v>1613</v>
      </c>
      <c r="E10" s="139" t="s">
        <v>1617</v>
      </c>
      <c r="F10" s="143"/>
      <c r="G10" s="144"/>
      <c r="H10" s="144"/>
      <c r="I10" s="144"/>
      <c r="J10" s="144"/>
      <c r="K10" s="144"/>
      <c r="L10" s="144"/>
      <c r="M10" s="144"/>
      <c r="N10" s="144"/>
      <c r="O10" s="144"/>
      <c r="P10" s="144"/>
      <c r="Q10" s="144"/>
      <c r="R10" s="144"/>
      <c r="S10" s="144"/>
      <c r="T10" s="144"/>
      <c r="U10" s="144"/>
      <c r="V10" s="144"/>
      <c r="W10" s="144"/>
      <c r="X10" s="144"/>
      <c r="Y10" s="38"/>
    </row>
    <row r="11">
      <c r="A11" s="139" t="s">
        <v>1633</v>
      </c>
      <c r="B11" s="145" t="s">
        <v>1634</v>
      </c>
      <c r="C11" s="141" t="s">
        <v>1612</v>
      </c>
      <c r="D11" s="142" t="s">
        <v>1635</v>
      </c>
      <c r="E11" s="139" t="s">
        <v>1617</v>
      </c>
      <c r="F11" s="143"/>
      <c r="G11" s="144"/>
      <c r="H11" s="144"/>
      <c r="I11" s="144"/>
      <c r="J11" s="144"/>
      <c r="K11" s="144"/>
      <c r="L11" s="144"/>
      <c r="M11" s="144"/>
      <c r="N11" s="144"/>
      <c r="O11" s="144"/>
      <c r="P11" s="144"/>
      <c r="Q11" s="144"/>
      <c r="R11" s="144"/>
      <c r="S11" s="144"/>
      <c r="T11" s="144"/>
      <c r="U11" s="144"/>
      <c r="V11" s="144"/>
      <c r="W11" s="144"/>
      <c r="X11" s="144"/>
      <c r="Y11" s="38"/>
    </row>
    <row r="12">
      <c r="A12" s="139" t="s">
        <v>1636</v>
      </c>
      <c r="B12" s="145" t="s">
        <v>1637</v>
      </c>
      <c r="C12" s="141" t="s">
        <v>1612</v>
      </c>
      <c r="D12" s="142" t="s">
        <v>1635</v>
      </c>
      <c r="E12" s="139" t="s">
        <v>1617</v>
      </c>
      <c r="F12" s="143"/>
      <c r="G12" s="144"/>
      <c r="H12" s="144"/>
      <c r="I12" s="144"/>
      <c r="J12" s="144"/>
      <c r="K12" s="144"/>
      <c r="L12" s="144"/>
      <c r="M12" s="144"/>
      <c r="N12" s="144"/>
      <c r="O12" s="144"/>
      <c r="P12" s="144"/>
      <c r="Q12" s="144"/>
      <c r="R12" s="144"/>
      <c r="S12" s="144"/>
      <c r="T12" s="144"/>
      <c r="U12" s="144"/>
      <c r="V12" s="144"/>
      <c r="W12" s="144"/>
      <c r="X12" s="144"/>
      <c r="Y12" s="38"/>
    </row>
    <row r="13">
      <c r="A13" s="139" t="s">
        <v>1638</v>
      </c>
      <c r="B13" s="145" t="s">
        <v>1639</v>
      </c>
      <c r="C13" s="141" t="s">
        <v>1612</v>
      </c>
      <c r="D13" s="142" t="s">
        <v>1640</v>
      </c>
      <c r="E13" s="139" t="s">
        <v>1617</v>
      </c>
      <c r="F13" s="143"/>
      <c r="G13" s="144"/>
      <c r="H13" s="144"/>
      <c r="I13" s="144"/>
      <c r="J13" s="144"/>
      <c r="K13" s="144"/>
      <c r="L13" s="144"/>
      <c r="M13" s="144"/>
      <c r="N13" s="144"/>
      <c r="O13" s="144"/>
      <c r="P13" s="144"/>
      <c r="Q13" s="144"/>
      <c r="R13" s="144"/>
      <c r="S13" s="144"/>
      <c r="T13" s="144"/>
      <c r="U13" s="144"/>
      <c r="V13" s="144"/>
      <c r="W13" s="144"/>
      <c r="X13" s="144"/>
      <c r="Y13" s="38"/>
    </row>
    <row r="14">
      <c r="A14" s="139" t="s">
        <v>1641</v>
      </c>
      <c r="B14" s="145" t="s">
        <v>1642</v>
      </c>
      <c r="C14" s="141" t="s">
        <v>1612</v>
      </c>
      <c r="D14" s="142" t="s">
        <v>1640</v>
      </c>
      <c r="E14" s="139" t="s">
        <v>1614</v>
      </c>
      <c r="F14" s="143"/>
      <c r="G14" s="144"/>
      <c r="H14" s="144"/>
      <c r="I14" s="144"/>
      <c r="J14" s="144"/>
      <c r="K14" s="144"/>
      <c r="L14" s="144"/>
      <c r="M14" s="144"/>
      <c r="N14" s="144"/>
      <c r="O14" s="144"/>
      <c r="P14" s="144"/>
      <c r="Q14" s="144"/>
      <c r="R14" s="144"/>
      <c r="S14" s="144"/>
      <c r="T14" s="144"/>
      <c r="U14" s="144"/>
      <c r="V14" s="144"/>
      <c r="W14" s="144"/>
      <c r="X14" s="144"/>
      <c r="Y14" s="38"/>
    </row>
    <row r="15">
      <c r="A15" s="139" t="s">
        <v>1643</v>
      </c>
      <c r="B15" s="145" t="s">
        <v>1644</v>
      </c>
      <c r="C15" s="141" t="s">
        <v>1612</v>
      </c>
      <c r="D15" s="142" t="s">
        <v>1640</v>
      </c>
      <c r="E15" s="139" t="s">
        <v>1614</v>
      </c>
      <c r="F15" s="143"/>
      <c r="G15" s="144"/>
      <c r="H15" s="144"/>
      <c r="I15" s="144"/>
      <c r="J15" s="144"/>
      <c r="K15" s="144"/>
      <c r="L15" s="144"/>
      <c r="M15" s="144"/>
      <c r="N15" s="144"/>
      <c r="O15" s="144"/>
      <c r="P15" s="144"/>
      <c r="Q15" s="144"/>
      <c r="R15" s="144"/>
      <c r="S15" s="144"/>
      <c r="T15" s="144"/>
      <c r="U15" s="144"/>
      <c r="V15" s="144"/>
      <c r="W15" s="144"/>
      <c r="X15" s="144"/>
      <c r="Y15" s="38"/>
    </row>
    <row r="16">
      <c r="A16" s="139" t="s">
        <v>1645</v>
      </c>
      <c r="B16" s="145" t="s">
        <v>1646</v>
      </c>
      <c r="C16" s="141" t="s">
        <v>1612</v>
      </c>
      <c r="D16" s="142" t="s">
        <v>1613</v>
      </c>
      <c r="E16" s="139" t="s">
        <v>1617</v>
      </c>
      <c r="F16" s="143"/>
      <c r="G16" s="144"/>
      <c r="H16" s="144"/>
      <c r="I16" s="144"/>
      <c r="J16" s="144"/>
      <c r="K16" s="144"/>
      <c r="L16" s="144"/>
      <c r="M16" s="144"/>
      <c r="N16" s="144"/>
      <c r="O16" s="144"/>
      <c r="P16" s="144"/>
      <c r="Q16" s="144"/>
      <c r="R16" s="144"/>
      <c r="S16" s="144"/>
      <c r="T16" s="144"/>
      <c r="U16" s="144"/>
      <c r="V16" s="144"/>
      <c r="W16" s="144"/>
      <c r="X16" s="144"/>
      <c r="Y16" s="38"/>
    </row>
    <row r="17">
      <c r="A17" s="139" t="s">
        <v>1647</v>
      </c>
      <c r="B17" s="145" t="s">
        <v>1648</v>
      </c>
      <c r="C17" s="141" t="s">
        <v>1612</v>
      </c>
      <c r="D17" s="142" t="s">
        <v>1613</v>
      </c>
      <c r="E17" s="139" t="s">
        <v>1617</v>
      </c>
      <c r="F17" s="143"/>
      <c r="G17" s="144"/>
      <c r="H17" s="144"/>
      <c r="I17" s="144"/>
      <c r="J17" s="144"/>
      <c r="K17" s="144"/>
      <c r="L17" s="144"/>
      <c r="M17" s="144"/>
      <c r="N17" s="144"/>
      <c r="O17" s="144"/>
      <c r="P17" s="144"/>
      <c r="Q17" s="144"/>
      <c r="R17" s="144"/>
      <c r="S17" s="144"/>
      <c r="T17" s="144"/>
      <c r="U17" s="144"/>
      <c r="V17" s="144"/>
      <c r="W17" s="144"/>
      <c r="X17" s="144"/>
      <c r="Y17" s="38"/>
    </row>
    <row r="18">
      <c r="A18" s="139" t="s">
        <v>1593</v>
      </c>
      <c r="B18" s="140" t="s">
        <v>1649</v>
      </c>
      <c r="C18" s="141" t="s">
        <v>1612</v>
      </c>
      <c r="D18" s="142" t="s">
        <v>1635</v>
      </c>
      <c r="E18" s="139" t="s">
        <v>1617</v>
      </c>
      <c r="F18" s="143"/>
      <c r="G18" s="144"/>
      <c r="H18" s="144"/>
      <c r="I18" s="144"/>
      <c r="J18" s="144"/>
      <c r="K18" s="144"/>
      <c r="L18" s="144"/>
      <c r="M18" s="144"/>
      <c r="N18" s="144"/>
      <c r="O18" s="144"/>
      <c r="P18" s="144"/>
      <c r="Q18" s="144"/>
      <c r="R18" s="144"/>
      <c r="S18" s="144"/>
      <c r="T18" s="144"/>
      <c r="U18" s="144"/>
      <c r="V18" s="144"/>
      <c r="W18" s="144"/>
      <c r="X18" s="144"/>
      <c r="Y18" s="38"/>
    </row>
    <row r="19">
      <c r="A19" s="139" t="s">
        <v>1650</v>
      </c>
      <c r="B19" s="145" t="s">
        <v>1651</v>
      </c>
      <c r="C19" s="146" t="s">
        <v>1612</v>
      </c>
      <c r="D19" s="142" t="s">
        <v>1630</v>
      </c>
      <c r="E19" s="139" t="s">
        <v>1617</v>
      </c>
      <c r="F19" s="143"/>
      <c r="G19" s="144"/>
      <c r="H19" s="144"/>
      <c r="I19" s="144"/>
      <c r="J19" s="144"/>
      <c r="K19" s="144"/>
      <c r="L19" s="144"/>
      <c r="M19" s="144"/>
      <c r="N19" s="144"/>
      <c r="O19" s="144"/>
      <c r="P19" s="144"/>
      <c r="Q19" s="144"/>
      <c r="R19" s="144"/>
      <c r="S19" s="144"/>
      <c r="T19" s="144"/>
      <c r="U19" s="144"/>
      <c r="V19" s="144"/>
      <c r="W19" s="144"/>
      <c r="X19" s="144"/>
      <c r="Y19" s="38"/>
    </row>
    <row r="20">
      <c r="A20" s="139" t="s">
        <v>1652</v>
      </c>
      <c r="B20" s="145" t="s">
        <v>1653</v>
      </c>
      <c r="C20" s="146" t="s">
        <v>1612</v>
      </c>
      <c r="D20" s="142" t="s">
        <v>1613</v>
      </c>
      <c r="E20" s="139" t="s">
        <v>1617</v>
      </c>
      <c r="F20" s="143"/>
      <c r="G20" s="144"/>
      <c r="H20" s="144"/>
      <c r="I20" s="144"/>
      <c r="J20" s="144"/>
      <c r="K20" s="144"/>
      <c r="L20" s="144"/>
      <c r="M20" s="144"/>
      <c r="N20" s="144"/>
      <c r="O20" s="144"/>
      <c r="P20" s="144"/>
      <c r="Q20" s="144"/>
      <c r="R20" s="144"/>
      <c r="S20" s="144"/>
      <c r="T20" s="144"/>
      <c r="U20" s="144"/>
      <c r="V20" s="144"/>
      <c r="W20" s="144"/>
      <c r="X20" s="144"/>
      <c r="Y20" s="38"/>
    </row>
    <row r="21">
      <c r="A21" s="139" t="s">
        <v>1654</v>
      </c>
      <c r="B21" s="145" t="s">
        <v>1655</v>
      </c>
      <c r="C21" s="146" t="s">
        <v>1612</v>
      </c>
      <c r="D21" s="142" t="s">
        <v>1635</v>
      </c>
      <c r="E21" s="139" t="s">
        <v>1617</v>
      </c>
      <c r="F21" s="143"/>
      <c r="G21" s="144"/>
      <c r="H21" s="144"/>
      <c r="I21" s="144"/>
      <c r="J21" s="144"/>
      <c r="K21" s="144"/>
      <c r="L21" s="144"/>
      <c r="M21" s="144"/>
      <c r="N21" s="144"/>
      <c r="O21" s="144"/>
      <c r="P21" s="144"/>
      <c r="Q21" s="144"/>
      <c r="R21" s="144"/>
      <c r="S21" s="144"/>
      <c r="T21" s="144"/>
      <c r="U21" s="144"/>
      <c r="V21" s="144"/>
      <c r="W21" s="144"/>
      <c r="X21" s="144"/>
      <c r="Y21" s="38"/>
    </row>
    <row r="22">
      <c r="A22" s="139" t="s">
        <v>1656</v>
      </c>
      <c r="B22" s="145" t="s">
        <v>1657</v>
      </c>
      <c r="C22" s="146" t="s">
        <v>1612</v>
      </c>
      <c r="D22" s="142" t="s">
        <v>1613</v>
      </c>
      <c r="E22" s="139" t="s">
        <v>1617</v>
      </c>
      <c r="F22" s="143"/>
      <c r="G22" s="144"/>
      <c r="H22" s="144"/>
      <c r="I22" s="144"/>
      <c r="J22" s="144"/>
      <c r="K22" s="144"/>
      <c r="L22" s="144"/>
      <c r="M22" s="144"/>
      <c r="N22" s="144"/>
      <c r="O22" s="144"/>
      <c r="P22" s="144"/>
      <c r="Q22" s="144"/>
      <c r="R22" s="144"/>
      <c r="S22" s="144"/>
      <c r="T22" s="144"/>
      <c r="U22" s="144"/>
      <c r="V22" s="144"/>
      <c r="W22" s="144"/>
      <c r="X22" s="144"/>
      <c r="Y22" s="38"/>
    </row>
    <row r="23">
      <c r="A23" s="139" t="s">
        <v>1658</v>
      </c>
      <c r="B23" s="145" t="s">
        <v>1659</v>
      </c>
      <c r="C23" s="141" t="s">
        <v>1612</v>
      </c>
      <c r="D23" s="142" t="s">
        <v>1660</v>
      </c>
      <c r="E23" s="139" t="s">
        <v>1614</v>
      </c>
      <c r="F23" s="143"/>
      <c r="G23" s="144"/>
      <c r="H23" s="144"/>
      <c r="I23" s="144"/>
      <c r="J23" s="144"/>
      <c r="K23" s="144"/>
      <c r="L23" s="144"/>
      <c r="M23" s="144"/>
      <c r="N23" s="144"/>
      <c r="O23" s="144"/>
      <c r="P23" s="144"/>
      <c r="Q23" s="144"/>
      <c r="R23" s="144"/>
      <c r="S23" s="144"/>
      <c r="T23" s="144"/>
      <c r="U23" s="144"/>
      <c r="V23" s="144"/>
      <c r="W23" s="144"/>
      <c r="X23" s="144"/>
      <c r="Y23" s="38"/>
    </row>
    <row r="24">
      <c r="A24" s="139" t="s">
        <v>1661</v>
      </c>
      <c r="B24" s="145" t="s">
        <v>1662</v>
      </c>
      <c r="C24" s="141" t="s">
        <v>1612</v>
      </c>
      <c r="D24" s="142" t="s">
        <v>1613</v>
      </c>
      <c r="E24" s="139" t="s">
        <v>1617</v>
      </c>
      <c r="F24" s="143"/>
      <c r="G24" s="144"/>
      <c r="H24" s="144"/>
      <c r="I24" s="144"/>
      <c r="J24" s="144"/>
      <c r="K24" s="144"/>
      <c r="L24" s="144"/>
      <c r="M24" s="144"/>
      <c r="N24" s="144"/>
      <c r="O24" s="144"/>
      <c r="P24" s="144"/>
      <c r="Q24" s="144"/>
      <c r="R24" s="144"/>
      <c r="S24" s="144"/>
      <c r="T24" s="144"/>
      <c r="U24" s="144"/>
      <c r="V24" s="144"/>
      <c r="W24" s="144"/>
      <c r="X24" s="144"/>
      <c r="Y24" s="38"/>
    </row>
    <row r="25">
      <c r="A25" s="139" t="s">
        <v>1663</v>
      </c>
      <c r="B25" s="145" t="s">
        <v>1664</v>
      </c>
      <c r="C25" s="141" t="s">
        <v>1612</v>
      </c>
      <c r="D25" s="142" t="s">
        <v>1640</v>
      </c>
      <c r="E25" s="139" t="s">
        <v>1614</v>
      </c>
      <c r="F25" s="143"/>
      <c r="G25" s="144"/>
      <c r="H25" s="144"/>
      <c r="I25" s="144"/>
      <c r="J25" s="144"/>
      <c r="K25" s="144"/>
      <c r="L25" s="144"/>
      <c r="M25" s="144"/>
      <c r="N25" s="144"/>
      <c r="O25" s="144"/>
      <c r="P25" s="144"/>
      <c r="Q25" s="144"/>
      <c r="R25" s="144"/>
      <c r="S25" s="144"/>
      <c r="T25" s="144"/>
      <c r="U25" s="144"/>
      <c r="V25" s="144"/>
      <c r="W25" s="144"/>
      <c r="X25" s="144"/>
      <c r="Y25" s="38"/>
    </row>
    <row r="26">
      <c r="A26" s="139" t="s">
        <v>1665</v>
      </c>
      <c r="B26" s="145" t="s">
        <v>1666</v>
      </c>
      <c r="C26" s="141" t="s">
        <v>1612</v>
      </c>
      <c r="D26" s="142" t="s">
        <v>1640</v>
      </c>
      <c r="E26" s="139" t="s">
        <v>1617</v>
      </c>
      <c r="F26" s="143"/>
      <c r="G26" s="144"/>
      <c r="H26" s="144"/>
      <c r="I26" s="144"/>
      <c r="J26" s="144"/>
      <c r="K26" s="144"/>
      <c r="L26" s="144"/>
      <c r="M26" s="144"/>
      <c r="N26" s="144"/>
      <c r="O26" s="144"/>
      <c r="P26" s="144"/>
      <c r="Q26" s="144"/>
      <c r="R26" s="144"/>
      <c r="S26" s="144"/>
      <c r="T26" s="144"/>
      <c r="U26" s="144"/>
      <c r="V26" s="144"/>
      <c r="W26" s="144"/>
      <c r="X26" s="144"/>
      <c r="Y26" s="38"/>
    </row>
    <row r="27">
      <c r="A27" s="139" t="s">
        <v>1667</v>
      </c>
      <c r="B27" s="145" t="s">
        <v>1668</v>
      </c>
      <c r="C27" s="141" t="s">
        <v>1612</v>
      </c>
      <c r="D27" s="142" t="s">
        <v>1613</v>
      </c>
      <c r="E27" s="139" t="s">
        <v>1617</v>
      </c>
      <c r="F27" s="143"/>
      <c r="G27" s="144"/>
      <c r="H27" s="144"/>
      <c r="I27" s="144"/>
      <c r="J27" s="144"/>
      <c r="K27" s="144"/>
      <c r="L27" s="144"/>
      <c r="M27" s="144"/>
      <c r="N27" s="144"/>
      <c r="O27" s="144"/>
      <c r="P27" s="144"/>
      <c r="Q27" s="144"/>
      <c r="R27" s="144"/>
      <c r="S27" s="144"/>
      <c r="T27" s="144"/>
      <c r="U27" s="144"/>
      <c r="V27" s="144"/>
      <c r="W27" s="144"/>
      <c r="X27" s="144"/>
      <c r="Y27" s="38"/>
    </row>
    <row r="28">
      <c r="A28" s="38"/>
      <c r="B28" s="143"/>
      <c r="C28" s="147"/>
      <c r="D28" s="38"/>
      <c r="E28" s="38"/>
      <c r="F28" s="38"/>
      <c r="G28" s="144"/>
      <c r="H28" s="144"/>
      <c r="I28" s="144"/>
      <c r="J28" s="144"/>
      <c r="K28" s="144"/>
      <c r="L28" s="144"/>
      <c r="M28" s="144"/>
      <c r="N28" s="144"/>
      <c r="O28" s="144"/>
      <c r="P28" s="144"/>
      <c r="Q28" s="144"/>
      <c r="R28" s="144"/>
      <c r="S28" s="144"/>
      <c r="T28" s="144"/>
      <c r="U28" s="144"/>
      <c r="V28" s="144"/>
      <c r="W28" s="144"/>
      <c r="X28" s="144"/>
      <c r="Y28" s="38"/>
    </row>
    <row r="29">
      <c r="A29" s="38"/>
      <c r="B29" s="143"/>
      <c r="C29" s="147"/>
      <c r="D29" s="38"/>
      <c r="E29" s="38"/>
      <c r="F29" s="38"/>
      <c r="G29" s="144"/>
      <c r="H29" s="144"/>
      <c r="I29" s="144"/>
      <c r="J29" s="144"/>
      <c r="K29" s="144"/>
      <c r="L29" s="144"/>
      <c r="M29" s="144"/>
      <c r="N29" s="144"/>
      <c r="O29" s="144"/>
      <c r="P29" s="144"/>
      <c r="Q29" s="144"/>
      <c r="R29" s="144"/>
      <c r="S29" s="144"/>
      <c r="T29" s="144"/>
      <c r="U29" s="144"/>
      <c r="V29" s="144"/>
      <c r="W29" s="144"/>
      <c r="X29" s="144"/>
      <c r="Y29" s="38"/>
    </row>
    <row r="30">
      <c r="A30" s="38"/>
      <c r="B30" s="143"/>
      <c r="C30" s="147"/>
      <c r="D30" s="38"/>
      <c r="E30" s="38"/>
      <c r="F30" s="38"/>
      <c r="G30" s="144"/>
      <c r="H30" s="144"/>
      <c r="I30" s="144"/>
      <c r="J30" s="144"/>
      <c r="K30" s="144"/>
      <c r="L30" s="144"/>
      <c r="M30" s="144"/>
      <c r="N30" s="144"/>
      <c r="O30" s="144"/>
      <c r="P30" s="144"/>
      <c r="Q30" s="144"/>
      <c r="R30" s="144"/>
      <c r="S30" s="144"/>
      <c r="T30" s="144"/>
      <c r="U30" s="144"/>
      <c r="V30" s="144"/>
      <c r="W30" s="144"/>
      <c r="X30" s="144"/>
      <c r="Y30" s="38"/>
    </row>
    <row r="31">
      <c r="A31" s="38"/>
      <c r="B31" s="143"/>
      <c r="C31" s="147"/>
      <c r="D31" s="38"/>
      <c r="E31" s="38"/>
      <c r="F31" s="38"/>
      <c r="G31" s="144"/>
      <c r="H31" s="144"/>
      <c r="I31" s="144"/>
      <c r="J31" s="144"/>
      <c r="K31" s="144"/>
      <c r="L31" s="144"/>
      <c r="M31" s="144"/>
      <c r="N31" s="144"/>
      <c r="O31" s="144"/>
      <c r="P31" s="144"/>
      <c r="Q31" s="144"/>
      <c r="R31" s="144"/>
      <c r="S31" s="144"/>
      <c r="T31" s="144"/>
      <c r="U31" s="144"/>
      <c r="V31" s="144"/>
      <c r="W31" s="144"/>
      <c r="X31" s="144"/>
      <c r="Y31" s="38"/>
    </row>
    <row r="32">
      <c r="A32" s="38"/>
      <c r="B32" s="143"/>
      <c r="C32" s="147"/>
      <c r="D32" s="38"/>
      <c r="E32" s="38"/>
      <c r="F32" s="38"/>
      <c r="G32" s="144"/>
      <c r="H32" s="144"/>
      <c r="I32" s="144"/>
      <c r="J32" s="144"/>
      <c r="K32" s="144"/>
      <c r="L32" s="144"/>
      <c r="M32" s="144"/>
      <c r="N32" s="144"/>
      <c r="O32" s="144"/>
      <c r="P32" s="144"/>
      <c r="Q32" s="144"/>
      <c r="R32" s="144"/>
      <c r="S32" s="144"/>
      <c r="T32" s="144"/>
      <c r="U32" s="144"/>
      <c r="V32" s="144"/>
      <c r="W32" s="144"/>
      <c r="X32" s="144"/>
      <c r="Y32" s="38"/>
    </row>
    <row r="33">
      <c r="A33" s="38"/>
      <c r="B33" s="143"/>
      <c r="C33" s="147"/>
      <c r="D33" s="38"/>
      <c r="E33" s="38"/>
      <c r="F33" s="38"/>
      <c r="G33" s="144"/>
      <c r="H33" s="144"/>
      <c r="I33" s="144"/>
      <c r="J33" s="144"/>
      <c r="K33" s="144"/>
      <c r="L33" s="144"/>
      <c r="M33" s="144"/>
      <c r="N33" s="144"/>
      <c r="O33" s="144"/>
      <c r="P33" s="144"/>
      <c r="Q33" s="144"/>
      <c r="R33" s="144"/>
      <c r="S33" s="144"/>
      <c r="T33" s="144"/>
      <c r="U33" s="144"/>
      <c r="V33" s="144"/>
      <c r="W33" s="144"/>
      <c r="X33" s="144"/>
      <c r="Y33" s="38"/>
    </row>
    <row r="34">
      <c r="A34" s="38"/>
      <c r="B34" s="143"/>
      <c r="C34" s="147"/>
      <c r="D34" s="38"/>
      <c r="E34" s="38"/>
      <c r="F34" s="38"/>
      <c r="G34" s="144"/>
      <c r="H34" s="144"/>
      <c r="I34" s="144"/>
      <c r="J34" s="144"/>
      <c r="K34" s="144"/>
      <c r="L34" s="144"/>
      <c r="M34" s="144"/>
      <c r="N34" s="144"/>
      <c r="O34" s="144"/>
      <c r="P34" s="144"/>
      <c r="Q34" s="144"/>
      <c r="R34" s="144"/>
      <c r="S34" s="144"/>
      <c r="T34" s="144"/>
      <c r="U34" s="144"/>
      <c r="V34" s="144"/>
      <c r="W34" s="144"/>
      <c r="X34" s="144"/>
      <c r="Y34" s="38"/>
    </row>
    <row r="35">
      <c r="A35" s="38"/>
      <c r="B35" s="143"/>
      <c r="C35" s="147"/>
      <c r="D35" s="38"/>
      <c r="E35" s="38"/>
      <c r="F35" s="38"/>
      <c r="G35" s="144"/>
      <c r="H35" s="144"/>
      <c r="I35" s="144"/>
      <c r="J35" s="144"/>
      <c r="K35" s="144"/>
      <c r="L35" s="144"/>
      <c r="M35" s="144"/>
      <c r="N35" s="144"/>
      <c r="O35" s="144"/>
      <c r="P35" s="144"/>
      <c r="Q35" s="144"/>
      <c r="R35" s="144"/>
      <c r="S35" s="144"/>
      <c r="T35" s="144"/>
      <c r="U35" s="144"/>
      <c r="V35" s="144"/>
      <c r="W35" s="144"/>
      <c r="X35" s="144"/>
      <c r="Y35" s="38"/>
    </row>
    <row r="36">
      <c r="A36" s="38"/>
      <c r="B36" s="143"/>
      <c r="C36" s="147"/>
      <c r="D36" s="38"/>
      <c r="E36" s="38"/>
      <c r="F36" s="38"/>
      <c r="G36" s="144"/>
      <c r="H36" s="144"/>
      <c r="I36" s="144"/>
      <c r="J36" s="144"/>
      <c r="K36" s="144"/>
      <c r="L36" s="144"/>
      <c r="M36" s="144"/>
      <c r="N36" s="144"/>
      <c r="O36" s="144"/>
      <c r="P36" s="144"/>
      <c r="Q36" s="144"/>
      <c r="R36" s="144"/>
      <c r="S36" s="144"/>
      <c r="T36" s="144"/>
      <c r="U36" s="144"/>
      <c r="V36" s="144"/>
      <c r="W36" s="144"/>
      <c r="X36" s="144"/>
      <c r="Y36" s="38"/>
    </row>
    <row r="37">
      <c r="A37" s="38"/>
      <c r="B37" s="143"/>
      <c r="C37" s="147"/>
      <c r="D37" s="38"/>
      <c r="E37" s="38"/>
      <c r="F37" s="38"/>
      <c r="G37" s="144"/>
      <c r="H37" s="144"/>
      <c r="I37" s="144"/>
      <c r="J37" s="144"/>
      <c r="K37" s="144"/>
      <c r="L37" s="144"/>
      <c r="M37" s="144"/>
      <c r="N37" s="144"/>
      <c r="O37" s="144"/>
      <c r="P37" s="144"/>
      <c r="Q37" s="144"/>
      <c r="R37" s="144"/>
      <c r="S37" s="144"/>
      <c r="T37" s="144"/>
      <c r="U37" s="144"/>
      <c r="V37" s="144"/>
      <c r="W37" s="144"/>
      <c r="X37" s="144"/>
      <c r="Y37" s="38"/>
    </row>
    <row r="38">
      <c r="A38" s="38"/>
      <c r="B38" s="143"/>
      <c r="C38" s="147"/>
      <c r="D38" s="38"/>
      <c r="E38" s="38"/>
      <c r="F38" s="38"/>
      <c r="G38" s="144"/>
      <c r="H38" s="144"/>
      <c r="I38" s="144"/>
      <c r="J38" s="144"/>
      <c r="K38" s="144"/>
      <c r="L38" s="144"/>
      <c r="M38" s="144"/>
      <c r="N38" s="144"/>
      <c r="O38" s="144"/>
      <c r="P38" s="144"/>
      <c r="Q38" s="144"/>
      <c r="R38" s="144"/>
      <c r="S38" s="144"/>
      <c r="T38" s="144"/>
      <c r="U38" s="144"/>
      <c r="V38" s="144"/>
      <c r="W38" s="144"/>
      <c r="X38" s="144"/>
      <c r="Y38" s="38"/>
    </row>
    <row r="39">
      <c r="A39" s="38"/>
      <c r="B39" s="143"/>
      <c r="C39" s="147"/>
      <c r="D39" s="38"/>
      <c r="E39" s="38"/>
      <c r="F39" s="38"/>
      <c r="G39" s="144"/>
      <c r="H39" s="144"/>
      <c r="I39" s="144"/>
      <c r="J39" s="144"/>
      <c r="K39" s="144"/>
      <c r="L39" s="144"/>
      <c r="M39" s="144"/>
      <c r="N39" s="144"/>
      <c r="O39" s="144"/>
      <c r="P39" s="144"/>
      <c r="Q39" s="144"/>
      <c r="R39" s="144"/>
      <c r="S39" s="144"/>
      <c r="T39" s="144"/>
      <c r="U39" s="144"/>
      <c r="V39" s="144"/>
      <c r="W39" s="144"/>
      <c r="X39" s="144"/>
      <c r="Y39" s="38"/>
    </row>
    <row r="40">
      <c r="A40" s="38"/>
      <c r="B40" s="143"/>
      <c r="C40" s="147"/>
      <c r="D40" s="38"/>
      <c r="E40" s="38"/>
      <c r="F40" s="38"/>
      <c r="G40" s="144"/>
      <c r="H40" s="144"/>
      <c r="I40" s="144"/>
      <c r="J40" s="144"/>
      <c r="K40" s="144"/>
      <c r="L40" s="144"/>
      <c r="M40" s="144"/>
      <c r="N40" s="144"/>
      <c r="O40" s="144"/>
      <c r="P40" s="144"/>
      <c r="Q40" s="144"/>
      <c r="R40" s="144"/>
      <c r="S40" s="144"/>
      <c r="T40" s="144"/>
      <c r="U40" s="144"/>
      <c r="V40" s="144"/>
      <c r="W40" s="144"/>
      <c r="X40" s="144"/>
      <c r="Y40" s="38"/>
    </row>
    <row r="41">
      <c r="A41" s="38"/>
      <c r="B41" s="143"/>
      <c r="C41" s="147"/>
      <c r="D41" s="38"/>
      <c r="E41" s="38"/>
      <c r="F41" s="38"/>
      <c r="G41" s="144"/>
      <c r="H41" s="144"/>
      <c r="I41" s="144"/>
      <c r="J41" s="144"/>
      <c r="K41" s="144"/>
      <c r="L41" s="144"/>
      <c r="M41" s="144"/>
      <c r="N41" s="144"/>
      <c r="O41" s="144"/>
      <c r="P41" s="144"/>
      <c r="Q41" s="144"/>
      <c r="R41" s="144"/>
      <c r="S41" s="144"/>
      <c r="T41" s="144"/>
      <c r="U41" s="144"/>
      <c r="V41" s="144"/>
      <c r="W41" s="144"/>
      <c r="X41" s="144"/>
      <c r="Y41" s="38"/>
    </row>
    <row r="42">
      <c r="A42" s="38"/>
      <c r="B42" s="143"/>
      <c r="C42" s="147"/>
      <c r="D42" s="38"/>
      <c r="E42" s="38"/>
      <c r="F42" s="38"/>
      <c r="G42" s="144"/>
      <c r="H42" s="144"/>
      <c r="I42" s="144"/>
      <c r="J42" s="144"/>
      <c r="K42" s="144"/>
      <c r="L42" s="144"/>
      <c r="M42" s="144"/>
      <c r="N42" s="144"/>
      <c r="O42" s="144"/>
      <c r="P42" s="144"/>
      <c r="Q42" s="144"/>
      <c r="R42" s="144"/>
      <c r="S42" s="144"/>
      <c r="T42" s="144"/>
      <c r="U42" s="144"/>
      <c r="V42" s="144"/>
      <c r="W42" s="144"/>
      <c r="X42" s="144"/>
      <c r="Y42" s="38"/>
    </row>
    <row r="43">
      <c r="A43" s="38"/>
      <c r="B43" s="143"/>
      <c r="C43" s="147"/>
      <c r="D43" s="38"/>
      <c r="E43" s="38"/>
      <c r="F43" s="38"/>
      <c r="G43" s="144"/>
      <c r="H43" s="144"/>
      <c r="I43" s="144"/>
      <c r="J43" s="144"/>
      <c r="K43" s="144"/>
      <c r="L43" s="144"/>
      <c r="M43" s="144"/>
      <c r="N43" s="144"/>
      <c r="O43" s="144"/>
      <c r="P43" s="144"/>
      <c r="Q43" s="144"/>
      <c r="R43" s="144"/>
      <c r="S43" s="144"/>
      <c r="T43" s="144"/>
      <c r="U43" s="144"/>
      <c r="V43" s="144"/>
      <c r="W43" s="144"/>
      <c r="X43" s="144"/>
      <c r="Y43" s="38"/>
    </row>
    <row r="44">
      <c r="A44" s="38"/>
      <c r="B44" s="143"/>
      <c r="C44" s="147"/>
      <c r="D44" s="38"/>
      <c r="E44" s="38"/>
      <c r="F44" s="38"/>
      <c r="G44" s="144"/>
      <c r="H44" s="144"/>
      <c r="I44" s="144"/>
      <c r="J44" s="144"/>
      <c r="K44" s="144"/>
      <c r="L44" s="144"/>
      <c r="M44" s="144"/>
      <c r="N44" s="144"/>
      <c r="O44" s="144"/>
      <c r="P44" s="144"/>
      <c r="Q44" s="144"/>
      <c r="R44" s="144"/>
      <c r="S44" s="144"/>
      <c r="T44" s="144"/>
      <c r="U44" s="144"/>
      <c r="V44" s="144"/>
      <c r="W44" s="144"/>
      <c r="X44" s="144"/>
      <c r="Y44" s="38"/>
    </row>
    <row r="45">
      <c r="A45" s="38"/>
      <c r="B45" s="143"/>
      <c r="C45" s="147"/>
      <c r="D45" s="38"/>
      <c r="E45" s="38"/>
      <c r="F45" s="38"/>
      <c r="G45" s="144"/>
      <c r="H45" s="144"/>
      <c r="I45" s="144"/>
      <c r="J45" s="144"/>
      <c r="K45" s="144"/>
      <c r="L45" s="144"/>
      <c r="M45" s="144"/>
      <c r="N45" s="144"/>
      <c r="O45" s="144"/>
      <c r="P45" s="144"/>
      <c r="Q45" s="144"/>
      <c r="R45" s="144"/>
      <c r="S45" s="144"/>
      <c r="T45" s="144"/>
      <c r="U45" s="144"/>
      <c r="V45" s="144"/>
      <c r="W45" s="144"/>
      <c r="X45" s="144"/>
      <c r="Y45" s="38"/>
    </row>
    <row r="46">
      <c r="A46" s="38"/>
      <c r="B46" s="143"/>
      <c r="C46" s="147"/>
      <c r="D46" s="38"/>
      <c r="E46" s="38"/>
      <c r="F46" s="38"/>
      <c r="G46" s="144"/>
      <c r="H46" s="144"/>
      <c r="I46" s="144"/>
      <c r="J46" s="144"/>
      <c r="K46" s="144"/>
      <c r="L46" s="144"/>
      <c r="M46" s="144"/>
      <c r="N46" s="144"/>
      <c r="O46" s="144"/>
      <c r="P46" s="144"/>
      <c r="Q46" s="144"/>
      <c r="R46" s="144"/>
      <c r="S46" s="144"/>
      <c r="T46" s="144"/>
      <c r="U46" s="144"/>
      <c r="V46" s="144"/>
      <c r="W46" s="144"/>
      <c r="X46" s="144"/>
      <c r="Y46" s="38"/>
    </row>
    <row r="47">
      <c r="A47" s="38"/>
      <c r="B47" s="143"/>
      <c r="C47" s="147"/>
      <c r="D47" s="38"/>
      <c r="E47" s="38"/>
      <c r="F47" s="38"/>
      <c r="G47" s="144"/>
      <c r="H47" s="144"/>
      <c r="I47" s="144"/>
      <c r="J47" s="144"/>
      <c r="K47" s="144"/>
      <c r="L47" s="144"/>
      <c r="M47" s="144"/>
      <c r="N47" s="144"/>
      <c r="O47" s="144"/>
      <c r="P47" s="144"/>
      <c r="Q47" s="144"/>
      <c r="R47" s="144"/>
      <c r="S47" s="144"/>
      <c r="T47" s="144"/>
      <c r="U47" s="144"/>
      <c r="V47" s="144"/>
      <c r="W47" s="144"/>
      <c r="X47" s="144"/>
      <c r="Y47" s="38"/>
    </row>
    <row r="48">
      <c r="A48" s="38"/>
      <c r="B48" s="143"/>
      <c r="C48" s="147"/>
      <c r="D48" s="38"/>
      <c r="E48" s="38"/>
      <c r="F48" s="38"/>
      <c r="G48" s="144"/>
      <c r="H48" s="144"/>
      <c r="I48" s="144"/>
      <c r="J48" s="144"/>
      <c r="K48" s="144"/>
      <c r="L48" s="144"/>
      <c r="M48" s="144"/>
      <c r="N48" s="144"/>
      <c r="O48" s="144"/>
      <c r="P48" s="144"/>
      <c r="Q48" s="144"/>
      <c r="R48" s="144"/>
      <c r="S48" s="144"/>
      <c r="T48" s="144"/>
      <c r="U48" s="144"/>
      <c r="V48" s="144"/>
      <c r="W48" s="144"/>
      <c r="X48" s="144"/>
      <c r="Y48" s="38"/>
    </row>
    <row r="49">
      <c r="A49" s="38"/>
      <c r="B49" s="143"/>
      <c r="C49" s="147"/>
      <c r="D49" s="38"/>
      <c r="E49" s="38"/>
      <c r="F49" s="38"/>
      <c r="G49" s="144"/>
      <c r="H49" s="144"/>
      <c r="I49" s="144"/>
      <c r="J49" s="144"/>
      <c r="K49" s="144"/>
      <c r="L49" s="144"/>
      <c r="M49" s="144"/>
      <c r="N49" s="144"/>
      <c r="O49" s="144"/>
      <c r="P49" s="144"/>
      <c r="Q49" s="144"/>
      <c r="R49" s="144"/>
      <c r="S49" s="144"/>
      <c r="T49" s="144"/>
      <c r="U49" s="144"/>
      <c r="V49" s="144"/>
      <c r="W49" s="144"/>
      <c r="X49" s="144"/>
      <c r="Y49" s="38"/>
    </row>
    <row r="50">
      <c r="A50" s="38"/>
      <c r="B50" s="143"/>
      <c r="C50" s="147"/>
      <c r="D50" s="38"/>
      <c r="E50" s="38"/>
      <c r="F50" s="38"/>
      <c r="G50" s="144"/>
      <c r="H50" s="144"/>
      <c r="I50" s="144"/>
      <c r="J50" s="144"/>
      <c r="K50" s="144"/>
      <c r="L50" s="144"/>
      <c r="M50" s="144"/>
      <c r="N50" s="144"/>
      <c r="O50" s="144"/>
      <c r="P50" s="144"/>
      <c r="Q50" s="144"/>
      <c r="R50" s="144"/>
      <c r="S50" s="144"/>
      <c r="T50" s="144"/>
      <c r="U50" s="144"/>
      <c r="V50" s="144"/>
      <c r="W50" s="144"/>
      <c r="X50" s="144"/>
      <c r="Y50" s="38"/>
    </row>
    <row r="51">
      <c r="A51" s="38"/>
      <c r="B51" s="143"/>
      <c r="C51" s="147"/>
      <c r="D51" s="38"/>
      <c r="E51" s="38"/>
      <c r="F51" s="38"/>
      <c r="G51" s="144"/>
      <c r="H51" s="144"/>
      <c r="I51" s="144"/>
      <c r="J51" s="144"/>
      <c r="K51" s="144"/>
      <c r="L51" s="144"/>
      <c r="M51" s="144"/>
      <c r="N51" s="144"/>
      <c r="O51" s="144"/>
      <c r="P51" s="144"/>
      <c r="Q51" s="144"/>
      <c r="R51" s="144"/>
      <c r="S51" s="144"/>
      <c r="T51" s="144"/>
      <c r="U51" s="144"/>
      <c r="V51" s="144"/>
      <c r="W51" s="144"/>
      <c r="X51" s="144"/>
      <c r="Y51" s="38"/>
    </row>
    <row r="52">
      <c r="A52" s="38"/>
      <c r="B52" s="143"/>
      <c r="C52" s="147"/>
      <c r="D52" s="38"/>
      <c r="E52" s="38"/>
      <c r="F52" s="38"/>
      <c r="G52" s="144"/>
      <c r="H52" s="144"/>
      <c r="I52" s="144"/>
      <c r="J52" s="144"/>
      <c r="K52" s="144"/>
      <c r="L52" s="144"/>
      <c r="M52" s="144"/>
      <c r="N52" s="144"/>
      <c r="O52" s="144"/>
      <c r="P52" s="144"/>
      <c r="Q52" s="144"/>
      <c r="R52" s="144"/>
      <c r="S52" s="144"/>
      <c r="T52" s="144"/>
      <c r="U52" s="144"/>
      <c r="V52" s="144"/>
      <c r="W52" s="144"/>
      <c r="X52" s="144"/>
      <c r="Y52" s="38"/>
    </row>
    <row r="53">
      <c r="A53" s="38"/>
      <c r="B53" s="143"/>
      <c r="C53" s="147"/>
      <c r="D53" s="38"/>
      <c r="E53" s="38"/>
      <c r="F53" s="38"/>
      <c r="G53" s="144"/>
      <c r="H53" s="144"/>
      <c r="I53" s="144"/>
      <c r="J53" s="144"/>
      <c r="K53" s="144"/>
      <c r="L53" s="144"/>
      <c r="M53" s="144"/>
      <c r="N53" s="144"/>
      <c r="O53" s="144"/>
      <c r="P53" s="144"/>
      <c r="Q53" s="144"/>
      <c r="R53" s="144"/>
      <c r="S53" s="144"/>
      <c r="T53" s="144"/>
      <c r="U53" s="144"/>
      <c r="V53" s="144"/>
      <c r="W53" s="144"/>
      <c r="X53" s="144"/>
      <c r="Y53" s="38"/>
    </row>
    <row r="54">
      <c r="A54" s="38"/>
      <c r="B54" s="143"/>
      <c r="C54" s="147"/>
      <c r="D54" s="38"/>
      <c r="E54" s="38"/>
      <c r="F54" s="38"/>
      <c r="G54" s="144"/>
      <c r="H54" s="144"/>
      <c r="I54" s="144"/>
      <c r="J54" s="144"/>
      <c r="K54" s="144"/>
      <c r="L54" s="144"/>
      <c r="M54" s="144"/>
      <c r="N54" s="144"/>
      <c r="O54" s="144"/>
      <c r="P54" s="144"/>
      <c r="Q54" s="144"/>
      <c r="R54" s="144"/>
      <c r="S54" s="144"/>
      <c r="T54" s="144"/>
      <c r="U54" s="144"/>
      <c r="V54" s="144"/>
      <c r="W54" s="144"/>
      <c r="X54" s="144"/>
      <c r="Y54" s="38"/>
    </row>
    <row r="55">
      <c r="A55" s="38"/>
      <c r="B55" s="143"/>
      <c r="C55" s="147"/>
      <c r="D55" s="38"/>
      <c r="E55" s="38"/>
      <c r="F55" s="38"/>
      <c r="G55" s="144"/>
      <c r="H55" s="144"/>
      <c r="I55" s="144"/>
      <c r="J55" s="144"/>
      <c r="K55" s="144"/>
      <c r="L55" s="144"/>
      <c r="M55" s="144"/>
      <c r="N55" s="144"/>
      <c r="O55" s="144"/>
      <c r="P55" s="144"/>
      <c r="Q55" s="144"/>
      <c r="R55" s="144"/>
      <c r="S55" s="144"/>
      <c r="T55" s="144"/>
      <c r="U55" s="144"/>
      <c r="V55" s="144"/>
      <c r="W55" s="144"/>
      <c r="X55" s="144"/>
      <c r="Y55" s="38"/>
    </row>
    <row r="56">
      <c r="A56" s="38"/>
      <c r="B56" s="143"/>
      <c r="C56" s="147"/>
      <c r="D56" s="38"/>
      <c r="E56" s="38"/>
      <c r="F56" s="38"/>
      <c r="G56" s="144"/>
      <c r="H56" s="144"/>
      <c r="I56" s="144"/>
      <c r="J56" s="144"/>
      <c r="K56" s="144"/>
      <c r="L56" s="144"/>
      <c r="M56" s="144"/>
      <c r="N56" s="144"/>
      <c r="O56" s="144"/>
      <c r="P56" s="144"/>
      <c r="Q56" s="144"/>
      <c r="R56" s="144"/>
      <c r="S56" s="144"/>
      <c r="T56" s="144"/>
      <c r="U56" s="144"/>
      <c r="V56" s="144"/>
      <c r="W56" s="144"/>
      <c r="X56" s="144"/>
      <c r="Y56" s="38"/>
    </row>
    <row r="57">
      <c r="A57" s="38"/>
      <c r="B57" s="143"/>
      <c r="C57" s="147"/>
      <c r="D57" s="38"/>
      <c r="E57" s="38"/>
      <c r="F57" s="38"/>
      <c r="G57" s="144"/>
      <c r="H57" s="144"/>
      <c r="I57" s="144"/>
      <c r="J57" s="144"/>
      <c r="K57" s="144"/>
      <c r="L57" s="144"/>
      <c r="M57" s="144"/>
      <c r="N57" s="144"/>
      <c r="O57" s="144"/>
      <c r="P57" s="144"/>
      <c r="Q57" s="144"/>
      <c r="R57" s="144"/>
      <c r="S57" s="144"/>
      <c r="T57" s="144"/>
      <c r="U57" s="144"/>
      <c r="V57" s="144"/>
      <c r="W57" s="144"/>
      <c r="X57" s="144"/>
      <c r="Y57" s="38"/>
    </row>
    <row r="58">
      <c r="A58" s="38"/>
      <c r="B58" s="143"/>
      <c r="C58" s="147"/>
      <c r="D58" s="38"/>
      <c r="E58" s="38"/>
      <c r="F58" s="38"/>
      <c r="G58" s="144"/>
      <c r="H58" s="144"/>
      <c r="I58" s="144"/>
      <c r="J58" s="144"/>
      <c r="K58" s="144"/>
      <c r="L58" s="144"/>
      <c r="M58" s="144"/>
      <c r="N58" s="144"/>
      <c r="O58" s="144"/>
      <c r="P58" s="144"/>
      <c r="Q58" s="144"/>
      <c r="R58" s="144"/>
      <c r="S58" s="144"/>
      <c r="T58" s="144"/>
      <c r="U58" s="144"/>
      <c r="V58" s="144"/>
      <c r="W58" s="144"/>
      <c r="X58" s="144"/>
      <c r="Y58" s="38"/>
    </row>
    <row r="59">
      <c r="A59" s="38"/>
      <c r="B59" s="143"/>
      <c r="C59" s="147"/>
      <c r="D59" s="38"/>
      <c r="E59" s="38"/>
      <c r="F59" s="38"/>
      <c r="G59" s="144"/>
      <c r="H59" s="144"/>
      <c r="I59" s="144"/>
      <c r="J59" s="144"/>
      <c r="K59" s="144"/>
      <c r="L59" s="144"/>
      <c r="M59" s="144"/>
      <c r="N59" s="144"/>
      <c r="O59" s="144"/>
      <c r="P59" s="144"/>
      <c r="Q59" s="144"/>
      <c r="R59" s="144"/>
      <c r="S59" s="144"/>
      <c r="T59" s="144"/>
      <c r="U59" s="144"/>
      <c r="V59" s="144"/>
      <c r="W59" s="144"/>
      <c r="X59" s="144"/>
      <c r="Y59" s="38"/>
    </row>
    <row r="60">
      <c r="A60" s="38"/>
      <c r="B60" s="143"/>
      <c r="C60" s="147"/>
      <c r="D60" s="38"/>
      <c r="E60" s="38"/>
      <c r="F60" s="38"/>
      <c r="G60" s="144"/>
      <c r="H60" s="144"/>
      <c r="I60" s="144"/>
      <c r="J60" s="144"/>
      <c r="K60" s="144"/>
      <c r="L60" s="144"/>
      <c r="M60" s="144"/>
      <c r="N60" s="144"/>
      <c r="O60" s="144"/>
      <c r="P60" s="144"/>
      <c r="Q60" s="144"/>
      <c r="R60" s="144"/>
      <c r="S60" s="144"/>
      <c r="T60" s="144"/>
      <c r="U60" s="144"/>
      <c r="V60" s="144"/>
      <c r="W60" s="144"/>
      <c r="X60" s="144"/>
      <c r="Y60" s="38"/>
    </row>
    <row r="61">
      <c r="A61" s="38"/>
      <c r="B61" s="143"/>
      <c r="C61" s="144"/>
      <c r="D61" s="38"/>
      <c r="E61" s="38"/>
      <c r="F61" s="38"/>
      <c r="G61" s="144"/>
      <c r="H61" s="144"/>
      <c r="I61" s="144"/>
      <c r="J61" s="144"/>
      <c r="K61" s="144"/>
      <c r="L61" s="144"/>
      <c r="M61" s="144"/>
      <c r="N61" s="144"/>
      <c r="O61" s="144"/>
      <c r="P61" s="144"/>
      <c r="Q61" s="144"/>
      <c r="R61" s="144"/>
      <c r="S61" s="144"/>
      <c r="T61" s="144"/>
      <c r="U61" s="144"/>
      <c r="V61" s="144"/>
      <c r="W61" s="144"/>
      <c r="X61" s="144"/>
      <c r="Y61" s="38"/>
    </row>
    <row r="62">
      <c r="A62" s="38"/>
      <c r="B62" s="143"/>
      <c r="C62" s="144"/>
      <c r="D62" s="38"/>
      <c r="E62" s="38"/>
      <c r="F62" s="38"/>
      <c r="G62" s="144"/>
      <c r="H62" s="144"/>
      <c r="I62" s="144"/>
      <c r="J62" s="144"/>
      <c r="K62" s="144"/>
      <c r="L62" s="144"/>
      <c r="M62" s="144"/>
      <c r="N62" s="144"/>
      <c r="O62" s="144"/>
      <c r="P62" s="144"/>
      <c r="Q62" s="144"/>
      <c r="R62" s="144"/>
      <c r="S62" s="144"/>
      <c r="T62" s="144"/>
      <c r="U62" s="144"/>
      <c r="V62" s="144"/>
      <c r="W62" s="144"/>
      <c r="X62" s="144"/>
      <c r="Y62" s="38"/>
    </row>
    <row r="63">
      <c r="A63" s="38"/>
      <c r="B63" s="143"/>
      <c r="C63" s="144"/>
      <c r="D63" s="38"/>
      <c r="E63" s="38"/>
      <c r="F63" s="38"/>
      <c r="G63" s="144"/>
      <c r="H63" s="144"/>
      <c r="I63" s="144"/>
      <c r="J63" s="144"/>
      <c r="K63" s="144"/>
      <c r="L63" s="144"/>
      <c r="M63" s="144"/>
      <c r="N63" s="144"/>
      <c r="O63" s="144"/>
      <c r="P63" s="144"/>
      <c r="Q63" s="144"/>
      <c r="R63" s="144"/>
      <c r="S63" s="144"/>
      <c r="T63" s="144"/>
      <c r="U63" s="144"/>
      <c r="V63" s="144"/>
      <c r="W63" s="144"/>
      <c r="X63" s="144"/>
      <c r="Y63" s="38"/>
    </row>
    <row r="64">
      <c r="A64" s="38"/>
      <c r="B64" s="143"/>
      <c r="C64" s="144"/>
      <c r="D64" s="38"/>
      <c r="E64" s="38"/>
      <c r="F64" s="38"/>
      <c r="G64" s="144"/>
      <c r="H64" s="144"/>
      <c r="I64" s="144"/>
      <c r="J64" s="144"/>
      <c r="K64" s="144"/>
      <c r="L64" s="144"/>
      <c r="M64" s="144"/>
      <c r="N64" s="144"/>
      <c r="O64" s="144"/>
      <c r="P64" s="144"/>
      <c r="Q64" s="144"/>
      <c r="R64" s="144"/>
      <c r="S64" s="144"/>
      <c r="T64" s="144"/>
      <c r="U64" s="144"/>
      <c r="V64" s="144"/>
      <c r="W64" s="144"/>
      <c r="X64" s="144"/>
      <c r="Y64" s="38"/>
    </row>
    <row r="65">
      <c r="A65" s="38"/>
      <c r="B65" s="143"/>
      <c r="C65" s="144"/>
      <c r="D65" s="38"/>
      <c r="E65" s="38"/>
      <c r="F65" s="38"/>
      <c r="G65" s="144"/>
      <c r="H65" s="144"/>
      <c r="I65" s="144"/>
      <c r="J65" s="144"/>
      <c r="K65" s="144"/>
      <c r="L65" s="144"/>
      <c r="M65" s="144"/>
      <c r="N65" s="144"/>
      <c r="O65" s="144"/>
      <c r="P65" s="144"/>
      <c r="Q65" s="144"/>
      <c r="R65" s="144"/>
      <c r="S65" s="144"/>
      <c r="T65" s="144"/>
      <c r="U65" s="144"/>
      <c r="V65" s="144"/>
      <c r="W65" s="144"/>
      <c r="X65" s="144"/>
      <c r="Y65" s="38"/>
    </row>
    <row r="66">
      <c r="A66" s="38"/>
      <c r="B66" s="143"/>
      <c r="C66" s="144"/>
      <c r="D66" s="38"/>
      <c r="E66" s="38"/>
      <c r="F66" s="38"/>
      <c r="G66" s="144"/>
      <c r="H66" s="144"/>
      <c r="I66" s="144"/>
      <c r="J66" s="144"/>
      <c r="K66" s="144"/>
      <c r="L66" s="144"/>
      <c r="M66" s="144"/>
      <c r="N66" s="144"/>
      <c r="O66" s="144"/>
      <c r="P66" s="144"/>
      <c r="Q66" s="144"/>
      <c r="R66" s="144"/>
      <c r="S66" s="144"/>
      <c r="T66" s="144"/>
      <c r="U66" s="144"/>
      <c r="V66" s="144"/>
      <c r="W66" s="144"/>
      <c r="X66" s="144"/>
      <c r="Y66" s="38"/>
    </row>
    <row r="67">
      <c r="A67" s="38"/>
      <c r="B67" s="143"/>
      <c r="C67" s="144"/>
      <c r="D67" s="38"/>
      <c r="E67" s="38"/>
      <c r="F67" s="38"/>
      <c r="G67" s="144"/>
      <c r="H67" s="144"/>
      <c r="I67" s="144"/>
      <c r="J67" s="144"/>
      <c r="K67" s="144"/>
      <c r="L67" s="144"/>
      <c r="M67" s="144"/>
      <c r="N67" s="144"/>
      <c r="O67" s="144"/>
      <c r="P67" s="144"/>
      <c r="Q67" s="144"/>
      <c r="R67" s="144"/>
      <c r="S67" s="144"/>
      <c r="T67" s="144"/>
      <c r="U67" s="144"/>
      <c r="V67" s="144"/>
      <c r="W67" s="144"/>
      <c r="X67" s="144"/>
      <c r="Y67" s="38"/>
    </row>
    <row r="68">
      <c r="A68" s="38"/>
      <c r="B68" s="143"/>
      <c r="C68" s="144"/>
      <c r="D68" s="38"/>
      <c r="E68" s="38"/>
      <c r="F68" s="38"/>
      <c r="G68" s="144"/>
      <c r="H68" s="144"/>
      <c r="I68" s="144"/>
      <c r="J68" s="144"/>
      <c r="K68" s="144"/>
      <c r="L68" s="144"/>
      <c r="M68" s="144"/>
      <c r="N68" s="144"/>
      <c r="O68" s="144"/>
      <c r="P68" s="144"/>
      <c r="Q68" s="144"/>
      <c r="R68" s="144"/>
      <c r="S68" s="144"/>
      <c r="T68" s="144"/>
      <c r="U68" s="144"/>
      <c r="V68" s="144"/>
      <c r="W68" s="144"/>
      <c r="X68" s="144"/>
      <c r="Y68" s="38"/>
    </row>
    <row r="69">
      <c r="A69" s="38"/>
      <c r="B69" s="143"/>
      <c r="C69" s="144"/>
      <c r="D69" s="38"/>
      <c r="E69" s="38"/>
      <c r="F69" s="38"/>
      <c r="G69" s="144"/>
      <c r="H69" s="144"/>
      <c r="I69" s="144"/>
      <c r="J69" s="144"/>
      <c r="K69" s="144"/>
      <c r="L69" s="144"/>
      <c r="M69" s="144"/>
      <c r="N69" s="144"/>
      <c r="O69" s="144"/>
      <c r="P69" s="144"/>
      <c r="Q69" s="144"/>
      <c r="R69" s="144"/>
      <c r="S69" s="144"/>
      <c r="T69" s="144"/>
      <c r="U69" s="144"/>
      <c r="V69" s="144"/>
      <c r="W69" s="144"/>
      <c r="X69" s="144"/>
      <c r="Y69" s="38"/>
    </row>
    <row r="70">
      <c r="A70" s="38"/>
      <c r="B70" s="143"/>
      <c r="C70" s="144"/>
      <c r="D70" s="38"/>
      <c r="E70" s="38"/>
      <c r="F70" s="38"/>
      <c r="G70" s="144"/>
      <c r="H70" s="144"/>
      <c r="I70" s="144"/>
      <c r="J70" s="144"/>
      <c r="K70" s="144"/>
      <c r="L70" s="144"/>
      <c r="M70" s="144"/>
      <c r="N70" s="144"/>
      <c r="O70" s="144"/>
      <c r="P70" s="144"/>
      <c r="Q70" s="144"/>
      <c r="R70" s="144"/>
      <c r="S70" s="144"/>
      <c r="T70" s="144"/>
      <c r="U70" s="144"/>
      <c r="V70" s="144"/>
      <c r="W70" s="144"/>
      <c r="X70" s="144"/>
      <c r="Y70" s="38"/>
    </row>
    <row r="71">
      <c r="A71" s="38"/>
      <c r="B71" s="143"/>
      <c r="C71" s="144"/>
      <c r="D71" s="38"/>
      <c r="E71" s="38"/>
      <c r="F71" s="38"/>
      <c r="G71" s="144"/>
      <c r="H71" s="144"/>
      <c r="I71" s="144"/>
      <c r="J71" s="144"/>
      <c r="K71" s="144"/>
      <c r="L71" s="144"/>
      <c r="M71" s="144"/>
      <c r="N71" s="144"/>
      <c r="O71" s="144"/>
      <c r="P71" s="144"/>
      <c r="Q71" s="144"/>
      <c r="R71" s="144"/>
      <c r="S71" s="144"/>
      <c r="T71" s="144"/>
      <c r="U71" s="144"/>
      <c r="V71" s="144"/>
      <c r="W71" s="144"/>
      <c r="X71" s="144"/>
      <c r="Y71" s="38"/>
    </row>
    <row r="72">
      <c r="A72" s="38"/>
      <c r="B72" s="143"/>
      <c r="C72" s="144"/>
      <c r="D72" s="38"/>
      <c r="E72" s="38"/>
      <c r="F72" s="38"/>
      <c r="G72" s="144"/>
      <c r="H72" s="144"/>
      <c r="I72" s="144"/>
      <c r="J72" s="144"/>
      <c r="K72" s="144"/>
      <c r="L72" s="144"/>
      <c r="M72" s="144"/>
      <c r="N72" s="144"/>
      <c r="O72" s="144"/>
      <c r="P72" s="144"/>
      <c r="Q72" s="144"/>
      <c r="R72" s="144"/>
      <c r="S72" s="144"/>
      <c r="T72" s="144"/>
      <c r="U72" s="144"/>
      <c r="V72" s="144"/>
      <c r="W72" s="144"/>
      <c r="X72" s="144"/>
      <c r="Y72" s="38"/>
    </row>
    <row r="73">
      <c r="A73" s="38"/>
      <c r="B73" s="143"/>
      <c r="C73" s="144"/>
      <c r="D73" s="38"/>
      <c r="E73" s="38"/>
      <c r="F73" s="38"/>
      <c r="G73" s="144"/>
      <c r="H73" s="144"/>
      <c r="I73" s="144"/>
      <c r="J73" s="144"/>
      <c r="K73" s="144"/>
      <c r="L73" s="144"/>
      <c r="M73" s="144"/>
      <c r="N73" s="144"/>
      <c r="O73" s="144"/>
      <c r="P73" s="144"/>
      <c r="Q73" s="144"/>
      <c r="R73" s="144"/>
      <c r="S73" s="144"/>
      <c r="T73" s="144"/>
      <c r="U73" s="144"/>
      <c r="V73" s="144"/>
      <c r="W73" s="144"/>
      <c r="X73" s="144"/>
      <c r="Y73" s="38"/>
    </row>
    <row r="74">
      <c r="A74" s="38"/>
      <c r="B74" s="143"/>
      <c r="C74" s="144"/>
      <c r="D74" s="38"/>
      <c r="E74" s="38"/>
      <c r="F74" s="38"/>
      <c r="G74" s="144"/>
      <c r="H74" s="144"/>
      <c r="I74" s="144"/>
      <c r="J74" s="144"/>
      <c r="K74" s="144"/>
      <c r="L74" s="144"/>
      <c r="M74" s="144"/>
      <c r="N74" s="144"/>
      <c r="O74" s="144"/>
      <c r="P74" s="144"/>
      <c r="Q74" s="144"/>
      <c r="R74" s="144"/>
      <c r="S74" s="144"/>
      <c r="T74" s="144"/>
      <c r="U74" s="144"/>
      <c r="V74" s="144"/>
      <c r="W74" s="144"/>
      <c r="X74" s="144"/>
      <c r="Y74" s="38"/>
    </row>
    <row r="75">
      <c r="A75" s="38"/>
      <c r="B75" s="143"/>
      <c r="C75" s="144"/>
      <c r="D75" s="38"/>
      <c r="E75" s="38"/>
      <c r="F75" s="38"/>
      <c r="G75" s="144"/>
      <c r="H75" s="144"/>
      <c r="I75" s="144"/>
      <c r="J75" s="144"/>
      <c r="K75" s="144"/>
      <c r="L75" s="144"/>
      <c r="M75" s="144"/>
      <c r="N75" s="144"/>
      <c r="O75" s="144"/>
      <c r="P75" s="144"/>
      <c r="Q75" s="144"/>
      <c r="R75" s="144"/>
      <c r="S75" s="144"/>
      <c r="T75" s="144"/>
      <c r="U75" s="144"/>
      <c r="V75" s="144"/>
      <c r="W75" s="144"/>
      <c r="X75" s="144"/>
      <c r="Y75" s="38"/>
    </row>
    <row r="76">
      <c r="A76" s="38"/>
      <c r="B76" s="143"/>
      <c r="C76" s="144"/>
      <c r="D76" s="38"/>
      <c r="E76" s="38"/>
      <c r="F76" s="38"/>
      <c r="G76" s="144"/>
      <c r="H76" s="144"/>
      <c r="I76" s="144"/>
      <c r="J76" s="144"/>
      <c r="K76" s="144"/>
      <c r="L76" s="144"/>
      <c r="M76" s="144"/>
      <c r="N76" s="144"/>
      <c r="O76" s="144"/>
      <c r="P76" s="144"/>
      <c r="Q76" s="144"/>
      <c r="R76" s="144"/>
      <c r="S76" s="144"/>
      <c r="T76" s="144"/>
      <c r="U76" s="144"/>
      <c r="V76" s="144"/>
      <c r="W76" s="144"/>
      <c r="X76" s="144"/>
      <c r="Y76" s="38"/>
    </row>
    <row r="77">
      <c r="A77" s="38"/>
      <c r="B77" s="143"/>
      <c r="C77" s="144"/>
      <c r="D77" s="38"/>
      <c r="E77" s="38"/>
      <c r="F77" s="38"/>
      <c r="G77" s="144"/>
      <c r="H77" s="144"/>
      <c r="I77" s="144"/>
      <c r="J77" s="144"/>
      <c r="K77" s="144"/>
      <c r="L77" s="144"/>
      <c r="M77" s="144"/>
      <c r="N77" s="144"/>
      <c r="O77" s="144"/>
      <c r="P77" s="144"/>
      <c r="Q77" s="144"/>
      <c r="R77" s="144"/>
      <c r="S77" s="144"/>
      <c r="T77" s="144"/>
      <c r="U77" s="144"/>
      <c r="V77" s="144"/>
      <c r="W77" s="144"/>
      <c r="X77" s="144"/>
      <c r="Y77" s="38"/>
    </row>
    <row r="78">
      <c r="A78" s="38"/>
      <c r="B78" s="143"/>
      <c r="C78" s="144"/>
      <c r="D78" s="38"/>
      <c r="E78" s="38"/>
      <c r="F78" s="38"/>
      <c r="G78" s="144"/>
      <c r="H78" s="144"/>
      <c r="I78" s="144"/>
      <c r="J78" s="144"/>
      <c r="K78" s="144"/>
      <c r="L78" s="144"/>
      <c r="M78" s="144"/>
      <c r="N78" s="144"/>
      <c r="O78" s="144"/>
      <c r="P78" s="144"/>
      <c r="Q78" s="144"/>
      <c r="R78" s="144"/>
      <c r="S78" s="144"/>
      <c r="T78" s="144"/>
      <c r="U78" s="144"/>
      <c r="V78" s="144"/>
      <c r="W78" s="144"/>
      <c r="X78" s="144"/>
      <c r="Y78" s="38"/>
    </row>
    <row r="79">
      <c r="A79" s="38"/>
      <c r="B79" s="143"/>
      <c r="C79" s="144"/>
      <c r="D79" s="38"/>
      <c r="E79" s="38"/>
      <c r="F79" s="38"/>
      <c r="G79" s="144"/>
      <c r="H79" s="144"/>
      <c r="I79" s="144"/>
      <c r="J79" s="144"/>
      <c r="K79" s="144"/>
      <c r="L79" s="144"/>
      <c r="M79" s="144"/>
      <c r="N79" s="144"/>
      <c r="O79" s="144"/>
      <c r="P79" s="144"/>
      <c r="Q79" s="144"/>
      <c r="R79" s="144"/>
      <c r="S79" s="144"/>
      <c r="T79" s="144"/>
      <c r="U79" s="144"/>
      <c r="V79" s="144"/>
      <c r="W79" s="144"/>
      <c r="X79" s="144"/>
      <c r="Y79" s="38"/>
    </row>
    <row r="80">
      <c r="A80" s="38"/>
      <c r="B80" s="143"/>
      <c r="C80" s="144"/>
      <c r="D80" s="38"/>
      <c r="E80" s="38"/>
      <c r="F80" s="38"/>
      <c r="G80" s="144"/>
      <c r="H80" s="144"/>
      <c r="I80" s="144"/>
      <c r="J80" s="144"/>
      <c r="K80" s="144"/>
      <c r="L80" s="144"/>
      <c r="M80" s="144"/>
      <c r="N80" s="144"/>
      <c r="O80" s="144"/>
      <c r="P80" s="144"/>
      <c r="Q80" s="144"/>
      <c r="R80" s="144"/>
      <c r="S80" s="144"/>
      <c r="T80" s="144"/>
      <c r="U80" s="144"/>
      <c r="V80" s="144"/>
      <c r="W80" s="144"/>
      <c r="X80" s="144"/>
      <c r="Y80" s="38"/>
    </row>
    <row r="81">
      <c r="A81" s="38"/>
      <c r="B81" s="143"/>
      <c r="C81" s="144"/>
      <c r="D81" s="38"/>
      <c r="E81" s="38"/>
      <c r="F81" s="38"/>
      <c r="G81" s="144"/>
      <c r="H81" s="144"/>
      <c r="I81" s="144"/>
      <c r="J81" s="144"/>
      <c r="K81" s="144"/>
      <c r="L81" s="144"/>
      <c r="M81" s="144"/>
      <c r="N81" s="144"/>
      <c r="O81" s="144"/>
      <c r="P81" s="144"/>
      <c r="Q81" s="144"/>
      <c r="R81" s="144"/>
      <c r="S81" s="144"/>
      <c r="T81" s="144"/>
      <c r="U81" s="144"/>
      <c r="V81" s="144"/>
      <c r="W81" s="144"/>
      <c r="X81" s="144"/>
      <c r="Y81" s="38"/>
    </row>
    <row r="82">
      <c r="A82" s="38"/>
      <c r="B82" s="143"/>
      <c r="C82" s="144"/>
      <c r="D82" s="38"/>
      <c r="E82" s="38"/>
      <c r="F82" s="38"/>
      <c r="G82" s="144"/>
      <c r="H82" s="144"/>
      <c r="I82" s="144"/>
      <c r="J82" s="144"/>
      <c r="K82" s="144"/>
      <c r="L82" s="144"/>
      <c r="M82" s="144"/>
      <c r="N82" s="144"/>
      <c r="O82" s="144"/>
      <c r="P82" s="144"/>
      <c r="Q82" s="144"/>
      <c r="R82" s="144"/>
      <c r="S82" s="144"/>
      <c r="T82" s="144"/>
      <c r="U82" s="144"/>
      <c r="V82" s="144"/>
      <c r="W82" s="144"/>
      <c r="X82" s="144"/>
      <c r="Y82" s="38"/>
    </row>
    <row r="83">
      <c r="A83" s="38"/>
      <c r="B83" s="143"/>
      <c r="C83" s="144"/>
      <c r="D83" s="38"/>
      <c r="E83" s="38"/>
      <c r="F83" s="38"/>
      <c r="G83" s="144"/>
      <c r="H83" s="144"/>
      <c r="I83" s="144"/>
      <c r="J83" s="144"/>
      <c r="K83" s="144"/>
      <c r="L83" s="144"/>
      <c r="M83" s="144"/>
      <c r="N83" s="144"/>
      <c r="O83" s="144"/>
      <c r="P83" s="144"/>
      <c r="Q83" s="144"/>
      <c r="R83" s="144"/>
      <c r="S83" s="144"/>
      <c r="T83" s="144"/>
      <c r="U83" s="144"/>
      <c r="V83" s="144"/>
      <c r="W83" s="144"/>
      <c r="X83" s="144"/>
      <c r="Y83" s="38"/>
    </row>
    <row r="84">
      <c r="A84" s="38"/>
      <c r="B84" s="143"/>
      <c r="C84" s="144"/>
      <c r="D84" s="38"/>
      <c r="E84" s="38"/>
      <c r="F84" s="38"/>
      <c r="G84" s="144"/>
      <c r="H84" s="144"/>
      <c r="I84" s="144"/>
      <c r="J84" s="144"/>
      <c r="K84" s="144"/>
      <c r="L84" s="144"/>
      <c r="M84" s="144"/>
      <c r="N84" s="144"/>
      <c r="O84" s="144"/>
      <c r="P84" s="144"/>
      <c r="Q84" s="144"/>
      <c r="R84" s="144"/>
      <c r="S84" s="144"/>
      <c r="T84" s="144"/>
      <c r="U84" s="144"/>
      <c r="V84" s="144"/>
      <c r="W84" s="144"/>
      <c r="X84" s="144"/>
      <c r="Y84" s="38"/>
    </row>
    <row r="85">
      <c r="A85" s="38"/>
      <c r="B85" s="143"/>
      <c r="C85" s="144"/>
      <c r="D85" s="38"/>
      <c r="E85" s="38"/>
      <c r="F85" s="38"/>
      <c r="G85" s="144"/>
      <c r="H85" s="144"/>
      <c r="I85" s="144"/>
      <c r="J85" s="144"/>
      <c r="K85" s="144"/>
      <c r="L85" s="144"/>
      <c r="M85" s="144"/>
      <c r="N85" s="144"/>
      <c r="O85" s="144"/>
      <c r="P85" s="144"/>
      <c r="Q85" s="144"/>
      <c r="R85" s="144"/>
      <c r="S85" s="144"/>
      <c r="T85" s="144"/>
      <c r="U85" s="144"/>
      <c r="V85" s="144"/>
      <c r="W85" s="144"/>
      <c r="X85" s="144"/>
      <c r="Y85" s="38"/>
    </row>
    <row r="86">
      <c r="A86" s="38"/>
      <c r="B86" s="143"/>
      <c r="C86" s="144"/>
      <c r="D86" s="38"/>
      <c r="E86" s="38"/>
      <c r="F86" s="38"/>
      <c r="G86" s="144"/>
      <c r="H86" s="144"/>
      <c r="I86" s="144"/>
      <c r="J86" s="144"/>
      <c r="K86" s="144"/>
      <c r="L86" s="144"/>
      <c r="M86" s="144"/>
      <c r="N86" s="144"/>
      <c r="O86" s="144"/>
      <c r="P86" s="144"/>
      <c r="Q86" s="144"/>
      <c r="R86" s="144"/>
      <c r="S86" s="144"/>
      <c r="T86" s="144"/>
      <c r="U86" s="144"/>
      <c r="V86" s="144"/>
      <c r="W86" s="144"/>
      <c r="X86" s="144"/>
      <c r="Y86" s="38"/>
    </row>
    <row r="87">
      <c r="A87" s="38"/>
      <c r="B87" s="143"/>
      <c r="C87" s="144"/>
      <c r="D87" s="38"/>
      <c r="E87" s="38"/>
      <c r="F87" s="38"/>
      <c r="G87" s="144"/>
      <c r="H87" s="144"/>
      <c r="I87" s="144"/>
      <c r="J87" s="144"/>
      <c r="K87" s="144"/>
      <c r="L87" s="144"/>
      <c r="M87" s="144"/>
      <c r="N87" s="144"/>
      <c r="O87" s="144"/>
      <c r="P87" s="144"/>
      <c r="Q87" s="144"/>
      <c r="R87" s="144"/>
      <c r="S87" s="144"/>
      <c r="T87" s="144"/>
      <c r="U87" s="144"/>
      <c r="V87" s="144"/>
      <c r="W87" s="144"/>
      <c r="X87" s="144"/>
      <c r="Y87" s="38"/>
    </row>
    <row r="88">
      <c r="A88" s="38"/>
      <c r="B88" s="143"/>
      <c r="C88" s="144"/>
      <c r="D88" s="38"/>
      <c r="E88" s="38"/>
      <c r="F88" s="38"/>
      <c r="G88" s="144"/>
      <c r="H88" s="144"/>
      <c r="I88" s="144"/>
      <c r="J88" s="144"/>
      <c r="K88" s="144"/>
      <c r="L88" s="144"/>
      <c r="M88" s="144"/>
      <c r="N88" s="144"/>
      <c r="O88" s="144"/>
      <c r="P88" s="144"/>
      <c r="Q88" s="144"/>
      <c r="R88" s="144"/>
      <c r="S88" s="144"/>
      <c r="T88" s="144"/>
      <c r="U88" s="144"/>
      <c r="V88" s="144"/>
      <c r="W88" s="144"/>
      <c r="X88" s="144"/>
      <c r="Y88" s="38"/>
    </row>
    <row r="89">
      <c r="A89" s="38"/>
      <c r="B89" s="143"/>
      <c r="C89" s="144"/>
      <c r="D89" s="38"/>
      <c r="E89" s="38"/>
      <c r="F89" s="38"/>
      <c r="G89" s="144"/>
      <c r="H89" s="144"/>
      <c r="I89" s="144"/>
      <c r="J89" s="144"/>
      <c r="K89" s="144"/>
      <c r="L89" s="144"/>
      <c r="M89" s="144"/>
      <c r="N89" s="144"/>
      <c r="O89" s="144"/>
      <c r="P89" s="144"/>
      <c r="Q89" s="144"/>
      <c r="R89" s="144"/>
      <c r="S89" s="144"/>
      <c r="T89" s="144"/>
      <c r="U89" s="144"/>
      <c r="V89" s="144"/>
      <c r="W89" s="144"/>
      <c r="X89" s="144"/>
      <c r="Y89" s="38"/>
    </row>
    <row r="90">
      <c r="A90" s="38"/>
      <c r="B90" s="143"/>
      <c r="C90" s="144"/>
      <c r="D90" s="38"/>
      <c r="E90" s="38"/>
      <c r="F90" s="38"/>
      <c r="G90" s="144"/>
      <c r="H90" s="144"/>
      <c r="I90" s="144"/>
      <c r="J90" s="144"/>
      <c r="K90" s="144"/>
      <c r="L90" s="144"/>
      <c r="M90" s="144"/>
      <c r="N90" s="144"/>
      <c r="O90" s="144"/>
      <c r="P90" s="144"/>
      <c r="Q90" s="144"/>
      <c r="R90" s="144"/>
      <c r="S90" s="144"/>
      <c r="T90" s="144"/>
      <c r="U90" s="144"/>
      <c r="V90" s="144"/>
      <c r="W90" s="144"/>
      <c r="X90" s="144"/>
      <c r="Y90" s="38"/>
    </row>
    <row r="91">
      <c r="A91" s="38"/>
      <c r="B91" s="143"/>
      <c r="C91" s="144"/>
      <c r="D91" s="38"/>
      <c r="E91" s="38"/>
      <c r="F91" s="38"/>
      <c r="G91" s="144"/>
      <c r="H91" s="144"/>
      <c r="I91" s="144"/>
      <c r="J91" s="144"/>
      <c r="K91" s="144"/>
      <c r="L91" s="144"/>
      <c r="M91" s="144"/>
      <c r="N91" s="144"/>
      <c r="O91" s="144"/>
      <c r="P91" s="144"/>
      <c r="Q91" s="144"/>
      <c r="R91" s="144"/>
      <c r="S91" s="144"/>
      <c r="T91" s="144"/>
      <c r="U91" s="144"/>
      <c r="V91" s="144"/>
      <c r="W91" s="144"/>
      <c r="X91" s="144"/>
      <c r="Y91" s="38"/>
    </row>
    <row r="92">
      <c r="A92" s="38"/>
      <c r="B92" s="143"/>
      <c r="C92" s="144"/>
      <c r="D92" s="38"/>
      <c r="E92" s="38"/>
      <c r="F92" s="38"/>
      <c r="G92" s="144"/>
      <c r="H92" s="144"/>
      <c r="I92" s="144"/>
      <c r="J92" s="144"/>
      <c r="K92" s="144"/>
      <c r="L92" s="144"/>
      <c r="M92" s="144"/>
      <c r="N92" s="144"/>
      <c r="O92" s="144"/>
      <c r="P92" s="144"/>
      <c r="Q92" s="144"/>
      <c r="R92" s="144"/>
      <c r="S92" s="144"/>
      <c r="T92" s="144"/>
      <c r="U92" s="144"/>
      <c r="V92" s="144"/>
      <c r="W92" s="144"/>
      <c r="X92" s="144"/>
      <c r="Y92" s="38"/>
    </row>
    <row r="93">
      <c r="A93" s="38"/>
      <c r="B93" s="143"/>
      <c r="C93" s="144"/>
      <c r="D93" s="38"/>
      <c r="E93" s="38"/>
      <c r="F93" s="38"/>
      <c r="G93" s="144"/>
      <c r="H93" s="144"/>
      <c r="I93" s="144"/>
      <c r="J93" s="144"/>
      <c r="K93" s="144"/>
      <c r="L93" s="144"/>
      <c r="M93" s="144"/>
      <c r="N93" s="144"/>
      <c r="O93" s="144"/>
      <c r="P93" s="144"/>
      <c r="Q93" s="144"/>
      <c r="R93" s="144"/>
      <c r="S93" s="144"/>
      <c r="T93" s="144"/>
      <c r="U93" s="144"/>
      <c r="V93" s="144"/>
      <c r="W93" s="144"/>
      <c r="X93" s="144"/>
      <c r="Y93" s="38"/>
    </row>
    <row r="94">
      <c r="A94" s="38"/>
      <c r="B94" s="143"/>
      <c r="C94" s="144"/>
      <c r="D94" s="38"/>
      <c r="E94" s="38"/>
      <c r="F94" s="38"/>
      <c r="G94" s="144"/>
      <c r="H94" s="144"/>
      <c r="I94" s="144"/>
      <c r="J94" s="144"/>
      <c r="K94" s="144"/>
      <c r="L94" s="144"/>
      <c r="M94" s="144"/>
      <c r="N94" s="144"/>
      <c r="O94" s="144"/>
      <c r="P94" s="144"/>
      <c r="Q94" s="144"/>
      <c r="R94" s="144"/>
      <c r="S94" s="144"/>
      <c r="T94" s="144"/>
      <c r="U94" s="144"/>
      <c r="V94" s="144"/>
      <c r="W94" s="144"/>
      <c r="X94" s="144"/>
      <c r="Y94" s="38"/>
    </row>
    <row r="95">
      <c r="A95" s="38"/>
      <c r="B95" s="143"/>
      <c r="C95" s="144"/>
      <c r="D95" s="38"/>
      <c r="E95" s="38"/>
      <c r="F95" s="38"/>
      <c r="G95" s="144"/>
      <c r="H95" s="144"/>
      <c r="I95" s="144"/>
      <c r="J95" s="144"/>
      <c r="K95" s="144"/>
      <c r="L95" s="144"/>
      <c r="M95" s="144"/>
      <c r="N95" s="144"/>
      <c r="O95" s="144"/>
      <c r="P95" s="144"/>
      <c r="Q95" s="144"/>
      <c r="R95" s="144"/>
      <c r="S95" s="144"/>
      <c r="T95" s="144"/>
      <c r="U95" s="144"/>
      <c r="V95" s="144"/>
      <c r="W95" s="144"/>
      <c r="X95" s="144"/>
      <c r="Y95" s="38"/>
    </row>
    <row r="96">
      <c r="A96" s="38"/>
      <c r="B96" s="143"/>
      <c r="C96" s="144"/>
      <c r="D96" s="38"/>
      <c r="E96" s="38"/>
      <c r="F96" s="38"/>
      <c r="G96" s="144"/>
      <c r="H96" s="144"/>
      <c r="I96" s="144"/>
      <c r="J96" s="144"/>
      <c r="K96" s="144"/>
      <c r="L96" s="144"/>
      <c r="M96" s="144"/>
      <c r="N96" s="144"/>
      <c r="O96" s="144"/>
      <c r="P96" s="144"/>
      <c r="Q96" s="144"/>
      <c r="R96" s="144"/>
      <c r="S96" s="144"/>
      <c r="T96" s="144"/>
      <c r="U96" s="144"/>
      <c r="V96" s="144"/>
      <c r="W96" s="144"/>
      <c r="X96" s="144"/>
      <c r="Y96" s="38"/>
    </row>
    <row r="97">
      <c r="A97" s="38"/>
      <c r="B97" s="143"/>
      <c r="C97" s="144"/>
      <c r="D97" s="38"/>
      <c r="E97" s="38"/>
      <c r="F97" s="38"/>
      <c r="G97" s="144"/>
      <c r="H97" s="144"/>
      <c r="I97" s="144"/>
      <c r="J97" s="144"/>
      <c r="K97" s="144"/>
      <c r="L97" s="144"/>
      <c r="M97" s="144"/>
      <c r="N97" s="144"/>
      <c r="O97" s="144"/>
      <c r="P97" s="144"/>
      <c r="Q97" s="144"/>
      <c r="R97" s="144"/>
      <c r="S97" s="144"/>
      <c r="T97" s="144"/>
      <c r="U97" s="144"/>
      <c r="V97" s="144"/>
      <c r="W97" s="144"/>
      <c r="X97" s="144"/>
      <c r="Y97" s="38"/>
    </row>
    <row r="98">
      <c r="A98" s="38"/>
      <c r="B98" s="143"/>
      <c r="C98" s="144"/>
      <c r="D98" s="38"/>
      <c r="E98" s="38"/>
      <c r="F98" s="38"/>
      <c r="G98" s="144"/>
      <c r="H98" s="144"/>
      <c r="I98" s="144"/>
      <c r="J98" s="144"/>
      <c r="K98" s="144"/>
      <c r="L98" s="144"/>
      <c r="M98" s="144"/>
      <c r="N98" s="144"/>
      <c r="O98" s="144"/>
      <c r="P98" s="144"/>
      <c r="Q98" s="144"/>
      <c r="R98" s="144"/>
      <c r="S98" s="144"/>
      <c r="T98" s="144"/>
      <c r="U98" s="144"/>
      <c r="V98" s="144"/>
      <c r="W98" s="144"/>
      <c r="X98" s="144"/>
      <c r="Y98" s="38"/>
    </row>
    <row r="99">
      <c r="A99" s="38"/>
      <c r="B99" s="143"/>
      <c r="C99" s="144"/>
      <c r="D99" s="38"/>
      <c r="E99" s="38"/>
      <c r="F99" s="38"/>
      <c r="G99" s="144"/>
      <c r="H99" s="144"/>
      <c r="I99" s="144"/>
      <c r="J99" s="144"/>
      <c r="K99" s="144"/>
      <c r="L99" s="144"/>
      <c r="M99" s="144"/>
      <c r="N99" s="144"/>
      <c r="O99" s="144"/>
      <c r="P99" s="144"/>
      <c r="Q99" s="144"/>
      <c r="R99" s="144"/>
      <c r="S99" s="144"/>
      <c r="T99" s="144"/>
      <c r="U99" s="144"/>
      <c r="V99" s="144"/>
      <c r="W99" s="144"/>
      <c r="X99" s="144"/>
      <c r="Y99" s="38"/>
    </row>
    <row r="100">
      <c r="A100" s="38"/>
      <c r="B100" s="143"/>
      <c r="C100" s="144"/>
      <c r="D100" s="38"/>
      <c r="E100" s="38"/>
      <c r="F100" s="38"/>
      <c r="G100" s="144"/>
      <c r="H100" s="144"/>
      <c r="I100" s="144"/>
      <c r="J100" s="144"/>
      <c r="K100" s="144"/>
      <c r="L100" s="144"/>
      <c r="M100" s="144"/>
      <c r="N100" s="144"/>
      <c r="O100" s="144"/>
      <c r="P100" s="144"/>
      <c r="Q100" s="144"/>
      <c r="R100" s="144"/>
      <c r="S100" s="144"/>
      <c r="T100" s="144"/>
      <c r="U100" s="144"/>
      <c r="V100" s="144"/>
      <c r="W100" s="144"/>
      <c r="X100" s="144"/>
      <c r="Y100" s="38"/>
    </row>
    <row r="101">
      <c r="A101" s="38"/>
      <c r="B101" s="143"/>
      <c r="C101" s="144"/>
      <c r="D101" s="38"/>
      <c r="E101" s="38"/>
      <c r="F101" s="38"/>
      <c r="G101" s="144"/>
      <c r="H101" s="144"/>
      <c r="I101" s="144"/>
      <c r="J101" s="144"/>
      <c r="K101" s="144"/>
      <c r="L101" s="144"/>
      <c r="M101" s="144"/>
      <c r="N101" s="144"/>
      <c r="O101" s="144"/>
      <c r="P101" s="144"/>
      <c r="Q101" s="144"/>
      <c r="R101" s="144"/>
      <c r="S101" s="144"/>
      <c r="T101" s="144"/>
      <c r="U101" s="144"/>
      <c r="V101" s="144"/>
      <c r="W101" s="144"/>
      <c r="X101" s="144"/>
      <c r="Y101" s="38"/>
    </row>
    <row r="102">
      <c r="A102" s="38"/>
      <c r="B102" s="143"/>
      <c r="C102" s="144"/>
      <c r="D102" s="38"/>
      <c r="E102" s="38"/>
      <c r="F102" s="38"/>
      <c r="G102" s="144"/>
      <c r="H102" s="144"/>
      <c r="I102" s="144"/>
      <c r="J102" s="144"/>
      <c r="K102" s="144"/>
      <c r="L102" s="144"/>
      <c r="M102" s="144"/>
      <c r="N102" s="144"/>
      <c r="O102" s="144"/>
      <c r="P102" s="144"/>
      <c r="Q102" s="144"/>
      <c r="R102" s="144"/>
      <c r="S102" s="144"/>
      <c r="T102" s="144"/>
      <c r="U102" s="144"/>
      <c r="V102" s="144"/>
      <c r="W102" s="144"/>
      <c r="X102" s="144"/>
      <c r="Y102" s="38"/>
    </row>
    <row r="103">
      <c r="A103" s="38"/>
      <c r="B103" s="143"/>
      <c r="C103" s="144"/>
      <c r="D103" s="38"/>
      <c r="E103" s="38"/>
      <c r="F103" s="38"/>
      <c r="G103" s="144"/>
      <c r="H103" s="144"/>
      <c r="I103" s="144"/>
      <c r="J103" s="144"/>
      <c r="K103" s="144"/>
      <c r="L103" s="144"/>
      <c r="M103" s="144"/>
      <c r="N103" s="144"/>
      <c r="O103" s="144"/>
      <c r="P103" s="144"/>
      <c r="Q103" s="144"/>
      <c r="R103" s="144"/>
      <c r="S103" s="144"/>
      <c r="T103" s="144"/>
      <c r="U103" s="144"/>
      <c r="V103" s="144"/>
      <c r="W103" s="144"/>
      <c r="X103" s="144"/>
      <c r="Y103" s="38"/>
    </row>
    <row r="104">
      <c r="A104" s="38"/>
      <c r="B104" s="143"/>
      <c r="C104" s="144"/>
      <c r="D104" s="38"/>
      <c r="E104" s="38"/>
      <c r="F104" s="38"/>
      <c r="G104" s="144"/>
      <c r="H104" s="144"/>
      <c r="I104" s="144"/>
      <c r="J104" s="144"/>
      <c r="K104" s="144"/>
      <c r="L104" s="144"/>
      <c r="M104" s="144"/>
      <c r="N104" s="144"/>
      <c r="O104" s="144"/>
      <c r="P104" s="144"/>
      <c r="Q104" s="144"/>
      <c r="R104" s="144"/>
      <c r="S104" s="144"/>
      <c r="T104" s="144"/>
      <c r="U104" s="144"/>
      <c r="V104" s="144"/>
      <c r="W104" s="144"/>
      <c r="X104" s="144"/>
      <c r="Y104" s="38"/>
    </row>
    <row r="105">
      <c r="A105" s="38"/>
      <c r="B105" s="143"/>
      <c r="C105" s="144"/>
      <c r="D105" s="38"/>
      <c r="E105" s="38"/>
      <c r="F105" s="38"/>
      <c r="G105" s="144"/>
      <c r="H105" s="144"/>
      <c r="I105" s="144"/>
      <c r="J105" s="144"/>
      <c r="K105" s="144"/>
      <c r="L105" s="144"/>
      <c r="M105" s="144"/>
      <c r="N105" s="144"/>
      <c r="O105" s="144"/>
      <c r="P105" s="144"/>
      <c r="Q105" s="144"/>
      <c r="R105" s="144"/>
      <c r="S105" s="144"/>
      <c r="T105" s="144"/>
      <c r="U105" s="144"/>
      <c r="V105" s="144"/>
      <c r="W105" s="144"/>
      <c r="X105" s="144"/>
      <c r="Y105" s="38"/>
    </row>
    <row r="106">
      <c r="A106" s="38"/>
      <c r="B106" s="143"/>
      <c r="C106" s="144"/>
      <c r="D106" s="38"/>
      <c r="E106" s="38"/>
      <c r="F106" s="38"/>
      <c r="G106" s="144"/>
      <c r="H106" s="144"/>
      <c r="I106" s="144"/>
      <c r="J106" s="144"/>
      <c r="K106" s="144"/>
      <c r="L106" s="144"/>
      <c r="M106" s="144"/>
      <c r="N106" s="144"/>
      <c r="O106" s="144"/>
      <c r="P106" s="144"/>
      <c r="Q106" s="144"/>
      <c r="R106" s="144"/>
      <c r="S106" s="144"/>
      <c r="T106" s="144"/>
      <c r="U106" s="144"/>
      <c r="V106" s="144"/>
      <c r="W106" s="144"/>
      <c r="X106" s="144"/>
      <c r="Y106" s="38"/>
    </row>
    <row r="107">
      <c r="A107" s="38"/>
      <c r="B107" s="143"/>
      <c r="C107" s="144"/>
      <c r="D107" s="38"/>
      <c r="E107" s="38"/>
      <c r="F107" s="38"/>
      <c r="G107" s="144"/>
      <c r="H107" s="144"/>
      <c r="I107" s="144"/>
      <c r="J107" s="144"/>
      <c r="K107" s="144"/>
      <c r="L107" s="144"/>
      <c r="M107" s="144"/>
      <c r="N107" s="144"/>
      <c r="O107" s="144"/>
      <c r="P107" s="144"/>
      <c r="Q107" s="144"/>
      <c r="R107" s="144"/>
      <c r="S107" s="144"/>
      <c r="T107" s="144"/>
      <c r="U107" s="144"/>
      <c r="V107" s="144"/>
      <c r="W107" s="144"/>
      <c r="X107" s="144"/>
      <c r="Y107" s="38"/>
    </row>
    <row r="108">
      <c r="A108" s="38"/>
      <c r="B108" s="143"/>
      <c r="C108" s="144"/>
      <c r="D108" s="38"/>
      <c r="E108" s="38"/>
      <c r="F108" s="38"/>
      <c r="G108" s="144"/>
      <c r="H108" s="144"/>
      <c r="I108" s="144"/>
      <c r="J108" s="144"/>
      <c r="K108" s="144"/>
      <c r="L108" s="144"/>
      <c r="M108" s="144"/>
      <c r="N108" s="144"/>
      <c r="O108" s="144"/>
      <c r="P108" s="144"/>
      <c r="Q108" s="144"/>
      <c r="R108" s="144"/>
      <c r="S108" s="144"/>
      <c r="T108" s="144"/>
      <c r="U108" s="144"/>
      <c r="V108" s="144"/>
      <c r="W108" s="144"/>
      <c r="X108" s="144"/>
      <c r="Y108" s="38"/>
    </row>
    <row r="109">
      <c r="A109" s="38"/>
      <c r="B109" s="143"/>
      <c r="C109" s="144"/>
      <c r="D109" s="38"/>
      <c r="E109" s="38"/>
      <c r="F109" s="38"/>
      <c r="G109" s="144"/>
      <c r="H109" s="144"/>
      <c r="I109" s="144"/>
      <c r="J109" s="144"/>
      <c r="K109" s="144"/>
      <c r="L109" s="144"/>
      <c r="M109" s="144"/>
      <c r="N109" s="144"/>
      <c r="O109" s="144"/>
      <c r="P109" s="144"/>
      <c r="Q109" s="144"/>
      <c r="R109" s="144"/>
      <c r="S109" s="144"/>
      <c r="T109" s="144"/>
      <c r="U109" s="144"/>
      <c r="V109" s="144"/>
      <c r="W109" s="144"/>
      <c r="X109" s="144"/>
      <c r="Y109" s="38"/>
    </row>
    <row r="110">
      <c r="A110" s="38"/>
      <c r="B110" s="143"/>
      <c r="C110" s="144"/>
      <c r="D110" s="38"/>
      <c r="E110" s="38"/>
      <c r="F110" s="38"/>
      <c r="G110" s="144"/>
      <c r="H110" s="144"/>
      <c r="I110" s="144"/>
      <c r="J110" s="144"/>
      <c r="K110" s="144"/>
      <c r="L110" s="144"/>
      <c r="M110" s="144"/>
      <c r="N110" s="144"/>
      <c r="O110" s="144"/>
      <c r="P110" s="144"/>
      <c r="Q110" s="144"/>
      <c r="R110" s="144"/>
      <c r="S110" s="144"/>
      <c r="T110" s="144"/>
      <c r="U110" s="144"/>
      <c r="V110" s="144"/>
      <c r="W110" s="144"/>
      <c r="X110" s="144"/>
      <c r="Y110" s="38"/>
    </row>
    <row r="111">
      <c r="A111" s="38"/>
      <c r="B111" s="143"/>
      <c r="C111" s="144"/>
      <c r="D111" s="38"/>
      <c r="E111" s="38"/>
      <c r="F111" s="38"/>
      <c r="G111" s="144"/>
      <c r="H111" s="144"/>
      <c r="I111" s="144"/>
      <c r="J111" s="144"/>
      <c r="K111" s="144"/>
      <c r="L111" s="144"/>
      <c r="M111" s="144"/>
      <c r="N111" s="144"/>
      <c r="O111" s="144"/>
      <c r="P111" s="144"/>
      <c r="Q111" s="144"/>
      <c r="R111" s="144"/>
      <c r="S111" s="144"/>
      <c r="T111" s="144"/>
      <c r="U111" s="144"/>
      <c r="V111" s="144"/>
      <c r="W111" s="144"/>
      <c r="X111" s="144"/>
      <c r="Y111" s="38"/>
    </row>
    <row r="112">
      <c r="A112" s="38"/>
      <c r="B112" s="143"/>
      <c r="C112" s="144"/>
      <c r="D112" s="38"/>
      <c r="E112" s="38"/>
      <c r="F112" s="38"/>
      <c r="G112" s="144"/>
      <c r="H112" s="144"/>
      <c r="I112" s="144"/>
      <c r="J112" s="144"/>
      <c r="K112" s="144"/>
      <c r="L112" s="144"/>
      <c r="M112" s="144"/>
      <c r="N112" s="144"/>
      <c r="O112" s="144"/>
      <c r="P112" s="144"/>
      <c r="Q112" s="144"/>
      <c r="R112" s="144"/>
      <c r="S112" s="144"/>
      <c r="T112" s="144"/>
      <c r="U112" s="144"/>
      <c r="V112" s="144"/>
      <c r="W112" s="144"/>
      <c r="X112" s="144"/>
      <c r="Y112" s="38"/>
    </row>
    <row r="113">
      <c r="A113" s="38"/>
      <c r="B113" s="143"/>
      <c r="C113" s="144"/>
      <c r="D113" s="38"/>
      <c r="E113" s="38"/>
      <c r="F113" s="38"/>
      <c r="G113" s="144"/>
      <c r="H113" s="144"/>
      <c r="I113" s="144"/>
      <c r="J113" s="144"/>
      <c r="K113" s="144"/>
      <c r="L113" s="144"/>
      <c r="M113" s="144"/>
      <c r="N113" s="144"/>
      <c r="O113" s="144"/>
      <c r="P113" s="144"/>
      <c r="Q113" s="144"/>
      <c r="R113" s="144"/>
      <c r="S113" s="144"/>
      <c r="T113" s="144"/>
      <c r="U113" s="144"/>
      <c r="V113" s="144"/>
      <c r="W113" s="144"/>
      <c r="X113" s="144"/>
      <c r="Y113" s="38"/>
    </row>
    <row r="114">
      <c r="A114" s="38"/>
      <c r="B114" s="143"/>
      <c r="C114" s="144"/>
      <c r="D114" s="38"/>
      <c r="E114" s="38"/>
      <c r="F114" s="38"/>
      <c r="G114" s="144"/>
      <c r="H114" s="144"/>
      <c r="I114" s="144"/>
      <c r="J114" s="144"/>
      <c r="K114" s="144"/>
      <c r="L114" s="144"/>
      <c r="M114" s="144"/>
      <c r="N114" s="144"/>
      <c r="O114" s="144"/>
      <c r="P114" s="144"/>
      <c r="Q114" s="144"/>
      <c r="R114" s="144"/>
      <c r="S114" s="144"/>
      <c r="T114" s="144"/>
      <c r="U114" s="144"/>
      <c r="V114" s="144"/>
      <c r="W114" s="144"/>
      <c r="X114" s="144"/>
      <c r="Y114" s="38"/>
    </row>
    <row r="115">
      <c r="A115" s="38"/>
      <c r="B115" s="143"/>
      <c r="C115" s="144"/>
      <c r="D115" s="38"/>
      <c r="E115" s="38"/>
      <c r="F115" s="38"/>
      <c r="G115" s="144"/>
      <c r="H115" s="144"/>
      <c r="I115" s="144"/>
      <c r="J115" s="144"/>
      <c r="K115" s="144"/>
      <c r="L115" s="144"/>
      <c r="M115" s="144"/>
      <c r="N115" s="144"/>
      <c r="O115" s="144"/>
      <c r="P115" s="144"/>
      <c r="Q115" s="144"/>
      <c r="R115" s="144"/>
      <c r="S115" s="144"/>
      <c r="T115" s="144"/>
      <c r="U115" s="144"/>
      <c r="V115" s="144"/>
      <c r="W115" s="144"/>
      <c r="X115" s="144"/>
      <c r="Y115" s="38"/>
    </row>
    <row r="116">
      <c r="A116" s="38"/>
      <c r="B116" s="143"/>
      <c r="C116" s="144"/>
      <c r="D116" s="38"/>
      <c r="E116" s="38"/>
      <c r="F116" s="38"/>
      <c r="G116" s="144"/>
      <c r="H116" s="144"/>
      <c r="I116" s="144"/>
      <c r="J116" s="144"/>
      <c r="K116" s="144"/>
      <c r="L116" s="144"/>
      <c r="M116" s="144"/>
      <c r="N116" s="144"/>
      <c r="O116" s="144"/>
      <c r="P116" s="144"/>
      <c r="Q116" s="144"/>
      <c r="R116" s="144"/>
      <c r="S116" s="144"/>
      <c r="T116" s="144"/>
      <c r="U116" s="144"/>
      <c r="V116" s="144"/>
      <c r="W116" s="144"/>
      <c r="X116" s="144"/>
      <c r="Y116" s="38"/>
    </row>
    <row r="117">
      <c r="A117" s="38"/>
      <c r="B117" s="143"/>
      <c r="C117" s="144"/>
      <c r="D117" s="38"/>
      <c r="E117" s="38"/>
      <c r="F117" s="38"/>
      <c r="G117" s="144"/>
      <c r="H117" s="144"/>
      <c r="I117" s="144"/>
      <c r="J117" s="144"/>
      <c r="K117" s="144"/>
      <c r="L117" s="144"/>
      <c r="M117" s="144"/>
      <c r="N117" s="144"/>
      <c r="O117" s="144"/>
      <c r="P117" s="144"/>
      <c r="Q117" s="144"/>
      <c r="R117" s="144"/>
      <c r="S117" s="144"/>
      <c r="T117" s="144"/>
      <c r="U117" s="144"/>
      <c r="V117" s="144"/>
      <c r="W117" s="144"/>
      <c r="X117" s="144"/>
      <c r="Y117" s="38"/>
    </row>
    <row r="118">
      <c r="A118" s="38"/>
      <c r="B118" s="143"/>
      <c r="C118" s="144"/>
      <c r="D118" s="38"/>
      <c r="E118" s="38"/>
      <c r="F118" s="38"/>
      <c r="G118" s="144"/>
      <c r="H118" s="144"/>
      <c r="I118" s="144"/>
      <c r="J118" s="144"/>
      <c r="K118" s="144"/>
      <c r="L118" s="144"/>
      <c r="M118" s="144"/>
      <c r="N118" s="144"/>
      <c r="O118" s="144"/>
      <c r="P118" s="144"/>
      <c r="Q118" s="144"/>
      <c r="R118" s="144"/>
      <c r="S118" s="144"/>
      <c r="T118" s="144"/>
      <c r="U118" s="144"/>
      <c r="V118" s="144"/>
      <c r="W118" s="144"/>
      <c r="X118" s="144"/>
      <c r="Y118" s="38"/>
    </row>
    <row r="119">
      <c r="A119" s="38"/>
      <c r="B119" s="143"/>
      <c r="C119" s="144"/>
      <c r="D119" s="38"/>
      <c r="E119" s="38"/>
      <c r="F119" s="38"/>
      <c r="G119" s="144"/>
      <c r="H119" s="144"/>
      <c r="I119" s="144"/>
      <c r="J119" s="144"/>
      <c r="K119" s="144"/>
      <c r="L119" s="144"/>
      <c r="M119" s="144"/>
      <c r="N119" s="144"/>
      <c r="O119" s="144"/>
      <c r="P119" s="144"/>
      <c r="Q119" s="144"/>
      <c r="R119" s="144"/>
      <c r="S119" s="144"/>
      <c r="T119" s="144"/>
      <c r="U119" s="144"/>
      <c r="V119" s="144"/>
      <c r="W119" s="144"/>
      <c r="X119" s="144"/>
      <c r="Y119" s="38"/>
    </row>
    <row r="120">
      <c r="A120" s="38"/>
      <c r="B120" s="143"/>
      <c r="C120" s="144"/>
      <c r="D120" s="38"/>
      <c r="E120" s="38"/>
      <c r="F120" s="38"/>
      <c r="G120" s="144"/>
      <c r="H120" s="144"/>
      <c r="I120" s="144"/>
      <c r="J120" s="144"/>
      <c r="K120" s="144"/>
      <c r="L120" s="144"/>
      <c r="M120" s="144"/>
      <c r="N120" s="144"/>
      <c r="O120" s="144"/>
      <c r="P120" s="144"/>
      <c r="Q120" s="144"/>
      <c r="R120" s="144"/>
      <c r="S120" s="144"/>
      <c r="T120" s="144"/>
      <c r="U120" s="144"/>
      <c r="V120" s="144"/>
      <c r="W120" s="144"/>
      <c r="X120" s="144"/>
      <c r="Y120" s="38"/>
    </row>
    <row r="121">
      <c r="A121" s="38"/>
      <c r="B121" s="143"/>
      <c r="C121" s="144"/>
      <c r="D121" s="38"/>
      <c r="E121" s="38"/>
      <c r="F121" s="38"/>
      <c r="G121" s="144"/>
      <c r="H121" s="144"/>
      <c r="I121" s="144"/>
      <c r="J121" s="144"/>
      <c r="K121" s="144"/>
      <c r="L121" s="144"/>
      <c r="M121" s="144"/>
      <c r="N121" s="144"/>
      <c r="O121" s="144"/>
      <c r="P121" s="144"/>
      <c r="Q121" s="144"/>
      <c r="R121" s="144"/>
      <c r="S121" s="144"/>
      <c r="T121" s="144"/>
      <c r="U121" s="144"/>
      <c r="V121" s="144"/>
      <c r="W121" s="144"/>
      <c r="X121" s="144"/>
      <c r="Y121" s="38"/>
    </row>
    <row r="122">
      <c r="A122" s="38"/>
      <c r="B122" s="143"/>
      <c r="C122" s="144"/>
      <c r="D122" s="38"/>
      <c r="E122" s="38"/>
      <c r="F122" s="38"/>
      <c r="G122" s="144"/>
      <c r="H122" s="144"/>
      <c r="I122" s="144"/>
      <c r="J122" s="144"/>
      <c r="K122" s="144"/>
      <c r="L122" s="144"/>
      <c r="M122" s="144"/>
      <c r="N122" s="144"/>
      <c r="O122" s="144"/>
      <c r="P122" s="144"/>
      <c r="Q122" s="144"/>
      <c r="R122" s="144"/>
      <c r="S122" s="144"/>
      <c r="T122" s="144"/>
      <c r="U122" s="144"/>
      <c r="V122" s="144"/>
      <c r="W122" s="144"/>
      <c r="X122" s="144"/>
      <c r="Y122" s="38"/>
    </row>
    <row r="123">
      <c r="A123" s="38"/>
      <c r="B123" s="143"/>
      <c r="C123" s="144"/>
      <c r="D123" s="38"/>
      <c r="E123" s="38"/>
      <c r="F123" s="38"/>
      <c r="G123" s="144"/>
      <c r="H123" s="144"/>
      <c r="I123" s="144"/>
      <c r="J123" s="144"/>
      <c r="K123" s="144"/>
      <c r="L123" s="144"/>
      <c r="M123" s="144"/>
      <c r="N123" s="144"/>
      <c r="O123" s="144"/>
      <c r="P123" s="144"/>
      <c r="Q123" s="144"/>
      <c r="R123" s="144"/>
      <c r="S123" s="144"/>
      <c r="T123" s="144"/>
      <c r="U123" s="144"/>
      <c r="V123" s="144"/>
      <c r="W123" s="144"/>
      <c r="X123" s="144"/>
      <c r="Y123" s="38"/>
    </row>
    <row r="124">
      <c r="A124" s="38"/>
      <c r="B124" s="143"/>
      <c r="C124" s="144"/>
      <c r="D124" s="38"/>
      <c r="E124" s="38"/>
      <c r="F124" s="38"/>
      <c r="G124" s="144"/>
      <c r="H124" s="144"/>
      <c r="I124" s="144"/>
      <c r="J124" s="144"/>
      <c r="K124" s="144"/>
      <c r="L124" s="144"/>
      <c r="M124" s="144"/>
      <c r="N124" s="144"/>
      <c r="O124" s="144"/>
      <c r="P124" s="144"/>
      <c r="Q124" s="144"/>
      <c r="R124" s="144"/>
      <c r="S124" s="144"/>
      <c r="T124" s="144"/>
      <c r="U124" s="144"/>
      <c r="V124" s="144"/>
      <c r="W124" s="144"/>
      <c r="X124" s="144"/>
      <c r="Y124" s="38"/>
    </row>
    <row r="125">
      <c r="A125" s="38"/>
      <c r="B125" s="143"/>
      <c r="C125" s="144"/>
      <c r="D125" s="38"/>
      <c r="E125" s="38"/>
      <c r="F125" s="38"/>
      <c r="G125" s="144"/>
      <c r="H125" s="144"/>
      <c r="I125" s="144"/>
      <c r="J125" s="144"/>
      <c r="K125" s="144"/>
      <c r="L125" s="144"/>
      <c r="M125" s="144"/>
      <c r="N125" s="144"/>
      <c r="O125" s="144"/>
      <c r="P125" s="144"/>
      <c r="Q125" s="144"/>
      <c r="R125" s="144"/>
      <c r="S125" s="144"/>
      <c r="T125" s="144"/>
      <c r="U125" s="144"/>
      <c r="V125" s="144"/>
      <c r="W125" s="144"/>
      <c r="X125" s="144"/>
      <c r="Y125" s="38"/>
    </row>
    <row r="126">
      <c r="A126" s="38"/>
      <c r="B126" s="143"/>
      <c r="C126" s="144"/>
      <c r="D126" s="38"/>
      <c r="E126" s="38"/>
      <c r="F126" s="38"/>
      <c r="G126" s="144"/>
      <c r="H126" s="144"/>
      <c r="I126" s="144"/>
      <c r="J126" s="144"/>
      <c r="K126" s="144"/>
      <c r="L126" s="144"/>
      <c r="M126" s="144"/>
      <c r="N126" s="144"/>
      <c r="O126" s="144"/>
      <c r="P126" s="144"/>
      <c r="Q126" s="144"/>
      <c r="R126" s="144"/>
      <c r="S126" s="144"/>
      <c r="T126" s="144"/>
      <c r="U126" s="144"/>
      <c r="V126" s="144"/>
      <c r="W126" s="144"/>
      <c r="X126" s="144"/>
      <c r="Y126" s="38"/>
    </row>
    <row r="127">
      <c r="A127" s="38"/>
      <c r="B127" s="143"/>
      <c r="C127" s="144"/>
      <c r="D127" s="38"/>
      <c r="E127" s="38"/>
      <c r="F127" s="38"/>
      <c r="G127" s="144"/>
      <c r="H127" s="144"/>
      <c r="I127" s="144"/>
      <c r="J127" s="144"/>
      <c r="K127" s="144"/>
      <c r="L127" s="144"/>
      <c r="M127" s="144"/>
      <c r="N127" s="144"/>
      <c r="O127" s="144"/>
      <c r="P127" s="144"/>
      <c r="Q127" s="144"/>
      <c r="R127" s="144"/>
      <c r="S127" s="144"/>
      <c r="T127" s="144"/>
      <c r="U127" s="144"/>
      <c r="V127" s="144"/>
      <c r="W127" s="144"/>
      <c r="X127" s="144"/>
      <c r="Y127" s="38"/>
    </row>
    <row r="128">
      <c r="A128" s="38"/>
      <c r="B128" s="143"/>
      <c r="C128" s="144"/>
      <c r="D128" s="38"/>
      <c r="E128" s="38"/>
      <c r="F128" s="38"/>
      <c r="G128" s="144"/>
      <c r="H128" s="144"/>
      <c r="I128" s="144"/>
      <c r="J128" s="144"/>
      <c r="K128" s="144"/>
      <c r="L128" s="144"/>
      <c r="M128" s="144"/>
      <c r="N128" s="144"/>
      <c r="O128" s="144"/>
      <c r="P128" s="144"/>
      <c r="Q128" s="144"/>
      <c r="R128" s="144"/>
      <c r="S128" s="144"/>
      <c r="T128" s="144"/>
      <c r="U128" s="144"/>
      <c r="V128" s="144"/>
      <c r="W128" s="144"/>
      <c r="X128" s="144"/>
      <c r="Y128" s="38"/>
    </row>
    <row r="129">
      <c r="A129" s="38"/>
      <c r="B129" s="143"/>
      <c r="C129" s="144"/>
      <c r="D129" s="38"/>
      <c r="E129" s="38"/>
      <c r="F129" s="38"/>
      <c r="G129" s="144"/>
      <c r="H129" s="144"/>
      <c r="I129" s="144"/>
      <c r="J129" s="144"/>
      <c r="K129" s="144"/>
      <c r="L129" s="144"/>
      <c r="M129" s="144"/>
      <c r="N129" s="144"/>
      <c r="O129" s="144"/>
      <c r="P129" s="144"/>
      <c r="Q129" s="144"/>
      <c r="R129" s="144"/>
      <c r="S129" s="144"/>
      <c r="T129" s="144"/>
      <c r="U129" s="144"/>
      <c r="V129" s="144"/>
      <c r="W129" s="144"/>
      <c r="X129" s="144"/>
      <c r="Y129" s="38"/>
    </row>
    <row r="130">
      <c r="A130" s="38"/>
      <c r="B130" s="143"/>
      <c r="C130" s="144"/>
      <c r="D130" s="38"/>
      <c r="E130" s="38"/>
      <c r="F130" s="38"/>
      <c r="G130" s="144"/>
      <c r="H130" s="144"/>
      <c r="I130" s="144"/>
      <c r="J130" s="144"/>
      <c r="K130" s="144"/>
      <c r="L130" s="144"/>
      <c r="M130" s="144"/>
      <c r="N130" s="144"/>
      <c r="O130" s="144"/>
      <c r="P130" s="144"/>
      <c r="Q130" s="144"/>
      <c r="R130" s="144"/>
      <c r="S130" s="144"/>
      <c r="T130" s="144"/>
      <c r="U130" s="144"/>
      <c r="V130" s="144"/>
      <c r="W130" s="144"/>
      <c r="X130" s="144"/>
      <c r="Y130" s="38"/>
    </row>
    <row r="131">
      <c r="A131" s="38"/>
      <c r="B131" s="143"/>
      <c r="C131" s="144"/>
      <c r="D131" s="38"/>
      <c r="E131" s="38"/>
      <c r="F131" s="38"/>
      <c r="G131" s="144"/>
      <c r="H131" s="144"/>
      <c r="I131" s="144"/>
      <c r="J131" s="144"/>
      <c r="K131" s="144"/>
      <c r="L131" s="144"/>
      <c r="M131" s="144"/>
      <c r="N131" s="144"/>
      <c r="O131" s="144"/>
      <c r="P131" s="144"/>
      <c r="Q131" s="144"/>
      <c r="R131" s="144"/>
      <c r="S131" s="144"/>
      <c r="T131" s="144"/>
      <c r="U131" s="144"/>
      <c r="V131" s="144"/>
      <c r="W131" s="144"/>
      <c r="X131" s="144"/>
      <c r="Y131" s="38"/>
    </row>
    <row r="132">
      <c r="A132" s="38"/>
      <c r="B132" s="143"/>
      <c r="C132" s="144"/>
      <c r="D132" s="38"/>
      <c r="E132" s="38"/>
      <c r="F132" s="38"/>
      <c r="G132" s="144"/>
      <c r="H132" s="144"/>
      <c r="I132" s="144"/>
      <c r="J132" s="144"/>
      <c r="K132" s="144"/>
      <c r="L132" s="144"/>
      <c r="M132" s="144"/>
      <c r="N132" s="144"/>
      <c r="O132" s="144"/>
      <c r="P132" s="144"/>
      <c r="Q132" s="144"/>
      <c r="R132" s="144"/>
      <c r="S132" s="144"/>
      <c r="T132" s="144"/>
      <c r="U132" s="144"/>
      <c r="V132" s="144"/>
      <c r="W132" s="144"/>
      <c r="X132" s="144"/>
      <c r="Y132" s="38"/>
    </row>
    <row r="133">
      <c r="A133" s="38"/>
      <c r="B133" s="143"/>
      <c r="C133" s="144"/>
      <c r="D133" s="38"/>
      <c r="E133" s="38"/>
      <c r="F133" s="38"/>
      <c r="G133" s="144"/>
      <c r="H133" s="144"/>
      <c r="I133" s="144"/>
      <c r="J133" s="144"/>
      <c r="K133" s="144"/>
      <c r="L133" s="144"/>
      <c r="M133" s="144"/>
      <c r="N133" s="144"/>
      <c r="O133" s="144"/>
      <c r="P133" s="144"/>
      <c r="Q133" s="144"/>
      <c r="R133" s="144"/>
      <c r="S133" s="144"/>
      <c r="T133" s="144"/>
      <c r="U133" s="144"/>
      <c r="V133" s="144"/>
      <c r="W133" s="144"/>
      <c r="X133" s="144"/>
      <c r="Y133" s="38"/>
    </row>
    <row r="134">
      <c r="A134" s="38"/>
      <c r="B134" s="143"/>
      <c r="C134" s="144"/>
      <c r="D134" s="38"/>
      <c r="E134" s="38"/>
      <c r="F134" s="38"/>
      <c r="G134" s="144"/>
      <c r="H134" s="144"/>
      <c r="I134" s="144"/>
      <c r="J134" s="144"/>
      <c r="K134" s="144"/>
      <c r="L134" s="144"/>
      <c r="M134" s="144"/>
      <c r="N134" s="144"/>
      <c r="O134" s="144"/>
      <c r="P134" s="144"/>
      <c r="Q134" s="144"/>
      <c r="R134" s="144"/>
      <c r="S134" s="144"/>
      <c r="T134" s="144"/>
      <c r="U134" s="144"/>
      <c r="V134" s="144"/>
      <c r="W134" s="144"/>
      <c r="X134" s="144"/>
      <c r="Y134" s="38"/>
    </row>
    <row r="135">
      <c r="A135" s="38"/>
      <c r="B135" s="143"/>
      <c r="C135" s="144"/>
      <c r="D135" s="38"/>
      <c r="E135" s="38"/>
      <c r="F135" s="38"/>
      <c r="G135" s="144"/>
      <c r="H135" s="144"/>
      <c r="I135" s="144"/>
      <c r="J135" s="144"/>
      <c r="K135" s="144"/>
      <c r="L135" s="144"/>
      <c r="M135" s="144"/>
      <c r="N135" s="144"/>
      <c r="O135" s="144"/>
      <c r="P135" s="144"/>
      <c r="Q135" s="144"/>
      <c r="R135" s="144"/>
      <c r="S135" s="144"/>
      <c r="T135" s="144"/>
      <c r="U135" s="144"/>
      <c r="V135" s="144"/>
      <c r="W135" s="144"/>
      <c r="X135" s="144"/>
      <c r="Y135" s="38"/>
    </row>
    <row r="136">
      <c r="A136" s="38"/>
      <c r="B136" s="143"/>
      <c r="C136" s="144"/>
      <c r="D136" s="38"/>
      <c r="E136" s="38"/>
      <c r="F136" s="38"/>
      <c r="G136" s="144"/>
      <c r="H136" s="144"/>
      <c r="I136" s="144"/>
      <c r="J136" s="144"/>
      <c r="K136" s="144"/>
      <c r="L136" s="144"/>
      <c r="M136" s="144"/>
      <c r="N136" s="144"/>
      <c r="O136" s="144"/>
      <c r="P136" s="144"/>
      <c r="Q136" s="144"/>
      <c r="R136" s="144"/>
      <c r="S136" s="144"/>
      <c r="T136" s="144"/>
      <c r="U136" s="144"/>
      <c r="V136" s="144"/>
      <c r="W136" s="144"/>
      <c r="X136" s="144"/>
      <c r="Y136" s="38"/>
    </row>
    <row r="137">
      <c r="A137" s="38"/>
      <c r="B137" s="143"/>
      <c r="C137" s="144"/>
      <c r="D137" s="38"/>
      <c r="E137" s="38"/>
      <c r="F137" s="38"/>
      <c r="G137" s="144"/>
      <c r="H137" s="144"/>
      <c r="I137" s="144"/>
      <c r="J137" s="144"/>
      <c r="K137" s="144"/>
      <c r="L137" s="144"/>
      <c r="M137" s="144"/>
      <c r="N137" s="144"/>
      <c r="O137" s="144"/>
      <c r="P137" s="144"/>
      <c r="Q137" s="144"/>
      <c r="R137" s="144"/>
      <c r="S137" s="144"/>
      <c r="T137" s="144"/>
      <c r="U137" s="144"/>
      <c r="V137" s="144"/>
      <c r="W137" s="144"/>
      <c r="X137" s="144"/>
      <c r="Y137" s="38"/>
    </row>
    <row r="138">
      <c r="A138" s="38"/>
      <c r="B138" s="143"/>
      <c r="C138" s="144"/>
      <c r="D138" s="38"/>
      <c r="E138" s="38"/>
      <c r="F138" s="38"/>
      <c r="G138" s="144"/>
      <c r="H138" s="144"/>
      <c r="I138" s="144"/>
      <c r="J138" s="144"/>
      <c r="K138" s="144"/>
      <c r="L138" s="144"/>
      <c r="M138" s="144"/>
      <c r="N138" s="144"/>
      <c r="O138" s="144"/>
      <c r="P138" s="144"/>
      <c r="Q138" s="144"/>
      <c r="R138" s="144"/>
      <c r="S138" s="144"/>
      <c r="T138" s="144"/>
      <c r="U138" s="144"/>
      <c r="V138" s="144"/>
      <c r="W138" s="144"/>
      <c r="X138" s="144"/>
      <c r="Y138" s="38"/>
    </row>
    <row r="139">
      <c r="A139" s="38"/>
      <c r="B139" s="143"/>
      <c r="C139" s="38"/>
      <c r="D139" s="38"/>
      <c r="E139" s="38"/>
      <c r="F139" s="38"/>
      <c r="G139" s="38"/>
      <c r="H139" s="38"/>
      <c r="I139" s="38"/>
      <c r="J139" s="38"/>
      <c r="K139" s="38"/>
      <c r="L139" s="38"/>
      <c r="M139" s="38"/>
      <c r="N139" s="38"/>
      <c r="O139" s="38"/>
      <c r="P139" s="38"/>
      <c r="Q139" s="38"/>
      <c r="R139" s="38"/>
      <c r="S139" s="38"/>
      <c r="T139" s="38"/>
      <c r="U139" s="38"/>
      <c r="V139" s="38"/>
      <c r="W139" s="38"/>
      <c r="X139" s="38"/>
      <c r="Y139" s="38"/>
    </row>
    <row r="140">
      <c r="A140" s="38"/>
      <c r="B140" s="143"/>
      <c r="C140" s="38"/>
      <c r="D140" s="38"/>
      <c r="E140" s="38"/>
      <c r="F140" s="38"/>
      <c r="G140" s="38"/>
      <c r="H140" s="38"/>
      <c r="I140" s="38"/>
      <c r="J140" s="38"/>
      <c r="K140" s="38"/>
      <c r="L140" s="38"/>
      <c r="M140" s="38"/>
      <c r="N140" s="38"/>
      <c r="O140" s="38"/>
      <c r="P140" s="38"/>
      <c r="Q140" s="38"/>
      <c r="R140" s="38"/>
      <c r="S140" s="38"/>
      <c r="T140" s="38"/>
      <c r="U140" s="38"/>
      <c r="V140" s="38"/>
      <c r="W140" s="38"/>
      <c r="X140" s="38"/>
      <c r="Y140" s="38"/>
    </row>
    <row r="141">
      <c r="A141" s="38"/>
      <c r="B141" s="143"/>
      <c r="C141" s="38"/>
      <c r="D141" s="38"/>
      <c r="E141" s="38"/>
      <c r="F141" s="38"/>
      <c r="G141" s="38"/>
      <c r="H141" s="38"/>
      <c r="I141" s="38"/>
      <c r="J141" s="38"/>
      <c r="K141" s="38"/>
      <c r="L141" s="38"/>
      <c r="M141" s="38"/>
      <c r="N141" s="38"/>
      <c r="O141" s="38"/>
      <c r="P141" s="38"/>
      <c r="Q141" s="38"/>
      <c r="R141" s="38"/>
      <c r="S141" s="38"/>
      <c r="T141" s="38"/>
      <c r="U141" s="38"/>
      <c r="V141" s="38"/>
      <c r="W141" s="38"/>
      <c r="X141" s="38"/>
      <c r="Y141" s="38"/>
    </row>
    <row r="142">
      <c r="A142" s="38"/>
      <c r="B142" s="143"/>
      <c r="C142" s="38"/>
      <c r="D142" s="38"/>
      <c r="E142" s="38"/>
      <c r="F142" s="38"/>
      <c r="G142" s="38"/>
      <c r="H142" s="38"/>
      <c r="I142" s="38"/>
      <c r="J142" s="38"/>
      <c r="K142" s="38"/>
      <c r="L142" s="38"/>
      <c r="M142" s="38"/>
      <c r="N142" s="38"/>
      <c r="O142" s="38"/>
      <c r="P142" s="38"/>
      <c r="Q142" s="38"/>
      <c r="R142" s="38"/>
      <c r="S142" s="38"/>
      <c r="T142" s="38"/>
      <c r="U142" s="38"/>
      <c r="V142" s="38"/>
      <c r="W142" s="38"/>
      <c r="X142" s="38"/>
      <c r="Y142" s="38"/>
    </row>
    <row r="143">
      <c r="A143" s="38"/>
      <c r="B143" s="143"/>
      <c r="C143" s="38"/>
      <c r="D143" s="38"/>
      <c r="E143" s="38"/>
      <c r="F143" s="38"/>
      <c r="G143" s="38"/>
      <c r="H143" s="38"/>
      <c r="I143" s="38"/>
      <c r="J143" s="38"/>
      <c r="K143" s="38"/>
      <c r="L143" s="38"/>
      <c r="M143" s="38"/>
      <c r="N143" s="38"/>
      <c r="O143" s="38"/>
      <c r="P143" s="38"/>
      <c r="Q143" s="38"/>
      <c r="R143" s="38"/>
      <c r="S143" s="38"/>
      <c r="T143" s="38"/>
      <c r="U143" s="38"/>
      <c r="V143" s="38"/>
      <c r="W143" s="38"/>
      <c r="X143" s="38"/>
      <c r="Y143" s="38"/>
    </row>
    <row r="144">
      <c r="A144" s="38"/>
      <c r="B144" s="143"/>
      <c r="C144" s="38"/>
      <c r="D144" s="38"/>
      <c r="E144" s="38"/>
      <c r="F144" s="38"/>
      <c r="G144" s="38"/>
      <c r="H144" s="38"/>
      <c r="I144" s="38"/>
      <c r="J144" s="38"/>
      <c r="K144" s="38"/>
      <c r="L144" s="38"/>
      <c r="M144" s="38"/>
      <c r="N144" s="38"/>
      <c r="O144" s="38"/>
      <c r="P144" s="38"/>
      <c r="Q144" s="38"/>
      <c r="R144" s="38"/>
      <c r="S144" s="38"/>
      <c r="T144" s="38"/>
      <c r="U144" s="38"/>
      <c r="V144" s="38"/>
      <c r="W144" s="38"/>
      <c r="X144" s="38"/>
      <c r="Y144" s="38"/>
    </row>
    <row r="145">
      <c r="A145" s="38"/>
      <c r="B145" s="143"/>
      <c r="C145" s="38"/>
      <c r="D145" s="38"/>
      <c r="E145" s="38"/>
      <c r="F145" s="38"/>
      <c r="G145" s="38"/>
      <c r="H145" s="38"/>
      <c r="I145" s="38"/>
      <c r="J145" s="38"/>
      <c r="K145" s="38"/>
      <c r="L145" s="38"/>
      <c r="M145" s="38"/>
      <c r="N145" s="38"/>
      <c r="O145" s="38"/>
      <c r="P145" s="38"/>
      <c r="Q145" s="38"/>
      <c r="R145" s="38"/>
      <c r="S145" s="38"/>
      <c r="T145" s="38"/>
      <c r="U145" s="38"/>
      <c r="V145" s="38"/>
      <c r="W145" s="38"/>
      <c r="X145" s="38"/>
      <c r="Y145" s="38"/>
    </row>
    <row r="146">
      <c r="A146" s="38"/>
      <c r="B146" s="143"/>
      <c r="C146" s="38"/>
      <c r="D146" s="38"/>
      <c r="E146" s="38"/>
      <c r="F146" s="38"/>
      <c r="G146" s="38"/>
      <c r="H146" s="38"/>
      <c r="I146" s="38"/>
      <c r="J146" s="38"/>
      <c r="K146" s="38"/>
      <c r="L146" s="38"/>
      <c r="M146" s="38"/>
      <c r="N146" s="38"/>
      <c r="O146" s="38"/>
      <c r="P146" s="38"/>
      <c r="Q146" s="38"/>
      <c r="R146" s="38"/>
      <c r="S146" s="38"/>
      <c r="T146" s="38"/>
      <c r="U146" s="38"/>
      <c r="V146" s="38"/>
      <c r="W146" s="38"/>
      <c r="X146" s="38"/>
      <c r="Y146" s="38"/>
    </row>
    <row r="147">
      <c r="A147" s="38"/>
      <c r="B147" s="143"/>
      <c r="C147" s="38"/>
      <c r="D147" s="38"/>
      <c r="E147" s="38"/>
      <c r="F147" s="38"/>
      <c r="G147" s="38"/>
      <c r="H147" s="38"/>
      <c r="I147" s="38"/>
      <c r="J147" s="38"/>
      <c r="K147" s="38"/>
      <c r="L147" s="38"/>
      <c r="M147" s="38"/>
      <c r="N147" s="38"/>
      <c r="O147" s="38"/>
      <c r="P147" s="38"/>
      <c r="Q147" s="38"/>
      <c r="R147" s="38"/>
      <c r="S147" s="38"/>
      <c r="T147" s="38"/>
      <c r="U147" s="38"/>
      <c r="V147" s="38"/>
      <c r="W147" s="38"/>
      <c r="X147" s="38"/>
      <c r="Y147" s="38"/>
    </row>
    <row r="148">
      <c r="A148" s="38"/>
      <c r="B148" s="143"/>
      <c r="C148" s="38"/>
      <c r="D148" s="38"/>
      <c r="E148" s="38"/>
      <c r="F148" s="38"/>
      <c r="G148" s="38"/>
      <c r="H148" s="38"/>
      <c r="I148" s="38"/>
      <c r="J148" s="38"/>
      <c r="K148" s="38"/>
      <c r="L148" s="38"/>
      <c r="M148" s="38"/>
      <c r="N148" s="38"/>
      <c r="O148" s="38"/>
      <c r="P148" s="38"/>
      <c r="Q148" s="38"/>
      <c r="R148" s="38"/>
      <c r="S148" s="38"/>
      <c r="T148" s="38"/>
      <c r="U148" s="38"/>
      <c r="V148" s="38"/>
      <c r="W148" s="38"/>
      <c r="X148" s="38"/>
      <c r="Y148" s="38"/>
    </row>
    <row r="149">
      <c r="A149" s="38"/>
      <c r="B149" s="143"/>
      <c r="C149" s="38"/>
      <c r="D149" s="38"/>
      <c r="E149" s="38"/>
      <c r="F149" s="38"/>
      <c r="G149" s="38"/>
      <c r="H149" s="38"/>
      <c r="I149" s="38"/>
      <c r="J149" s="38"/>
      <c r="K149" s="38"/>
      <c r="L149" s="38"/>
      <c r="M149" s="38"/>
      <c r="N149" s="38"/>
      <c r="O149" s="38"/>
      <c r="P149" s="38"/>
      <c r="Q149" s="38"/>
      <c r="R149" s="38"/>
      <c r="S149" s="38"/>
      <c r="T149" s="38"/>
      <c r="U149" s="38"/>
      <c r="V149" s="38"/>
      <c r="W149" s="38"/>
      <c r="X149" s="38"/>
      <c r="Y149" s="38"/>
    </row>
    <row r="150">
      <c r="A150" s="38"/>
      <c r="B150" s="143"/>
      <c r="C150" s="38"/>
      <c r="D150" s="38"/>
      <c r="E150" s="38"/>
      <c r="F150" s="38"/>
      <c r="G150" s="38"/>
      <c r="H150" s="38"/>
      <c r="I150" s="38"/>
      <c r="J150" s="38"/>
      <c r="K150" s="38"/>
      <c r="L150" s="38"/>
      <c r="M150" s="38"/>
      <c r="N150" s="38"/>
      <c r="O150" s="38"/>
      <c r="P150" s="38"/>
      <c r="Q150" s="38"/>
      <c r="R150" s="38"/>
      <c r="S150" s="38"/>
      <c r="T150" s="38"/>
      <c r="U150" s="38"/>
      <c r="V150" s="38"/>
      <c r="W150" s="38"/>
      <c r="X150" s="38"/>
      <c r="Y150" s="38"/>
    </row>
    <row r="151">
      <c r="A151" s="38"/>
      <c r="B151" s="143"/>
      <c r="C151" s="38"/>
      <c r="D151" s="38"/>
      <c r="E151" s="38"/>
      <c r="F151" s="38"/>
      <c r="G151" s="38"/>
      <c r="H151" s="38"/>
      <c r="I151" s="38"/>
      <c r="J151" s="38"/>
      <c r="K151" s="38"/>
      <c r="L151" s="38"/>
      <c r="M151" s="38"/>
      <c r="N151" s="38"/>
      <c r="O151" s="38"/>
      <c r="P151" s="38"/>
      <c r="Q151" s="38"/>
      <c r="R151" s="38"/>
      <c r="S151" s="38"/>
      <c r="T151" s="38"/>
      <c r="U151" s="38"/>
      <c r="V151" s="38"/>
      <c r="W151" s="38"/>
      <c r="X151" s="38"/>
      <c r="Y151" s="38"/>
    </row>
    <row r="152">
      <c r="A152" s="38"/>
      <c r="B152" s="143"/>
      <c r="C152" s="38"/>
      <c r="D152" s="38"/>
      <c r="E152" s="38"/>
      <c r="F152" s="38"/>
      <c r="G152" s="38"/>
      <c r="H152" s="38"/>
      <c r="I152" s="38"/>
      <c r="J152" s="38"/>
      <c r="K152" s="38"/>
      <c r="L152" s="38"/>
      <c r="M152" s="38"/>
      <c r="N152" s="38"/>
      <c r="O152" s="38"/>
      <c r="P152" s="38"/>
      <c r="Q152" s="38"/>
      <c r="R152" s="38"/>
      <c r="S152" s="38"/>
      <c r="T152" s="38"/>
      <c r="U152" s="38"/>
      <c r="V152" s="38"/>
      <c r="W152" s="38"/>
      <c r="X152" s="38"/>
      <c r="Y152" s="38"/>
    </row>
    <row r="153">
      <c r="A153" s="38"/>
      <c r="B153" s="143"/>
      <c r="C153" s="38"/>
      <c r="D153" s="38"/>
      <c r="E153" s="38"/>
      <c r="F153" s="38"/>
      <c r="G153" s="38"/>
      <c r="H153" s="38"/>
      <c r="I153" s="38"/>
      <c r="J153" s="38"/>
      <c r="K153" s="38"/>
      <c r="L153" s="38"/>
      <c r="M153" s="38"/>
      <c r="N153" s="38"/>
      <c r="O153" s="38"/>
      <c r="P153" s="38"/>
      <c r="Q153" s="38"/>
      <c r="R153" s="38"/>
      <c r="S153" s="38"/>
      <c r="T153" s="38"/>
      <c r="U153" s="38"/>
      <c r="V153" s="38"/>
      <c r="W153" s="38"/>
      <c r="X153" s="38"/>
      <c r="Y153" s="38"/>
    </row>
    <row r="154">
      <c r="A154" s="38"/>
      <c r="B154" s="143"/>
      <c r="C154" s="38"/>
      <c r="D154" s="38"/>
      <c r="E154" s="38"/>
      <c r="F154" s="38"/>
      <c r="G154" s="38"/>
      <c r="H154" s="38"/>
      <c r="I154" s="38"/>
      <c r="J154" s="38"/>
      <c r="K154" s="38"/>
      <c r="L154" s="38"/>
      <c r="M154" s="38"/>
      <c r="N154" s="38"/>
      <c r="O154" s="38"/>
      <c r="P154" s="38"/>
      <c r="Q154" s="38"/>
      <c r="R154" s="38"/>
      <c r="S154" s="38"/>
      <c r="T154" s="38"/>
      <c r="U154" s="38"/>
      <c r="V154" s="38"/>
      <c r="W154" s="38"/>
      <c r="X154" s="38"/>
      <c r="Y154" s="38"/>
    </row>
    <row r="155">
      <c r="A155" s="38"/>
      <c r="B155" s="143"/>
      <c r="C155" s="38"/>
      <c r="D155" s="38"/>
      <c r="E155" s="38"/>
      <c r="F155" s="38"/>
      <c r="G155" s="38"/>
      <c r="H155" s="38"/>
      <c r="I155" s="38"/>
      <c r="J155" s="38"/>
      <c r="K155" s="38"/>
      <c r="L155" s="38"/>
      <c r="M155" s="38"/>
      <c r="N155" s="38"/>
      <c r="O155" s="38"/>
      <c r="P155" s="38"/>
      <c r="Q155" s="38"/>
      <c r="R155" s="38"/>
      <c r="S155" s="38"/>
      <c r="T155" s="38"/>
      <c r="U155" s="38"/>
      <c r="V155" s="38"/>
      <c r="W155" s="38"/>
      <c r="X155" s="38"/>
      <c r="Y155" s="38"/>
    </row>
    <row r="156">
      <c r="A156" s="38"/>
      <c r="B156" s="143"/>
      <c r="C156" s="38"/>
      <c r="D156" s="38"/>
      <c r="E156" s="38"/>
      <c r="F156" s="38"/>
      <c r="G156" s="38"/>
      <c r="H156" s="38"/>
      <c r="I156" s="38"/>
      <c r="J156" s="38"/>
      <c r="K156" s="38"/>
      <c r="L156" s="38"/>
      <c r="M156" s="38"/>
      <c r="N156" s="38"/>
      <c r="O156" s="38"/>
      <c r="P156" s="38"/>
      <c r="Q156" s="38"/>
      <c r="R156" s="38"/>
      <c r="S156" s="38"/>
      <c r="T156" s="38"/>
      <c r="U156" s="38"/>
      <c r="V156" s="38"/>
      <c r="W156" s="38"/>
      <c r="X156" s="38"/>
      <c r="Y156" s="38"/>
    </row>
    <row r="157">
      <c r="A157" s="38"/>
      <c r="B157" s="143"/>
      <c r="C157" s="38"/>
      <c r="D157" s="38"/>
      <c r="E157" s="38"/>
      <c r="F157" s="38"/>
      <c r="G157" s="38"/>
      <c r="H157" s="38"/>
      <c r="I157" s="38"/>
      <c r="J157" s="38"/>
      <c r="K157" s="38"/>
      <c r="L157" s="38"/>
      <c r="M157" s="38"/>
      <c r="N157" s="38"/>
      <c r="O157" s="38"/>
      <c r="P157" s="38"/>
      <c r="Q157" s="38"/>
      <c r="R157" s="38"/>
      <c r="S157" s="38"/>
      <c r="T157" s="38"/>
      <c r="U157" s="38"/>
      <c r="V157" s="38"/>
      <c r="W157" s="38"/>
      <c r="X157" s="38"/>
      <c r="Y157" s="38"/>
    </row>
    <row r="158">
      <c r="A158" s="38"/>
      <c r="B158" s="143"/>
      <c r="C158" s="38"/>
      <c r="D158" s="38"/>
      <c r="E158" s="38"/>
      <c r="F158" s="38"/>
      <c r="G158" s="38"/>
      <c r="H158" s="38"/>
      <c r="I158" s="38"/>
      <c r="J158" s="38"/>
      <c r="K158" s="38"/>
      <c r="L158" s="38"/>
      <c r="M158" s="38"/>
      <c r="N158" s="38"/>
      <c r="O158" s="38"/>
      <c r="P158" s="38"/>
      <c r="Q158" s="38"/>
      <c r="R158" s="38"/>
      <c r="S158" s="38"/>
      <c r="T158" s="38"/>
      <c r="U158" s="38"/>
      <c r="V158" s="38"/>
      <c r="W158" s="38"/>
      <c r="X158" s="38"/>
      <c r="Y158" s="38"/>
    </row>
    <row r="159">
      <c r="A159" s="38"/>
      <c r="B159" s="143"/>
      <c r="C159" s="38"/>
      <c r="D159" s="38"/>
      <c r="E159" s="38"/>
      <c r="F159" s="38"/>
      <c r="G159" s="38"/>
      <c r="H159" s="38"/>
      <c r="I159" s="38"/>
      <c r="J159" s="38"/>
      <c r="K159" s="38"/>
      <c r="L159" s="38"/>
      <c r="M159" s="38"/>
      <c r="N159" s="38"/>
      <c r="O159" s="38"/>
      <c r="P159" s="38"/>
      <c r="Q159" s="38"/>
      <c r="R159" s="38"/>
      <c r="S159" s="38"/>
      <c r="T159" s="38"/>
      <c r="U159" s="38"/>
      <c r="V159" s="38"/>
      <c r="W159" s="38"/>
      <c r="X159" s="38"/>
      <c r="Y159" s="38"/>
    </row>
    <row r="160">
      <c r="A160" s="38"/>
      <c r="B160" s="143"/>
      <c r="C160" s="38"/>
      <c r="D160" s="38"/>
      <c r="E160" s="38"/>
      <c r="F160" s="38"/>
      <c r="G160" s="38"/>
      <c r="H160" s="38"/>
      <c r="I160" s="38"/>
      <c r="J160" s="38"/>
      <c r="K160" s="38"/>
      <c r="L160" s="38"/>
      <c r="M160" s="38"/>
      <c r="N160" s="38"/>
      <c r="O160" s="38"/>
      <c r="P160" s="38"/>
      <c r="Q160" s="38"/>
      <c r="R160" s="38"/>
      <c r="S160" s="38"/>
      <c r="T160" s="38"/>
      <c r="U160" s="38"/>
      <c r="V160" s="38"/>
      <c r="W160" s="38"/>
      <c r="X160" s="38"/>
      <c r="Y160" s="38"/>
    </row>
    <row r="161">
      <c r="A161" s="38"/>
      <c r="B161" s="143"/>
      <c r="C161" s="38"/>
      <c r="D161" s="38"/>
      <c r="E161" s="38"/>
      <c r="F161" s="38"/>
      <c r="G161" s="38"/>
      <c r="H161" s="38"/>
      <c r="I161" s="38"/>
      <c r="J161" s="38"/>
      <c r="K161" s="38"/>
      <c r="L161" s="38"/>
      <c r="M161" s="38"/>
      <c r="N161" s="38"/>
      <c r="O161" s="38"/>
      <c r="P161" s="38"/>
      <c r="Q161" s="38"/>
      <c r="R161" s="38"/>
      <c r="S161" s="38"/>
      <c r="T161" s="38"/>
      <c r="U161" s="38"/>
      <c r="V161" s="38"/>
      <c r="W161" s="38"/>
      <c r="X161" s="38"/>
      <c r="Y161" s="38"/>
    </row>
    <row r="162">
      <c r="A162" s="38"/>
      <c r="B162" s="143"/>
      <c r="C162" s="38"/>
      <c r="D162" s="38"/>
      <c r="E162" s="38"/>
      <c r="F162" s="38"/>
      <c r="G162" s="38"/>
      <c r="H162" s="38"/>
      <c r="I162" s="38"/>
      <c r="J162" s="38"/>
      <c r="K162" s="38"/>
      <c r="L162" s="38"/>
      <c r="M162" s="38"/>
      <c r="N162" s="38"/>
      <c r="O162" s="38"/>
      <c r="P162" s="38"/>
      <c r="Q162" s="38"/>
      <c r="R162" s="38"/>
      <c r="S162" s="38"/>
      <c r="T162" s="38"/>
      <c r="U162" s="38"/>
      <c r="V162" s="38"/>
      <c r="W162" s="38"/>
      <c r="X162" s="38"/>
      <c r="Y162" s="38"/>
    </row>
    <row r="163">
      <c r="A163" s="38"/>
      <c r="B163" s="143"/>
      <c r="C163" s="38"/>
      <c r="D163" s="38"/>
      <c r="E163" s="38"/>
      <c r="F163" s="38"/>
      <c r="G163" s="38"/>
      <c r="H163" s="38"/>
      <c r="I163" s="38"/>
      <c r="J163" s="38"/>
      <c r="K163" s="38"/>
      <c r="L163" s="38"/>
      <c r="M163" s="38"/>
      <c r="N163" s="38"/>
      <c r="O163" s="38"/>
      <c r="P163" s="38"/>
      <c r="Q163" s="38"/>
      <c r="R163" s="38"/>
      <c r="S163" s="38"/>
      <c r="T163" s="38"/>
      <c r="U163" s="38"/>
      <c r="V163" s="38"/>
      <c r="W163" s="38"/>
      <c r="X163" s="38"/>
      <c r="Y163" s="38"/>
    </row>
    <row r="164">
      <c r="A164" s="38"/>
      <c r="B164" s="143"/>
      <c r="C164" s="38"/>
      <c r="D164" s="38"/>
      <c r="E164" s="38"/>
      <c r="F164" s="38"/>
      <c r="G164" s="38"/>
      <c r="H164" s="38"/>
      <c r="I164" s="38"/>
      <c r="J164" s="38"/>
      <c r="K164" s="38"/>
      <c r="L164" s="38"/>
      <c r="M164" s="38"/>
      <c r="N164" s="38"/>
      <c r="O164" s="38"/>
      <c r="P164" s="38"/>
      <c r="Q164" s="38"/>
      <c r="R164" s="38"/>
      <c r="S164" s="38"/>
      <c r="T164" s="38"/>
      <c r="U164" s="38"/>
      <c r="V164" s="38"/>
      <c r="W164" s="38"/>
      <c r="X164" s="38"/>
      <c r="Y164" s="38"/>
    </row>
    <row r="165">
      <c r="A165" s="38"/>
      <c r="B165" s="143"/>
      <c r="C165" s="38"/>
      <c r="D165" s="38"/>
      <c r="E165" s="38"/>
      <c r="F165" s="38"/>
      <c r="G165" s="38"/>
      <c r="H165" s="38"/>
      <c r="I165" s="38"/>
      <c r="J165" s="38"/>
      <c r="K165" s="38"/>
      <c r="L165" s="38"/>
      <c r="M165" s="38"/>
      <c r="N165" s="38"/>
      <c r="O165" s="38"/>
      <c r="P165" s="38"/>
      <c r="Q165" s="38"/>
      <c r="R165" s="38"/>
      <c r="S165" s="38"/>
      <c r="T165" s="38"/>
      <c r="U165" s="38"/>
      <c r="V165" s="38"/>
      <c r="W165" s="38"/>
      <c r="X165" s="38"/>
      <c r="Y165" s="38"/>
    </row>
    <row r="166">
      <c r="A166" s="38"/>
      <c r="B166" s="143"/>
      <c r="C166" s="38"/>
      <c r="D166" s="38"/>
      <c r="E166" s="38"/>
      <c r="F166" s="38"/>
      <c r="G166" s="38"/>
      <c r="H166" s="38"/>
      <c r="I166" s="38"/>
      <c r="J166" s="38"/>
      <c r="K166" s="38"/>
      <c r="L166" s="38"/>
      <c r="M166" s="38"/>
      <c r="N166" s="38"/>
      <c r="O166" s="38"/>
      <c r="P166" s="38"/>
      <c r="Q166" s="38"/>
      <c r="R166" s="38"/>
      <c r="S166" s="38"/>
      <c r="T166" s="38"/>
      <c r="U166" s="38"/>
      <c r="V166" s="38"/>
      <c r="W166" s="38"/>
      <c r="X166" s="38"/>
      <c r="Y166" s="38"/>
    </row>
    <row r="167">
      <c r="A167" s="38"/>
      <c r="B167" s="143"/>
      <c r="C167" s="38"/>
      <c r="D167" s="38"/>
      <c r="E167" s="38"/>
      <c r="F167" s="38"/>
      <c r="G167" s="38"/>
      <c r="H167" s="38"/>
      <c r="I167" s="38"/>
      <c r="J167" s="38"/>
      <c r="K167" s="38"/>
      <c r="L167" s="38"/>
      <c r="M167" s="38"/>
      <c r="N167" s="38"/>
      <c r="O167" s="38"/>
      <c r="P167" s="38"/>
      <c r="Q167" s="38"/>
      <c r="R167" s="38"/>
      <c r="S167" s="38"/>
      <c r="T167" s="38"/>
      <c r="U167" s="38"/>
      <c r="V167" s="38"/>
      <c r="W167" s="38"/>
      <c r="X167" s="38"/>
      <c r="Y167" s="38"/>
    </row>
    <row r="168">
      <c r="A168" s="38"/>
      <c r="B168" s="143"/>
      <c r="C168" s="38"/>
      <c r="D168" s="38"/>
      <c r="E168" s="38"/>
      <c r="F168" s="38"/>
      <c r="G168" s="38"/>
      <c r="H168" s="38"/>
      <c r="I168" s="38"/>
      <c r="J168" s="38"/>
      <c r="K168" s="38"/>
      <c r="L168" s="38"/>
      <c r="M168" s="38"/>
      <c r="N168" s="38"/>
      <c r="O168" s="38"/>
      <c r="P168" s="38"/>
      <c r="Q168" s="38"/>
      <c r="R168" s="38"/>
      <c r="S168" s="38"/>
      <c r="T168" s="38"/>
      <c r="U168" s="38"/>
      <c r="V168" s="38"/>
      <c r="W168" s="38"/>
      <c r="X168" s="38"/>
      <c r="Y168" s="38"/>
    </row>
    <row r="169">
      <c r="A169" s="38"/>
      <c r="B169" s="143"/>
      <c r="C169" s="38"/>
      <c r="D169" s="38"/>
      <c r="E169" s="38"/>
      <c r="F169" s="38"/>
      <c r="G169" s="38"/>
      <c r="H169" s="38"/>
      <c r="I169" s="38"/>
      <c r="J169" s="38"/>
      <c r="K169" s="38"/>
      <c r="L169" s="38"/>
      <c r="M169" s="38"/>
      <c r="N169" s="38"/>
      <c r="O169" s="38"/>
      <c r="P169" s="38"/>
      <c r="Q169" s="38"/>
      <c r="R169" s="38"/>
      <c r="S169" s="38"/>
      <c r="T169" s="38"/>
      <c r="U169" s="38"/>
      <c r="V169" s="38"/>
      <c r="W169" s="38"/>
      <c r="X169" s="38"/>
      <c r="Y169" s="38"/>
    </row>
    <row r="170">
      <c r="A170" s="38"/>
      <c r="B170" s="143"/>
      <c r="C170" s="38"/>
      <c r="D170" s="38"/>
      <c r="E170" s="38"/>
      <c r="F170" s="38"/>
      <c r="G170" s="38"/>
      <c r="H170" s="38"/>
      <c r="I170" s="38"/>
      <c r="J170" s="38"/>
      <c r="K170" s="38"/>
      <c r="L170" s="38"/>
      <c r="M170" s="38"/>
      <c r="N170" s="38"/>
      <c r="O170" s="38"/>
      <c r="P170" s="38"/>
      <c r="Q170" s="38"/>
      <c r="R170" s="38"/>
      <c r="S170" s="38"/>
      <c r="T170" s="38"/>
      <c r="U170" s="38"/>
      <c r="V170" s="38"/>
      <c r="W170" s="38"/>
      <c r="X170" s="38"/>
      <c r="Y170" s="38"/>
    </row>
    <row r="171">
      <c r="A171" s="38"/>
      <c r="B171" s="143"/>
      <c r="C171" s="38"/>
      <c r="D171" s="38"/>
      <c r="E171" s="38"/>
      <c r="F171" s="38"/>
      <c r="G171" s="38"/>
      <c r="H171" s="38"/>
      <c r="I171" s="38"/>
      <c r="J171" s="38"/>
      <c r="K171" s="38"/>
      <c r="L171" s="38"/>
      <c r="M171" s="38"/>
      <c r="N171" s="38"/>
      <c r="O171" s="38"/>
      <c r="P171" s="38"/>
      <c r="Q171" s="38"/>
      <c r="R171" s="38"/>
      <c r="S171" s="38"/>
      <c r="T171" s="38"/>
      <c r="U171" s="38"/>
      <c r="V171" s="38"/>
      <c r="W171" s="38"/>
      <c r="X171" s="38"/>
      <c r="Y171" s="38"/>
    </row>
    <row r="172">
      <c r="A172" s="38"/>
      <c r="B172" s="143"/>
      <c r="C172" s="38"/>
      <c r="D172" s="38"/>
      <c r="E172" s="38"/>
      <c r="F172" s="38"/>
      <c r="G172" s="38"/>
      <c r="H172" s="38"/>
      <c r="I172" s="38"/>
      <c r="J172" s="38"/>
      <c r="K172" s="38"/>
      <c r="L172" s="38"/>
      <c r="M172" s="38"/>
      <c r="N172" s="38"/>
      <c r="O172" s="38"/>
      <c r="P172" s="38"/>
      <c r="Q172" s="38"/>
      <c r="R172" s="38"/>
      <c r="S172" s="38"/>
      <c r="T172" s="38"/>
      <c r="U172" s="38"/>
      <c r="V172" s="38"/>
      <c r="W172" s="38"/>
      <c r="X172" s="38"/>
      <c r="Y172" s="38"/>
    </row>
    <row r="173">
      <c r="A173" s="38"/>
      <c r="B173" s="143"/>
      <c r="C173" s="38"/>
      <c r="D173" s="38"/>
      <c r="E173" s="38"/>
      <c r="F173" s="38"/>
      <c r="G173" s="38"/>
      <c r="H173" s="38"/>
      <c r="I173" s="38"/>
      <c r="J173" s="38"/>
      <c r="K173" s="38"/>
      <c r="L173" s="38"/>
      <c r="M173" s="38"/>
      <c r="N173" s="38"/>
      <c r="O173" s="38"/>
      <c r="P173" s="38"/>
      <c r="Q173" s="38"/>
      <c r="R173" s="38"/>
      <c r="S173" s="38"/>
      <c r="T173" s="38"/>
      <c r="U173" s="38"/>
      <c r="V173" s="38"/>
      <c r="W173" s="38"/>
      <c r="X173" s="38"/>
      <c r="Y173" s="38"/>
    </row>
    <row r="174">
      <c r="A174" s="38"/>
      <c r="B174" s="143"/>
      <c r="C174" s="38"/>
      <c r="D174" s="38"/>
      <c r="E174" s="38"/>
      <c r="F174" s="38"/>
      <c r="G174" s="38"/>
      <c r="H174" s="38"/>
      <c r="I174" s="38"/>
      <c r="J174" s="38"/>
      <c r="K174" s="38"/>
      <c r="L174" s="38"/>
      <c r="M174" s="38"/>
      <c r="N174" s="38"/>
      <c r="O174" s="38"/>
      <c r="P174" s="38"/>
      <c r="Q174" s="38"/>
      <c r="R174" s="38"/>
      <c r="S174" s="38"/>
      <c r="T174" s="38"/>
      <c r="U174" s="38"/>
      <c r="V174" s="38"/>
      <c r="W174" s="38"/>
      <c r="X174" s="38"/>
      <c r="Y174" s="38"/>
    </row>
    <row r="175">
      <c r="A175" s="38"/>
      <c r="B175" s="143"/>
      <c r="C175" s="38"/>
      <c r="D175" s="38"/>
      <c r="E175" s="38"/>
      <c r="F175" s="38"/>
      <c r="G175" s="38"/>
      <c r="H175" s="38"/>
      <c r="I175" s="38"/>
      <c r="J175" s="38"/>
      <c r="K175" s="38"/>
      <c r="L175" s="38"/>
      <c r="M175" s="38"/>
      <c r="N175" s="38"/>
      <c r="O175" s="38"/>
      <c r="P175" s="38"/>
      <c r="Q175" s="38"/>
      <c r="R175" s="38"/>
      <c r="S175" s="38"/>
      <c r="T175" s="38"/>
      <c r="U175" s="38"/>
      <c r="V175" s="38"/>
      <c r="W175" s="38"/>
      <c r="X175" s="38"/>
      <c r="Y175" s="38"/>
    </row>
    <row r="176">
      <c r="A176" s="38"/>
      <c r="B176" s="143"/>
      <c r="C176" s="38"/>
      <c r="D176" s="38"/>
      <c r="E176" s="38"/>
      <c r="F176" s="38"/>
      <c r="G176" s="38"/>
      <c r="H176" s="38"/>
      <c r="I176" s="38"/>
      <c r="J176" s="38"/>
      <c r="K176" s="38"/>
      <c r="L176" s="38"/>
      <c r="M176" s="38"/>
      <c r="N176" s="38"/>
      <c r="O176" s="38"/>
      <c r="P176" s="38"/>
      <c r="Q176" s="38"/>
      <c r="R176" s="38"/>
      <c r="S176" s="38"/>
      <c r="T176" s="38"/>
      <c r="U176" s="38"/>
      <c r="V176" s="38"/>
      <c r="W176" s="38"/>
      <c r="X176" s="38"/>
      <c r="Y176" s="38"/>
    </row>
    <row r="177">
      <c r="A177" s="38"/>
      <c r="B177" s="143"/>
      <c r="C177" s="38"/>
      <c r="D177" s="38"/>
      <c r="E177" s="38"/>
      <c r="F177" s="38"/>
      <c r="G177" s="38"/>
      <c r="H177" s="38"/>
      <c r="I177" s="38"/>
      <c r="J177" s="38"/>
      <c r="K177" s="38"/>
      <c r="L177" s="38"/>
      <c r="M177" s="38"/>
      <c r="N177" s="38"/>
      <c r="O177" s="38"/>
      <c r="P177" s="38"/>
      <c r="Q177" s="38"/>
      <c r="R177" s="38"/>
      <c r="S177" s="38"/>
      <c r="T177" s="38"/>
      <c r="U177" s="38"/>
      <c r="V177" s="38"/>
      <c r="W177" s="38"/>
      <c r="X177" s="38"/>
      <c r="Y177" s="38"/>
    </row>
    <row r="178">
      <c r="A178" s="38"/>
      <c r="B178" s="143"/>
      <c r="C178" s="38"/>
      <c r="D178" s="38"/>
      <c r="E178" s="38"/>
      <c r="F178" s="38"/>
      <c r="G178" s="38"/>
      <c r="H178" s="38"/>
      <c r="I178" s="38"/>
      <c r="J178" s="38"/>
      <c r="K178" s="38"/>
      <c r="L178" s="38"/>
      <c r="M178" s="38"/>
      <c r="N178" s="38"/>
      <c r="O178" s="38"/>
      <c r="P178" s="38"/>
      <c r="Q178" s="38"/>
      <c r="R178" s="38"/>
      <c r="S178" s="38"/>
      <c r="T178" s="38"/>
      <c r="U178" s="38"/>
      <c r="V178" s="38"/>
      <c r="W178" s="38"/>
      <c r="X178" s="38"/>
      <c r="Y178" s="38"/>
    </row>
    <row r="179">
      <c r="A179" s="38"/>
      <c r="B179" s="143"/>
      <c r="C179" s="38"/>
      <c r="D179" s="38"/>
      <c r="E179" s="38"/>
      <c r="F179" s="38"/>
      <c r="G179" s="38"/>
      <c r="H179" s="38"/>
      <c r="I179" s="38"/>
      <c r="J179" s="38"/>
      <c r="K179" s="38"/>
      <c r="L179" s="38"/>
      <c r="M179" s="38"/>
      <c r="N179" s="38"/>
      <c r="O179" s="38"/>
      <c r="P179" s="38"/>
      <c r="Q179" s="38"/>
      <c r="R179" s="38"/>
      <c r="S179" s="38"/>
      <c r="T179" s="38"/>
      <c r="U179" s="38"/>
      <c r="V179" s="38"/>
      <c r="W179" s="38"/>
      <c r="X179" s="38"/>
      <c r="Y179" s="38"/>
    </row>
    <row r="180">
      <c r="A180" s="38"/>
      <c r="B180" s="143"/>
      <c r="C180" s="38"/>
      <c r="D180" s="38"/>
      <c r="E180" s="38"/>
      <c r="F180" s="38"/>
      <c r="G180" s="38"/>
      <c r="H180" s="38"/>
      <c r="I180" s="38"/>
      <c r="J180" s="38"/>
      <c r="K180" s="38"/>
      <c r="L180" s="38"/>
      <c r="M180" s="38"/>
      <c r="N180" s="38"/>
      <c r="O180" s="38"/>
      <c r="P180" s="38"/>
      <c r="Q180" s="38"/>
      <c r="R180" s="38"/>
      <c r="S180" s="38"/>
      <c r="T180" s="38"/>
      <c r="U180" s="38"/>
      <c r="V180" s="38"/>
      <c r="W180" s="38"/>
      <c r="X180" s="38"/>
      <c r="Y180" s="38"/>
    </row>
    <row r="181">
      <c r="A181" s="38"/>
      <c r="B181" s="143"/>
      <c r="C181" s="38"/>
      <c r="D181" s="38"/>
      <c r="E181" s="38"/>
      <c r="F181" s="38"/>
      <c r="G181" s="38"/>
      <c r="H181" s="38"/>
      <c r="I181" s="38"/>
      <c r="J181" s="38"/>
      <c r="K181" s="38"/>
      <c r="L181" s="38"/>
      <c r="M181" s="38"/>
      <c r="N181" s="38"/>
      <c r="O181" s="38"/>
      <c r="P181" s="38"/>
      <c r="Q181" s="38"/>
      <c r="R181" s="38"/>
      <c r="S181" s="38"/>
      <c r="T181" s="38"/>
      <c r="U181" s="38"/>
      <c r="V181" s="38"/>
      <c r="W181" s="38"/>
      <c r="X181" s="38"/>
      <c r="Y181" s="38"/>
    </row>
    <row r="182">
      <c r="A182" s="38"/>
      <c r="B182" s="143"/>
      <c r="C182" s="38"/>
      <c r="D182" s="38"/>
      <c r="E182" s="38"/>
      <c r="F182" s="38"/>
      <c r="G182" s="38"/>
      <c r="H182" s="38"/>
      <c r="I182" s="38"/>
      <c r="J182" s="38"/>
      <c r="K182" s="38"/>
      <c r="L182" s="38"/>
      <c r="M182" s="38"/>
      <c r="N182" s="38"/>
      <c r="O182" s="38"/>
      <c r="P182" s="38"/>
      <c r="Q182" s="38"/>
      <c r="R182" s="38"/>
      <c r="S182" s="38"/>
      <c r="T182" s="38"/>
      <c r="U182" s="38"/>
      <c r="V182" s="38"/>
      <c r="W182" s="38"/>
      <c r="X182" s="38"/>
      <c r="Y182" s="38"/>
    </row>
    <row r="183">
      <c r="A183" s="38"/>
      <c r="B183" s="143"/>
      <c r="C183" s="38"/>
      <c r="D183" s="38"/>
      <c r="E183" s="38"/>
      <c r="F183" s="38"/>
      <c r="G183" s="38"/>
      <c r="H183" s="38"/>
      <c r="I183" s="38"/>
      <c r="J183" s="38"/>
      <c r="K183" s="38"/>
      <c r="L183" s="38"/>
      <c r="M183" s="38"/>
      <c r="N183" s="38"/>
      <c r="O183" s="38"/>
      <c r="P183" s="38"/>
      <c r="Q183" s="38"/>
      <c r="R183" s="38"/>
      <c r="S183" s="38"/>
      <c r="T183" s="38"/>
      <c r="U183" s="38"/>
      <c r="V183" s="38"/>
      <c r="W183" s="38"/>
      <c r="X183" s="38"/>
      <c r="Y183" s="38"/>
    </row>
    <row r="184">
      <c r="A184" s="38"/>
      <c r="B184" s="143"/>
      <c r="C184" s="38"/>
      <c r="D184" s="38"/>
      <c r="E184" s="38"/>
      <c r="F184" s="38"/>
      <c r="G184" s="38"/>
      <c r="H184" s="38"/>
      <c r="I184" s="38"/>
      <c r="J184" s="38"/>
      <c r="K184" s="38"/>
      <c r="L184" s="38"/>
      <c r="M184" s="38"/>
      <c r="N184" s="38"/>
      <c r="O184" s="38"/>
      <c r="P184" s="38"/>
      <c r="Q184" s="38"/>
      <c r="R184" s="38"/>
      <c r="S184" s="38"/>
      <c r="T184" s="38"/>
      <c r="U184" s="38"/>
      <c r="V184" s="38"/>
      <c r="W184" s="38"/>
      <c r="X184" s="38"/>
      <c r="Y184" s="38"/>
    </row>
    <row r="185">
      <c r="A185" s="38"/>
      <c r="B185" s="143"/>
      <c r="C185" s="38"/>
      <c r="D185" s="38"/>
      <c r="E185" s="38"/>
      <c r="F185" s="38"/>
      <c r="G185" s="38"/>
      <c r="H185" s="38"/>
      <c r="I185" s="38"/>
      <c r="J185" s="38"/>
      <c r="K185" s="38"/>
      <c r="L185" s="38"/>
      <c r="M185" s="38"/>
      <c r="N185" s="38"/>
      <c r="O185" s="38"/>
      <c r="P185" s="38"/>
      <c r="Q185" s="38"/>
      <c r="R185" s="38"/>
      <c r="S185" s="38"/>
      <c r="T185" s="38"/>
      <c r="U185" s="38"/>
      <c r="V185" s="38"/>
      <c r="W185" s="38"/>
      <c r="X185" s="38"/>
      <c r="Y185" s="38"/>
    </row>
    <row r="186">
      <c r="A186" s="38"/>
      <c r="B186" s="143"/>
      <c r="C186" s="38"/>
      <c r="D186" s="38"/>
      <c r="E186" s="38"/>
      <c r="F186" s="38"/>
      <c r="G186" s="38"/>
      <c r="H186" s="38"/>
      <c r="I186" s="38"/>
      <c r="J186" s="38"/>
      <c r="K186" s="38"/>
      <c r="L186" s="38"/>
      <c r="M186" s="38"/>
      <c r="N186" s="38"/>
      <c r="O186" s="38"/>
      <c r="P186" s="38"/>
      <c r="Q186" s="38"/>
      <c r="R186" s="38"/>
      <c r="S186" s="38"/>
      <c r="T186" s="38"/>
      <c r="U186" s="38"/>
      <c r="V186" s="38"/>
      <c r="W186" s="38"/>
      <c r="X186" s="38"/>
      <c r="Y186" s="38"/>
    </row>
    <row r="187">
      <c r="A187" s="38"/>
      <c r="B187" s="143"/>
      <c r="C187" s="38"/>
      <c r="D187" s="38"/>
      <c r="E187" s="38"/>
      <c r="F187" s="38"/>
      <c r="G187" s="38"/>
      <c r="H187" s="38"/>
      <c r="I187" s="38"/>
      <c r="J187" s="38"/>
      <c r="K187" s="38"/>
      <c r="L187" s="38"/>
      <c r="M187" s="38"/>
      <c r="N187" s="38"/>
      <c r="O187" s="38"/>
      <c r="P187" s="38"/>
      <c r="Q187" s="38"/>
      <c r="R187" s="38"/>
      <c r="S187" s="38"/>
      <c r="T187" s="38"/>
      <c r="U187" s="38"/>
      <c r="V187" s="38"/>
      <c r="W187" s="38"/>
      <c r="X187" s="38"/>
      <c r="Y187" s="38"/>
    </row>
    <row r="188">
      <c r="A188" s="38"/>
      <c r="B188" s="143"/>
      <c r="C188" s="38"/>
      <c r="D188" s="38"/>
      <c r="E188" s="38"/>
      <c r="F188" s="38"/>
      <c r="G188" s="38"/>
      <c r="H188" s="38"/>
      <c r="I188" s="38"/>
      <c r="J188" s="38"/>
      <c r="K188" s="38"/>
      <c r="L188" s="38"/>
      <c r="M188" s="38"/>
      <c r="N188" s="38"/>
      <c r="O188" s="38"/>
      <c r="P188" s="38"/>
      <c r="Q188" s="38"/>
      <c r="R188" s="38"/>
      <c r="S188" s="38"/>
      <c r="T188" s="38"/>
      <c r="U188" s="38"/>
      <c r="V188" s="38"/>
      <c r="W188" s="38"/>
      <c r="X188" s="38"/>
      <c r="Y188" s="38"/>
    </row>
    <row r="189">
      <c r="A189" s="38"/>
      <c r="B189" s="143"/>
      <c r="C189" s="38"/>
      <c r="D189" s="38"/>
      <c r="E189" s="38"/>
      <c r="F189" s="38"/>
      <c r="G189" s="38"/>
      <c r="H189" s="38"/>
      <c r="I189" s="38"/>
      <c r="J189" s="38"/>
      <c r="K189" s="38"/>
      <c r="L189" s="38"/>
      <c r="M189" s="38"/>
      <c r="N189" s="38"/>
      <c r="O189" s="38"/>
      <c r="P189" s="38"/>
      <c r="Q189" s="38"/>
      <c r="R189" s="38"/>
      <c r="S189" s="38"/>
      <c r="T189" s="38"/>
      <c r="U189" s="38"/>
      <c r="V189" s="38"/>
      <c r="W189" s="38"/>
      <c r="X189" s="38"/>
      <c r="Y189" s="38"/>
    </row>
    <row r="190">
      <c r="A190" s="38"/>
      <c r="B190" s="143"/>
      <c r="C190" s="38"/>
      <c r="D190" s="38"/>
      <c r="E190" s="38"/>
      <c r="F190" s="38"/>
      <c r="G190" s="38"/>
      <c r="H190" s="38"/>
      <c r="I190" s="38"/>
      <c r="J190" s="38"/>
      <c r="K190" s="38"/>
      <c r="L190" s="38"/>
      <c r="M190" s="38"/>
      <c r="N190" s="38"/>
      <c r="O190" s="38"/>
      <c r="P190" s="38"/>
      <c r="Q190" s="38"/>
      <c r="R190" s="38"/>
      <c r="S190" s="38"/>
      <c r="T190" s="38"/>
      <c r="U190" s="38"/>
      <c r="V190" s="38"/>
      <c r="W190" s="38"/>
      <c r="X190" s="38"/>
      <c r="Y190" s="38"/>
    </row>
    <row r="191">
      <c r="A191" s="38"/>
      <c r="B191" s="143"/>
      <c r="C191" s="38"/>
      <c r="D191" s="38"/>
      <c r="E191" s="38"/>
      <c r="F191" s="38"/>
      <c r="G191" s="38"/>
      <c r="H191" s="38"/>
      <c r="I191" s="38"/>
      <c r="J191" s="38"/>
      <c r="K191" s="38"/>
      <c r="L191" s="38"/>
      <c r="M191" s="38"/>
      <c r="N191" s="38"/>
      <c r="O191" s="38"/>
      <c r="P191" s="38"/>
      <c r="Q191" s="38"/>
      <c r="R191" s="38"/>
      <c r="S191" s="38"/>
      <c r="T191" s="38"/>
      <c r="U191" s="38"/>
      <c r="V191" s="38"/>
      <c r="W191" s="38"/>
      <c r="X191" s="38"/>
      <c r="Y191" s="38"/>
    </row>
    <row r="192">
      <c r="A192" s="38"/>
      <c r="B192" s="143"/>
      <c r="C192" s="38"/>
      <c r="D192" s="38"/>
      <c r="E192" s="38"/>
      <c r="F192" s="38"/>
      <c r="G192" s="38"/>
      <c r="H192" s="38"/>
      <c r="I192" s="38"/>
      <c r="J192" s="38"/>
      <c r="K192" s="38"/>
      <c r="L192" s="38"/>
      <c r="M192" s="38"/>
      <c r="N192" s="38"/>
      <c r="O192" s="38"/>
      <c r="P192" s="38"/>
      <c r="Q192" s="38"/>
      <c r="R192" s="38"/>
      <c r="S192" s="38"/>
      <c r="T192" s="38"/>
      <c r="U192" s="38"/>
      <c r="V192" s="38"/>
      <c r="W192" s="38"/>
      <c r="X192" s="38"/>
      <c r="Y192" s="38"/>
    </row>
    <row r="193">
      <c r="A193" s="38"/>
      <c r="B193" s="143"/>
      <c r="C193" s="38"/>
      <c r="D193" s="38"/>
      <c r="E193" s="38"/>
      <c r="F193" s="38"/>
      <c r="G193" s="38"/>
      <c r="H193" s="38"/>
      <c r="I193" s="38"/>
      <c r="J193" s="38"/>
      <c r="K193" s="38"/>
      <c r="L193" s="38"/>
      <c r="M193" s="38"/>
      <c r="N193" s="38"/>
      <c r="O193" s="38"/>
      <c r="P193" s="38"/>
      <c r="Q193" s="38"/>
      <c r="R193" s="38"/>
      <c r="S193" s="38"/>
      <c r="T193" s="38"/>
      <c r="U193" s="38"/>
      <c r="V193" s="38"/>
      <c r="W193" s="38"/>
      <c r="X193" s="38"/>
      <c r="Y193" s="38"/>
    </row>
    <row r="194">
      <c r="A194" s="38"/>
      <c r="B194" s="143"/>
      <c r="C194" s="38"/>
      <c r="D194" s="38"/>
      <c r="E194" s="38"/>
      <c r="F194" s="38"/>
      <c r="G194" s="38"/>
      <c r="H194" s="38"/>
      <c r="I194" s="38"/>
      <c r="J194" s="38"/>
      <c r="K194" s="38"/>
      <c r="L194" s="38"/>
      <c r="M194" s="38"/>
      <c r="N194" s="38"/>
      <c r="O194" s="38"/>
      <c r="P194" s="38"/>
      <c r="Q194" s="38"/>
      <c r="R194" s="38"/>
      <c r="S194" s="38"/>
      <c r="T194" s="38"/>
      <c r="U194" s="38"/>
      <c r="V194" s="38"/>
      <c r="W194" s="38"/>
      <c r="X194" s="38"/>
      <c r="Y194" s="38"/>
    </row>
    <row r="195">
      <c r="A195" s="38"/>
      <c r="B195" s="143"/>
      <c r="C195" s="38"/>
      <c r="D195" s="38"/>
      <c r="E195" s="38"/>
      <c r="F195" s="38"/>
      <c r="G195" s="38"/>
      <c r="H195" s="38"/>
      <c r="I195" s="38"/>
      <c r="J195" s="38"/>
      <c r="K195" s="38"/>
      <c r="L195" s="38"/>
      <c r="M195" s="38"/>
      <c r="N195" s="38"/>
      <c r="O195" s="38"/>
      <c r="P195" s="38"/>
      <c r="Q195" s="38"/>
      <c r="R195" s="38"/>
      <c r="S195" s="38"/>
      <c r="T195" s="38"/>
      <c r="U195" s="38"/>
      <c r="V195" s="38"/>
      <c r="W195" s="38"/>
      <c r="X195" s="38"/>
      <c r="Y195" s="38"/>
    </row>
    <row r="196">
      <c r="A196" s="38"/>
      <c r="B196" s="143"/>
      <c r="C196" s="38"/>
      <c r="D196" s="38"/>
      <c r="E196" s="38"/>
      <c r="F196" s="38"/>
      <c r="G196" s="38"/>
      <c r="H196" s="38"/>
      <c r="I196" s="38"/>
      <c r="J196" s="38"/>
      <c r="K196" s="38"/>
      <c r="L196" s="38"/>
      <c r="M196" s="38"/>
      <c r="N196" s="38"/>
      <c r="O196" s="38"/>
      <c r="P196" s="38"/>
      <c r="Q196" s="38"/>
      <c r="R196" s="38"/>
      <c r="S196" s="38"/>
      <c r="T196" s="38"/>
      <c r="U196" s="38"/>
      <c r="V196" s="38"/>
      <c r="W196" s="38"/>
      <c r="X196" s="38"/>
      <c r="Y196" s="38"/>
    </row>
    <row r="197">
      <c r="A197" s="38"/>
      <c r="B197" s="143"/>
      <c r="C197" s="38"/>
      <c r="D197" s="38"/>
      <c r="E197" s="38"/>
      <c r="F197" s="38"/>
      <c r="G197" s="38"/>
      <c r="H197" s="38"/>
      <c r="I197" s="38"/>
      <c r="J197" s="38"/>
      <c r="K197" s="38"/>
      <c r="L197" s="38"/>
      <c r="M197" s="38"/>
      <c r="N197" s="38"/>
      <c r="O197" s="38"/>
      <c r="P197" s="38"/>
      <c r="Q197" s="38"/>
      <c r="R197" s="38"/>
      <c r="S197" s="38"/>
      <c r="T197" s="38"/>
      <c r="U197" s="38"/>
      <c r="V197" s="38"/>
      <c r="W197" s="38"/>
      <c r="X197" s="38"/>
      <c r="Y197" s="38"/>
    </row>
    <row r="198">
      <c r="A198" s="38"/>
      <c r="B198" s="143"/>
      <c r="C198" s="38"/>
      <c r="D198" s="38"/>
      <c r="E198" s="38"/>
      <c r="F198" s="38"/>
      <c r="G198" s="38"/>
      <c r="H198" s="38"/>
      <c r="I198" s="38"/>
      <c r="J198" s="38"/>
      <c r="K198" s="38"/>
      <c r="L198" s="38"/>
      <c r="M198" s="38"/>
      <c r="N198" s="38"/>
      <c r="O198" s="38"/>
      <c r="P198" s="38"/>
      <c r="Q198" s="38"/>
      <c r="R198" s="38"/>
      <c r="S198" s="38"/>
      <c r="T198" s="38"/>
      <c r="U198" s="38"/>
      <c r="V198" s="38"/>
      <c r="W198" s="38"/>
      <c r="X198" s="38"/>
      <c r="Y198" s="38"/>
    </row>
    <row r="199">
      <c r="A199" s="38"/>
      <c r="B199" s="143"/>
      <c r="C199" s="38"/>
      <c r="D199" s="38"/>
      <c r="E199" s="38"/>
      <c r="F199" s="38"/>
      <c r="G199" s="38"/>
      <c r="H199" s="38"/>
      <c r="I199" s="38"/>
      <c r="J199" s="38"/>
      <c r="K199" s="38"/>
      <c r="L199" s="38"/>
      <c r="M199" s="38"/>
      <c r="N199" s="38"/>
      <c r="O199" s="38"/>
      <c r="P199" s="38"/>
      <c r="Q199" s="38"/>
      <c r="R199" s="38"/>
      <c r="S199" s="38"/>
      <c r="T199" s="38"/>
      <c r="U199" s="38"/>
      <c r="V199" s="38"/>
      <c r="W199" s="38"/>
      <c r="X199" s="38"/>
      <c r="Y199" s="38"/>
    </row>
    <row r="200">
      <c r="A200" s="38"/>
      <c r="B200" s="143"/>
      <c r="C200" s="38"/>
      <c r="D200" s="38"/>
      <c r="E200" s="38"/>
      <c r="F200" s="38"/>
      <c r="G200" s="38"/>
      <c r="H200" s="38"/>
      <c r="I200" s="38"/>
      <c r="J200" s="38"/>
      <c r="K200" s="38"/>
      <c r="L200" s="38"/>
      <c r="M200" s="38"/>
      <c r="N200" s="38"/>
      <c r="O200" s="38"/>
      <c r="P200" s="38"/>
      <c r="Q200" s="38"/>
      <c r="R200" s="38"/>
      <c r="S200" s="38"/>
      <c r="T200" s="38"/>
      <c r="U200" s="38"/>
      <c r="V200" s="38"/>
      <c r="W200" s="38"/>
      <c r="X200" s="38"/>
      <c r="Y200" s="38"/>
    </row>
    <row r="201">
      <c r="A201" s="38"/>
      <c r="B201" s="143"/>
      <c r="C201" s="38"/>
      <c r="D201" s="38"/>
      <c r="E201" s="38"/>
      <c r="F201" s="38"/>
      <c r="G201" s="38"/>
      <c r="H201" s="38"/>
      <c r="I201" s="38"/>
      <c r="J201" s="38"/>
      <c r="K201" s="38"/>
      <c r="L201" s="38"/>
      <c r="M201" s="38"/>
      <c r="N201" s="38"/>
      <c r="O201" s="38"/>
      <c r="P201" s="38"/>
      <c r="Q201" s="38"/>
      <c r="R201" s="38"/>
      <c r="S201" s="38"/>
      <c r="T201" s="38"/>
      <c r="U201" s="38"/>
      <c r="V201" s="38"/>
      <c r="W201" s="38"/>
      <c r="X201" s="38"/>
      <c r="Y201" s="38"/>
    </row>
    <row r="202">
      <c r="A202" s="38"/>
      <c r="B202" s="143"/>
      <c r="C202" s="38"/>
      <c r="D202" s="38"/>
      <c r="E202" s="38"/>
      <c r="F202" s="38"/>
      <c r="G202" s="38"/>
      <c r="H202" s="38"/>
      <c r="I202" s="38"/>
      <c r="J202" s="38"/>
      <c r="K202" s="38"/>
      <c r="L202" s="38"/>
      <c r="M202" s="38"/>
      <c r="N202" s="38"/>
      <c r="O202" s="38"/>
      <c r="P202" s="38"/>
      <c r="Q202" s="38"/>
      <c r="R202" s="38"/>
      <c r="S202" s="38"/>
      <c r="T202" s="38"/>
      <c r="U202" s="38"/>
      <c r="V202" s="38"/>
      <c r="W202" s="38"/>
      <c r="X202" s="38"/>
      <c r="Y202" s="38"/>
    </row>
    <row r="203">
      <c r="A203" s="38"/>
      <c r="B203" s="143"/>
      <c r="C203" s="38"/>
      <c r="D203" s="38"/>
      <c r="E203" s="38"/>
      <c r="F203" s="38"/>
      <c r="G203" s="38"/>
      <c r="H203" s="38"/>
      <c r="I203" s="38"/>
      <c r="J203" s="38"/>
      <c r="K203" s="38"/>
      <c r="L203" s="38"/>
      <c r="M203" s="38"/>
      <c r="N203" s="38"/>
      <c r="O203" s="38"/>
      <c r="P203" s="38"/>
      <c r="Q203" s="38"/>
      <c r="R203" s="38"/>
      <c r="S203" s="38"/>
      <c r="T203" s="38"/>
      <c r="U203" s="38"/>
      <c r="V203" s="38"/>
      <c r="W203" s="38"/>
      <c r="X203" s="38"/>
      <c r="Y203" s="38"/>
    </row>
    <row r="204">
      <c r="A204" s="38"/>
      <c r="B204" s="143"/>
      <c r="C204" s="38"/>
      <c r="D204" s="38"/>
      <c r="E204" s="38"/>
      <c r="F204" s="38"/>
      <c r="G204" s="38"/>
      <c r="H204" s="38"/>
      <c r="I204" s="38"/>
      <c r="J204" s="38"/>
      <c r="K204" s="38"/>
      <c r="L204" s="38"/>
      <c r="M204" s="38"/>
      <c r="N204" s="38"/>
      <c r="O204" s="38"/>
      <c r="P204" s="38"/>
      <c r="Q204" s="38"/>
      <c r="R204" s="38"/>
      <c r="S204" s="38"/>
      <c r="T204" s="38"/>
      <c r="U204" s="38"/>
      <c r="V204" s="38"/>
      <c r="W204" s="38"/>
      <c r="X204" s="38"/>
      <c r="Y204" s="38"/>
    </row>
    <row r="205">
      <c r="A205" s="38"/>
      <c r="B205" s="143"/>
      <c r="C205" s="38"/>
      <c r="D205" s="38"/>
      <c r="E205" s="38"/>
      <c r="F205" s="38"/>
      <c r="G205" s="38"/>
      <c r="H205" s="38"/>
      <c r="I205" s="38"/>
      <c r="J205" s="38"/>
      <c r="K205" s="38"/>
      <c r="L205" s="38"/>
      <c r="M205" s="38"/>
      <c r="N205" s="38"/>
      <c r="O205" s="38"/>
      <c r="P205" s="38"/>
      <c r="Q205" s="38"/>
      <c r="R205" s="38"/>
      <c r="S205" s="38"/>
      <c r="T205" s="38"/>
      <c r="U205" s="38"/>
      <c r="V205" s="38"/>
      <c r="W205" s="38"/>
      <c r="X205" s="38"/>
      <c r="Y205" s="38"/>
    </row>
    <row r="206">
      <c r="A206" s="38"/>
      <c r="B206" s="143"/>
      <c r="C206" s="38"/>
      <c r="D206" s="38"/>
      <c r="E206" s="38"/>
      <c r="F206" s="38"/>
      <c r="G206" s="38"/>
      <c r="H206" s="38"/>
      <c r="I206" s="38"/>
      <c r="J206" s="38"/>
      <c r="K206" s="38"/>
      <c r="L206" s="38"/>
      <c r="M206" s="38"/>
      <c r="N206" s="38"/>
      <c r="O206" s="38"/>
      <c r="P206" s="38"/>
      <c r="Q206" s="38"/>
      <c r="R206" s="38"/>
      <c r="S206" s="38"/>
      <c r="T206" s="38"/>
      <c r="U206" s="38"/>
      <c r="V206" s="38"/>
      <c r="W206" s="38"/>
      <c r="X206" s="38"/>
      <c r="Y206" s="38"/>
    </row>
    <row r="207">
      <c r="A207" s="38"/>
      <c r="B207" s="143"/>
      <c r="C207" s="38"/>
      <c r="D207" s="38"/>
      <c r="E207" s="38"/>
      <c r="F207" s="38"/>
      <c r="G207" s="38"/>
      <c r="H207" s="38"/>
      <c r="I207" s="38"/>
      <c r="J207" s="38"/>
      <c r="K207" s="38"/>
      <c r="L207" s="38"/>
      <c r="M207" s="38"/>
      <c r="N207" s="38"/>
      <c r="O207" s="38"/>
      <c r="P207" s="38"/>
      <c r="Q207" s="38"/>
      <c r="R207" s="38"/>
      <c r="S207" s="38"/>
      <c r="T207" s="38"/>
      <c r="U207" s="38"/>
      <c r="V207" s="38"/>
      <c r="W207" s="38"/>
      <c r="X207" s="38"/>
      <c r="Y207" s="38"/>
    </row>
    <row r="208">
      <c r="A208" s="38"/>
      <c r="B208" s="143"/>
      <c r="C208" s="38"/>
      <c r="D208" s="38"/>
      <c r="E208" s="38"/>
      <c r="F208" s="38"/>
      <c r="G208" s="38"/>
      <c r="H208" s="38"/>
      <c r="I208" s="38"/>
      <c r="J208" s="38"/>
      <c r="K208" s="38"/>
      <c r="L208" s="38"/>
      <c r="M208" s="38"/>
      <c r="N208" s="38"/>
      <c r="O208" s="38"/>
      <c r="P208" s="38"/>
      <c r="Q208" s="38"/>
      <c r="R208" s="38"/>
      <c r="S208" s="38"/>
      <c r="T208" s="38"/>
      <c r="U208" s="38"/>
      <c r="V208" s="38"/>
      <c r="W208" s="38"/>
      <c r="X208" s="38"/>
      <c r="Y208" s="38"/>
    </row>
    <row r="209">
      <c r="A209" s="38"/>
      <c r="B209" s="143"/>
      <c r="C209" s="38"/>
      <c r="D209" s="38"/>
      <c r="E209" s="38"/>
      <c r="F209" s="38"/>
      <c r="G209" s="38"/>
      <c r="H209" s="38"/>
      <c r="I209" s="38"/>
      <c r="J209" s="38"/>
      <c r="K209" s="38"/>
      <c r="L209" s="38"/>
      <c r="M209" s="38"/>
      <c r="N209" s="38"/>
      <c r="O209" s="38"/>
      <c r="P209" s="38"/>
      <c r="Q209" s="38"/>
      <c r="R209" s="38"/>
      <c r="S209" s="38"/>
      <c r="T209" s="38"/>
      <c r="U209" s="38"/>
      <c r="V209" s="38"/>
      <c r="W209" s="38"/>
      <c r="X209" s="38"/>
      <c r="Y209" s="38"/>
    </row>
    <row r="210">
      <c r="A210" s="38"/>
      <c r="B210" s="143"/>
      <c r="C210" s="38"/>
      <c r="D210" s="38"/>
      <c r="E210" s="38"/>
      <c r="F210" s="38"/>
      <c r="G210" s="38"/>
      <c r="H210" s="38"/>
      <c r="I210" s="38"/>
      <c r="J210" s="38"/>
      <c r="K210" s="38"/>
      <c r="L210" s="38"/>
      <c r="M210" s="38"/>
      <c r="N210" s="38"/>
      <c r="O210" s="38"/>
      <c r="P210" s="38"/>
      <c r="Q210" s="38"/>
      <c r="R210" s="38"/>
      <c r="S210" s="38"/>
      <c r="T210" s="38"/>
      <c r="U210" s="38"/>
      <c r="V210" s="38"/>
      <c r="W210" s="38"/>
      <c r="X210" s="38"/>
      <c r="Y210" s="38"/>
    </row>
    <row r="211">
      <c r="A211" s="38"/>
      <c r="B211" s="143"/>
      <c r="C211" s="38"/>
      <c r="D211" s="38"/>
      <c r="E211" s="38"/>
      <c r="F211" s="38"/>
      <c r="G211" s="38"/>
      <c r="H211" s="38"/>
      <c r="I211" s="38"/>
      <c r="J211" s="38"/>
      <c r="K211" s="38"/>
      <c r="L211" s="38"/>
      <c r="M211" s="38"/>
      <c r="N211" s="38"/>
      <c r="O211" s="38"/>
      <c r="P211" s="38"/>
      <c r="Q211" s="38"/>
      <c r="R211" s="38"/>
      <c r="S211" s="38"/>
      <c r="T211" s="38"/>
      <c r="U211" s="38"/>
      <c r="V211" s="38"/>
      <c r="W211" s="38"/>
      <c r="X211" s="38"/>
      <c r="Y211" s="38"/>
    </row>
    <row r="212">
      <c r="A212" s="38"/>
      <c r="B212" s="143"/>
      <c r="C212" s="38"/>
      <c r="D212" s="38"/>
      <c r="E212" s="38"/>
      <c r="F212" s="38"/>
      <c r="G212" s="38"/>
      <c r="H212" s="38"/>
      <c r="I212" s="38"/>
      <c r="J212" s="38"/>
      <c r="K212" s="38"/>
      <c r="L212" s="38"/>
      <c r="M212" s="38"/>
      <c r="N212" s="38"/>
      <c r="O212" s="38"/>
      <c r="P212" s="38"/>
      <c r="Q212" s="38"/>
      <c r="R212" s="38"/>
      <c r="S212" s="38"/>
      <c r="T212" s="38"/>
      <c r="U212" s="38"/>
      <c r="V212" s="38"/>
      <c r="W212" s="38"/>
      <c r="X212" s="38"/>
      <c r="Y212" s="38"/>
    </row>
    <row r="213">
      <c r="A213" s="38"/>
      <c r="B213" s="143"/>
      <c r="C213" s="38"/>
      <c r="D213" s="38"/>
      <c r="E213" s="38"/>
      <c r="F213" s="38"/>
      <c r="G213" s="38"/>
      <c r="H213" s="38"/>
      <c r="I213" s="38"/>
      <c r="J213" s="38"/>
      <c r="K213" s="38"/>
      <c r="L213" s="38"/>
      <c r="M213" s="38"/>
      <c r="N213" s="38"/>
      <c r="O213" s="38"/>
      <c r="P213" s="38"/>
      <c r="Q213" s="38"/>
      <c r="R213" s="38"/>
      <c r="S213" s="38"/>
      <c r="T213" s="38"/>
      <c r="U213" s="38"/>
      <c r="V213" s="38"/>
      <c r="W213" s="38"/>
      <c r="X213" s="38"/>
      <c r="Y213" s="38"/>
    </row>
    <row r="214">
      <c r="A214" s="38"/>
      <c r="B214" s="143"/>
      <c r="C214" s="38"/>
      <c r="D214" s="38"/>
      <c r="E214" s="38"/>
      <c r="F214" s="38"/>
      <c r="G214" s="38"/>
      <c r="H214" s="38"/>
      <c r="I214" s="38"/>
      <c r="J214" s="38"/>
      <c r="K214" s="38"/>
      <c r="L214" s="38"/>
      <c r="M214" s="38"/>
      <c r="N214" s="38"/>
      <c r="O214" s="38"/>
      <c r="P214" s="38"/>
      <c r="Q214" s="38"/>
      <c r="R214" s="38"/>
      <c r="S214" s="38"/>
      <c r="T214" s="38"/>
      <c r="U214" s="38"/>
      <c r="V214" s="38"/>
      <c r="W214" s="38"/>
      <c r="X214" s="38"/>
      <c r="Y214" s="38"/>
    </row>
    <row r="215">
      <c r="A215" s="38"/>
      <c r="B215" s="143"/>
      <c r="C215" s="38"/>
      <c r="D215" s="38"/>
      <c r="E215" s="38"/>
      <c r="F215" s="38"/>
      <c r="G215" s="38"/>
      <c r="H215" s="38"/>
      <c r="I215" s="38"/>
      <c r="J215" s="38"/>
      <c r="K215" s="38"/>
      <c r="L215" s="38"/>
      <c r="M215" s="38"/>
      <c r="N215" s="38"/>
      <c r="O215" s="38"/>
      <c r="P215" s="38"/>
      <c r="Q215" s="38"/>
      <c r="R215" s="38"/>
      <c r="S215" s="38"/>
      <c r="T215" s="38"/>
      <c r="U215" s="38"/>
      <c r="V215" s="38"/>
      <c r="W215" s="38"/>
      <c r="X215" s="38"/>
      <c r="Y215" s="38"/>
    </row>
    <row r="216">
      <c r="A216" s="38"/>
      <c r="B216" s="143"/>
      <c r="C216" s="38"/>
      <c r="D216" s="38"/>
      <c r="E216" s="38"/>
      <c r="F216" s="38"/>
      <c r="G216" s="38"/>
      <c r="H216" s="38"/>
      <c r="I216" s="38"/>
      <c r="J216" s="38"/>
      <c r="K216" s="38"/>
      <c r="L216" s="38"/>
      <c r="M216" s="38"/>
      <c r="N216" s="38"/>
      <c r="O216" s="38"/>
      <c r="P216" s="38"/>
      <c r="Q216" s="38"/>
      <c r="R216" s="38"/>
      <c r="S216" s="38"/>
      <c r="T216" s="38"/>
      <c r="U216" s="38"/>
      <c r="V216" s="38"/>
      <c r="W216" s="38"/>
      <c r="X216" s="38"/>
      <c r="Y216" s="38"/>
    </row>
    <row r="217">
      <c r="A217" s="38"/>
      <c r="B217" s="143"/>
      <c r="C217" s="38"/>
      <c r="D217" s="38"/>
      <c r="E217" s="38"/>
      <c r="F217" s="38"/>
      <c r="G217" s="38"/>
      <c r="H217" s="38"/>
      <c r="I217" s="38"/>
      <c r="J217" s="38"/>
      <c r="K217" s="38"/>
      <c r="L217" s="38"/>
      <c r="M217" s="38"/>
      <c r="N217" s="38"/>
      <c r="O217" s="38"/>
      <c r="P217" s="38"/>
      <c r="Q217" s="38"/>
      <c r="R217" s="38"/>
      <c r="S217" s="38"/>
      <c r="T217" s="38"/>
      <c r="U217" s="38"/>
      <c r="V217" s="38"/>
      <c r="W217" s="38"/>
      <c r="X217" s="38"/>
      <c r="Y217" s="38"/>
    </row>
    <row r="218">
      <c r="A218" s="38"/>
      <c r="B218" s="143"/>
      <c r="C218" s="38"/>
      <c r="D218" s="38"/>
      <c r="E218" s="38"/>
      <c r="F218" s="38"/>
      <c r="G218" s="38"/>
      <c r="H218" s="38"/>
      <c r="I218" s="38"/>
      <c r="J218" s="38"/>
      <c r="K218" s="38"/>
      <c r="L218" s="38"/>
      <c r="M218" s="38"/>
      <c r="N218" s="38"/>
      <c r="O218" s="38"/>
      <c r="P218" s="38"/>
      <c r="Q218" s="38"/>
      <c r="R218" s="38"/>
      <c r="S218" s="38"/>
      <c r="T218" s="38"/>
      <c r="U218" s="38"/>
      <c r="V218" s="38"/>
      <c r="W218" s="38"/>
      <c r="X218" s="38"/>
      <c r="Y218" s="38"/>
    </row>
    <row r="219">
      <c r="A219" s="38"/>
      <c r="B219" s="143"/>
      <c r="C219" s="38"/>
      <c r="D219" s="38"/>
      <c r="E219" s="38"/>
      <c r="F219" s="38"/>
      <c r="G219" s="38"/>
      <c r="H219" s="38"/>
      <c r="I219" s="38"/>
      <c r="J219" s="38"/>
      <c r="K219" s="38"/>
      <c r="L219" s="38"/>
      <c r="M219" s="38"/>
      <c r="N219" s="38"/>
      <c r="O219" s="38"/>
      <c r="P219" s="38"/>
      <c r="Q219" s="38"/>
      <c r="R219" s="38"/>
      <c r="S219" s="38"/>
      <c r="T219" s="38"/>
      <c r="U219" s="38"/>
      <c r="V219" s="38"/>
      <c r="W219" s="38"/>
      <c r="X219" s="38"/>
      <c r="Y219" s="38"/>
    </row>
    <row r="220">
      <c r="A220" s="38"/>
      <c r="B220" s="143"/>
      <c r="C220" s="38"/>
      <c r="D220" s="38"/>
      <c r="E220" s="38"/>
      <c r="F220" s="38"/>
      <c r="G220" s="38"/>
      <c r="H220" s="38"/>
      <c r="I220" s="38"/>
      <c r="J220" s="38"/>
      <c r="K220" s="38"/>
      <c r="L220" s="38"/>
      <c r="M220" s="38"/>
      <c r="N220" s="38"/>
      <c r="O220" s="38"/>
      <c r="P220" s="38"/>
      <c r="Q220" s="38"/>
      <c r="R220" s="38"/>
      <c r="S220" s="38"/>
      <c r="T220" s="38"/>
      <c r="U220" s="38"/>
      <c r="V220" s="38"/>
      <c r="W220" s="38"/>
      <c r="X220" s="38"/>
      <c r="Y220" s="38"/>
    </row>
    <row r="221">
      <c r="A221" s="38"/>
      <c r="B221" s="143"/>
      <c r="C221" s="38"/>
      <c r="D221" s="38"/>
      <c r="E221" s="38"/>
      <c r="F221" s="38"/>
      <c r="G221" s="38"/>
      <c r="H221" s="38"/>
      <c r="I221" s="38"/>
      <c r="J221" s="38"/>
      <c r="K221" s="38"/>
      <c r="L221" s="38"/>
      <c r="M221" s="38"/>
      <c r="N221" s="38"/>
      <c r="O221" s="38"/>
      <c r="P221" s="38"/>
      <c r="Q221" s="38"/>
      <c r="R221" s="38"/>
      <c r="S221" s="38"/>
      <c r="T221" s="38"/>
      <c r="U221" s="38"/>
      <c r="V221" s="38"/>
      <c r="W221" s="38"/>
      <c r="X221" s="38"/>
      <c r="Y221" s="38"/>
    </row>
    <row r="222">
      <c r="A222" s="38"/>
      <c r="B222" s="143"/>
      <c r="C222" s="38"/>
      <c r="D222" s="38"/>
      <c r="E222" s="38"/>
      <c r="F222" s="38"/>
      <c r="G222" s="38"/>
      <c r="H222" s="38"/>
      <c r="I222" s="38"/>
      <c r="J222" s="38"/>
      <c r="K222" s="38"/>
      <c r="L222" s="38"/>
      <c r="M222" s="38"/>
      <c r="N222" s="38"/>
      <c r="O222" s="38"/>
      <c r="P222" s="38"/>
      <c r="Q222" s="38"/>
      <c r="R222" s="38"/>
      <c r="S222" s="38"/>
      <c r="T222" s="38"/>
      <c r="U222" s="38"/>
      <c r="V222" s="38"/>
      <c r="W222" s="38"/>
      <c r="X222" s="38"/>
      <c r="Y222" s="38"/>
    </row>
    <row r="223">
      <c r="A223" s="38"/>
      <c r="B223" s="143"/>
      <c r="C223" s="38"/>
      <c r="D223" s="38"/>
      <c r="E223" s="38"/>
      <c r="F223" s="38"/>
      <c r="G223" s="38"/>
      <c r="H223" s="38"/>
      <c r="I223" s="38"/>
      <c r="J223" s="38"/>
      <c r="K223" s="38"/>
      <c r="L223" s="38"/>
      <c r="M223" s="38"/>
      <c r="N223" s="38"/>
      <c r="O223" s="38"/>
      <c r="P223" s="38"/>
      <c r="Q223" s="38"/>
      <c r="R223" s="38"/>
      <c r="S223" s="38"/>
      <c r="T223" s="38"/>
      <c r="U223" s="38"/>
      <c r="V223" s="38"/>
      <c r="W223" s="38"/>
      <c r="X223" s="38"/>
      <c r="Y223" s="38"/>
    </row>
    <row r="224">
      <c r="A224" s="38"/>
      <c r="B224" s="143"/>
      <c r="C224" s="38"/>
      <c r="D224" s="38"/>
      <c r="E224" s="38"/>
      <c r="F224" s="38"/>
      <c r="G224" s="38"/>
      <c r="H224" s="38"/>
      <c r="I224" s="38"/>
      <c r="J224" s="38"/>
      <c r="K224" s="38"/>
      <c r="L224" s="38"/>
      <c r="M224" s="38"/>
      <c r="N224" s="38"/>
      <c r="O224" s="38"/>
      <c r="P224" s="38"/>
      <c r="Q224" s="38"/>
      <c r="R224" s="38"/>
      <c r="S224" s="38"/>
      <c r="T224" s="38"/>
      <c r="U224" s="38"/>
      <c r="V224" s="38"/>
      <c r="W224" s="38"/>
      <c r="X224" s="38"/>
      <c r="Y224" s="38"/>
    </row>
    <row r="225">
      <c r="A225" s="38"/>
      <c r="B225" s="143"/>
      <c r="C225" s="38"/>
      <c r="D225" s="38"/>
      <c r="E225" s="38"/>
      <c r="F225" s="38"/>
      <c r="G225" s="38"/>
      <c r="H225" s="38"/>
      <c r="I225" s="38"/>
      <c r="J225" s="38"/>
      <c r="K225" s="38"/>
      <c r="L225" s="38"/>
      <c r="M225" s="38"/>
      <c r="N225" s="38"/>
      <c r="O225" s="38"/>
      <c r="P225" s="38"/>
      <c r="Q225" s="38"/>
      <c r="R225" s="38"/>
      <c r="S225" s="38"/>
      <c r="T225" s="38"/>
      <c r="U225" s="38"/>
      <c r="V225" s="38"/>
      <c r="W225" s="38"/>
      <c r="X225" s="38"/>
      <c r="Y225" s="38"/>
    </row>
    <row r="226">
      <c r="A226" s="38"/>
      <c r="B226" s="143"/>
      <c r="C226" s="38"/>
      <c r="D226" s="38"/>
      <c r="E226" s="38"/>
      <c r="F226" s="38"/>
      <c r="G226" s="38"/>
      <c r="H226" s="38"/>
      <c r="I226" s="38"/>
      <c r="J226" s="38"/>
      <c r="K226" s="38"/>
      <c r="L226" s="38"/>
      <c r="M226" s="38"/>
      <c r="N226" s="38"/>
      <c r="O226" s="38"/>
      <c r="P226" s="38"/>
      <c r="Q226" s="38"/>
      <c r="R226" s="38"/>
      <c r="S226" s="38"/>
      <c r="T226" s="38"/>
      <c r="U226" s="38"/>
      <c r="V226" s="38"/>
      <c r="W226" s="38"/>
      <c r="X226" s="38"/>
      <c r="Y226" s="38"/>
    </row>
    <row r="227">
      <c r="A227" s="38"/>
      <c r="B227" s="143"/>
      <c r="C227" s="38"/>
      <c r="D227" s="38"/>
      <c r="E227" s="38"/>
      <c r="F227" s="38"/>
      <c r="G227" s="38"/>
      <c r="H227" s="38"/>
      <c r="I227" s="38"/>
      <c r="J227" s="38"/>
      <c r="K227" s="38"/>
      <c r="L227" s="38"/>
      <c r="M227" s="38"/>
      <c r="N227" s="38"/>
      <c r="O227" s="38"/>
      <c r="P227" s="38"/>
      <c r="Q227" s="38"/>
      <c r="R227" s="38"/>
      <c r="S227" s="38"/>
      <c r="T227" s="38"/>
      <c r="U227" s="38"/>
      <c r="V227" s="38"/>
      <c r="W227" s="38"/>
      <c r="X227" s="38"/>
      <c r="Y227" s="38"/>
    </row>
    <row r="228">
      <c r="A228" s="38"/>
      <c r="B228" s="143"/>
      <c r="C228" s="38"/>
      <c r="D228" s="38"/>
      <c r="E228" s="38"/>
      <c r="F228" s="38"/>
      <c r="G228" s="38"/>
      <c r="H228" s="38"/>
      <c r="I228" s="38"/>
      <c r="J228" s="38"/>
      <c r="K228" s="38"/>
      <c r="L228" s="38"/>
      <c r="M228" s="38"/>
      <c r="N228" s="38"/>
      <c r="O228" s="38"/>
      <c r="P228" s="38"/>
      <c r="Q228" s="38"/>
      <c r="R228" s="38"/>
      <c r="S228" s="38"/>
      <c r="T228" s="38"/>
      <c r="U228" s="38"/>
      <c r="V228" s="38"/>
      <c r="W228" s="38"/>
      <c r="X228" s="38"/>
      <c r="Y228" s="38"/>
    </row>
    <row r="229">
      <c r="A229" s="38"/>
      <c r="B229" s="143"/>
      <c r="C229" s="38"/>
      <c r="D229" s="38"/>
      <c r="E229" s="38"/>
      <c r="F229" s="38"/>
      <c r="G229" s="38"/>
      <c r="H229" s="38"/>
      <c r="I229" s="38"/>
      <c r="J229" s="38"/>
      <c r="K229" s="38"/>
      <c r="L229" s="38"/>
      <c r="M229" s="38"/>
      <c r="N229" s="38"/>
      <c r="O229" s="38"/>
      <c r="P229" s="38"/>
      <c r="Q229" s="38"/>
      <c r="R229" s="38"/>
      <c r="S229" s="38"/>
      <c r="T229" s="38"/>
      <c r="U229" s="38"/>
      <c r="V229" s="38"/>
      <c r="W229" s="38"/>
      <c r="X229" s="38"/>
      <c r="Y229" s="38"/>
    </row>
    <row r="230">
      <c r="A230" s="38"/>
      <c r="B230" s="143"/>
      <c r="C230" s="38"/>
      <c r="D230" s="38"/>
      <c r="E230" s="38"/>
      <c r="F230" s="38"/>
      <c r="G230" s="38"/>
      <c r="H230" s="38"/>
      <c r="I230" s="38"/>
      <c r="J230" s="38"/>
      <c r="K230" s="38"/>
      <c r="L230" s="38"/>
      <c r="M230" s="38"/>
      <c r="N230" s="38"/>
      <c r="O230" s="38"/>
      <c r="P230" s="38"/>
      <c r="Q230" s="38"/>
      <c r="R230" s="38"/>
      <c r="S230" s="38"/>
      <c r="T230" s="38"/>
      <c r="U230" s="38"/>
      <c r="V230" s="38"/>
      <c r="W230" s="38"/>
      <c r="X230" s="38"/>
      <c r="Y230" s="38"/>
    </row>
    <row r="231">
      <c r="A231" s="38"/>
      <c r="B231" s="143"/>
      <c r="C231" s="38"/>
      <c r="D231" s="38"/>
      <c r="E231" s="38"/>
      <c r="F231" s="38"/>
      <c r="G231" s="38"/>
      <c r="H231" s="38"/>
      <c r="I231" s="38"/>
      <c r="J231" s="38"/>
      <c r="K231" s="38"/>
      <c r="L231" s="38"/>
      <c r="M231" s="38"/>
      <c r="N231" s="38"/>
      <c r="O231" s="38"/>
      <c r="P231" s="38"/>
      <c r="Q231" s="38"/>
      <c r="R231" s="38"/>
      <c r="S231" s="38"/>
      <c r="T231" s="38"/>
      <c r="U231" s="38"/>
      <c r="V231" s="38"/>
      <c r="W231" s="38"/>
      <c r="X231" s="38"/>
      <c r="Y231" s="38"/>
    </row>
    <row r="232">
      <c r="A232" s="38"/>
      <c r="B232" s="143"/>
      <c r="C232" s="38"/>
      <c r="D232" s="38"/>
      <c r="E232" s="38"/>
      <c r="F232" s="38"/>
      <c r="G232" s="38"/>
      <c r="H232" s="38"/>
      <c r="I232" s="38"/>
      <c r="J232" s="38"/>
      <c r="K232" s="38"/>
      <c r="L232" s="38"/>
      <c r="M232" s="38"/>
      <c r="N232" s="38"/>
      <c r="O232" s="38"/>
      <c r="P232" s="38"/>
      <c r="Q232" s="38"/>
      <c r="R232" s="38"/>
      <c r="S232" s="38"/>
      <c r="T232" s="38"/>
      <c r="U232" s="38"/>
      <c r="V232" s="38"/>
      <c r="W232" s="38"/>
      <c r="X232" s="38"/>
      <c r="Y232" s="38"/>
    </row>
    <row r="233">
      <c r="A233" s="38"/>
      <c r="B233" s="143"/>
      <c r="C233" s="38"/>
      <c r="D233" s="38"/>
      <c r="E233" s="38"/>
      <c r="F233" s="38"/>
      <c r="G233" s="38"/>
      <c r="H233" s="38"/>
      <c r="I233" s="38"/>
      <c r="J233" s="38"/>
      <c r="K233" s="38"/>
      <c r="L233" s="38"/>
      <c r="M233" s="38"/>
      <c r="N233" s="38"/>
      <c r="O233" s="38"/>
      <c r="P233" s="38"/>
      <c r="Q233" s="38"/>
      <c r="R233" s="38"/>
      <c r="S233" s="38"/>
      <c r="T233" s="38"/>
      <c r="U233" s="38"/>
      <c r="V233" s="38"/>
      <c r="W233" s="38"/>
      <c r="X233" s="38"/>
      <c r="Y233" s="38"/>
    </row>
    <row r="234">
      <c r="A234" s="38"/>
      <c r="B234" s="143"/>
      <c r="C234" s="38"/>
      <c r="D234" s="38"/>
      <c r="E234" s="38"/>
      <c r="F234" s="38"/>
      <c r="G234" s="38"/>
      <c r="H234" s="38"/>
      <c r="I234" s="38"/>
      <c r="J234" s="38"/>
      <c r="K234" s="38"/>
      <c r="L234" s="38"/>
      <c r="M234" s="38"/>
      <c r="N234" s="38"/>
      <c r="O234" s="38"/>
      <c r="P234" s="38"/>
      <c r="Q234" s="38"/>
      <c r="R234" s="38"/>
      <c r="S234" s="38"/>
      <c r="T234" s="38"/>
      <c r="U234" s="38"/>
      <c r="V234" s="38"/>
      <c r="W234" s="38"/>
      <c r="X234" s="38"/>
      <c r="Y234" s="38"/>
    </row>
    <row r="235">
      <c r="A235" s="38"/>
      <c r="B235" s="143"/>
      <c r="C235" s="38"/>
      <c r="D235" s="38"/>
      <c r="E235" s="38"/>
      <c r="F235" s="38"/>
      <c r="G235" s="38"/>
      <c r="H235" s="38"/>
      <c r="I235" s="38"/>
      <c r="J235" s="38"/>
      <c r="K235" s="38"/>
      <c r="L235" s="38"/>
      <c r="M235" s="38"/>
      <c r="N235" s="38"/>
      <c r="O235" s="38"/>
      <c r="P235" s="38"/>
      <c r="Q235" s="38"/>
      <c r="R235" s="38"/>
      <c r="S235" s="38"/>
      <c r="T235" s="38"/>
      <c r="U235" s="38"/>
      <c r="V235" s="38"/>
      <c r="W235" s="38"/>
      <c r="X235" s="38"/>
      <c r="Y235" s="38"/>
    </row>
    <row r="236">
      <c r="A236" s="38"/>
      <c r="B236" s="143"/>
      <c r="C236" s="38"/>
      <c r="D236" s="38"/>
      <c r="E236" s="38"/>
      <c r="F236" s="38"/>
      <c r="G236" s="38"/>
      <c r="H236" s="38"/>
      <c r="I236" s="38"/>
      <c r="J236" s="38"/>
      <c r="K236" s="38"/>
      <c r="L236" s="38"/>
      <c r="M236" s="38"/>
      <c r="N236" s="38"/>
      <c r="O236" s="38"/>
      <c r="P236" s="38"/>
      <c r="Q236" s="38"/>
      <c r="R236" s="38"/>
      <c r="S236" s="38"/>
      <c r="T236" s="38"/>
      <c r="U236" s="38"/>
      <c r="V236" s="38"/>
      <c r="W236" s="38"/>
      <c r="X236" s="38"/>
      <c r="Y236" s="38"/>
    </row>
    <row r="237">
      <c r="A237" s="38"/>
      <c r="B237" s="143"/>
      <c r="C237" s="38"/>
      <c r="D237" s="38"/>
      <c r="E237" s="38"/>
      <c r="F237" s="38"/>
      <c r="G237" s="38"/>
      <c r="H237" s="38"/>
      <c r="I237" s="38"/>
      <c r="J237" s="38"/>
      <c r="K237" s="38"/>
      <c r="L237" s="38"/>
      <c r="M237" s="38"/>
      <c r="N237" s="38"/>
      <c r="O237" s="38"/>
      <c r="P237" s="38"/>
      <c r="Q237" s="38"/>
      <c r="R237" s="38"/>
      <c r="S237" s="38"/>
      <c r="T237" s="38"/>
      <c r="U237" s="38"/>
      <c r="V237" s="38"/>
      <c r="W237" s="38"/>
      <c r="X237" s="38"/>
      <c r="Y237" s="38"/>
    </row>
    <row r="238">
      <c r="A238" s="38"/>
      <c r="B238" s="143"/>
      <c r="C238" s="38"/>
      <c r="D238" s="38"/>
      <c r="E238" s="38"/>
      <c r="F238" s="38"/>
      <c r="G238" s="38"/>
      <c r="H238" s="38"/>
      <c r="I238" s="38"/>
      <c r="J238" s="38"/>
      <c r="K238" s="38"/>
      <c r="L238" s="38"/>
      <c r="M238" s="38"/>
      <c r="N238" s="38"/>
      <c r="O238" s="38"/>
      <c r="P238" s="38"/>
      <c r="Q238" s="38"/>
      <c r="R238" s="38"/>
      <c r="S238" s="38"/>
      <c r="T238" s="38"/>
      <c r="U238" s="38"/>
      <c r="V238" s="38"/>
      <c r="W238" s="38"/>
      <c r="X238" s="38"/>
      <c r="Y238" s="38"/>
    </row>
    <row r="239">
      <c r="A239" s="38"/>
      <c r="B239" s="143"/>
      <c r="C239" s="38"/>
      <c r="D239" s="38"/>
      <c r="E239" s="38"/>
      <c r="F239" s="38"/>
      <c r="G239" s="38"/>
      <c r="H239" s="38"/>
      <c r="I239" s="38"/>
      <c r="J239" s="38"/>
      <c r="K239" s="38"/>
      <c r="L239" s="38"/>
      <c r="M239" s="38"/>
      <c r="N239" s="38"/>
      <c r="O239" s="38"/>
      <c r="P239" s="38"/>
      <c r="Q239" s="38"/>
      <c r="R239" s="38"/>
      <c r="S239" s="38"/>
      <c r="T239" s="38"/>
      <c r="U239" s="38"/>
      <c r="V239" s="38"/>
      <c r="W239" s="38"/>
      <c r="X239" s="38"/>
      <c r="Y239" s="38"/>
    </row>
    <row r="240">
      <c r="A240" s="38"/>
      <c r="B240" s="143"/>
      <c r="C240" s="38"/>
      <c r="D240" s="38"/>
      <c r="E240" s="38"/>
      <c r="F240" s="38"/>
      <c r="G240" s="38"/>
      <c r="H240" s="38"/>
      <c r="I240" s="38"/>
      <c r="J240" s="38"/>
      <c r="K240" s="38"/>
      <c r="L240" s="38"/>
      <c r="M240" s="38"/>
      <c r="N240" s="38"/>
      <c r="O240" s="38"/>
      <c r="P240" s="38"/>
      <c r="Q240" s="38"/>
      <c r="R240" s="38"/>
      <c r="S240" s="38"/>
      <c r="T240" s="38"/>
      <c r="U240" s="38"/>
      <c r="V240" s="38"/>
      <c r="W240" s="38"/>
      <c r="X240" s="38"/>
      <c r="Y240" s="38"/>
    </row>
    <row r="241">
      <c r="A241" s="38"/>
      <c r="B241" s="143"/>
      <c r="C241" s="38"/>
      <c r="D241" s="38"/>
      <c r="E241" s="38"/>
      <c r="F241" s="38"/>
      <c r="G241" s="38"/>
      <c r="H241" s="38"/>
      <c r="I241" s="38"/>
      <c r="J241" s="38"/>
      <c r="K241" s="38"/>
      <c r="L241" s="38"/>
      <c r="M241" s="38"/>
      <c r="N241" s="38"/>
      <c r="O241" s="38"/>
      <c r="P241" s="38"/>
      <c r="Q241" s="38"/>
      <c r="R241" s="38"/>
      <c r="S241" s="38"/>
      <c r="T241" s="38"/>
      <c r="U241" s="38"/>
      <c r="V241" s="38"/>
      <c r="W241" s="38"/>
      <c r="X241" s="38"/>
      <c r="Y241" s="38"/>
    </row>
    <row r="242">
      <c r="A242" s="38"/>
      <c r="B242" s="143"/>
      <c r="C242" s="38"/>
      <c r="D242" s="38"/>
      <c r="E242" s="38"/>
      <c r="F242" s="38"/>
      <c r="G242" s="38"/>
      <c r="H242" s="38"/>
      <c r="I242" s="38"/>
      <c r="J242" s="38"/>
      <c r="K242" s="38"/>
      <c r="L242" s="38"/>
      <c r="M242" s="38"/>
      <c r="N242" s="38"/>
      <c r="O242" s="38"/>
      <c r="P242" s="38"/>
      <c r="Q242" s="38"/>
      <c r="R242" s="38"/>
      <c r="S242" s="38"/>
      <c r="T242" s="38"/>
      <c r="U242" s="38"/>
      <c r="V242" s="38"/>
      <c r="W242" s="38"/>
      <c r="X242" s="38"/>
      <c r="Y242" s="38"/>
    </row>
    <row r="243">
      <c r="A243" s="38"/>
      <c r="B243" s="143"/>
      <c r="C243" s="38"/>
      <c r="D243" s="38"/>
      <c r="E243" s="38"/>
      <c r="F243" s="38"/>
      <c r="G243" s="38"/>
      <c r="H243" s="38"/>
      <c r="I243" s="38"/>
      <c r="J243" s="38"/>
      <c r="K243" s="38"/>
      <c r="L243" s="38"/>
      <c r="M243" s="38"/>
      <c r="N243" s="38"/>
      <c r="O243" s="38"/>
      <c r="P243" s="38"/>
      <c r="Q243" s="38"/>
      <c r="R243" s="38"/>
      <c r="S243" s="38"/>
      <c r="T243" s="38"/>
      <c r="U243" s="38"/>
      <c r="V243" s="38"/>
      <c r="W243" s="38"/>
      <c r="X243" s="38"/>
      <c r="Y243" s="38"/>
    </row>
    <row r="244">
      <c r="A244" s="38"/>
      <c r="B244" s="143"/>
      <c r="C244" s="38"/>
      <c r="D244" s="38"/>
      <c r="E244" s="38"/>
      <c r="F244" s="38"/>
      <c r="G244" s="38"/>
      <c r="H244" s="38"/>
      <c r="I244" s="38"/>
      <c r="J244" s="38"/>
      <c r="K244" s="38"/>
      <c r="L244" s="38"/>
      <c r="M244" s="38"/>
      <c r="N244" s="38"/>
      <c r="O244" s="38"/>
      <c r="P244" s="38"/>
      <c r="Q244" s="38"/>
      <c r="R244" s="38"/>
      <c r="S244" s="38"/>
      <c r="T244" s="38"/>
      <c r="U244" s="38"/>
      <c r="V244" s="38"/>
      <c r="W244" s="38"/>
      <c r="X244" s="38"/>
      <c r="Y244" s="38"/>
    </row>
    <row r="245">
      <c r="A245" s="38"/>
      <c r="B245" s="143"/>
      <c r="C245" s="38"/>
      <c r="D245" s="38"/>
      <c r="E245" s="38"/>
      <c r="F245" s="38"/>
      <c r="G245" s="38"/>
      <c r="H245" s="38"/>
      <c r="I245" s="38"/>
      <c r="J245" s="38"/>
      <c r="K245" s="38"/>
      <c r="L245" s="38"/>
      <c r="M245" s="38"/>
      <c r="N245" s="38"/>
      <c r="O245" s="38"/>
      <c r="P245" s="38"/>
      <c r="Q245" s="38"/>
      <c r="R245" s="38"/>
      <c r="S245" s="38"/>
      <c r="T245" s="38"/>
      <c r="U245" s="38"/>
      <c r="V245" s="38"/>
      <c r="W245" s="38"/>
      <c r="X245" s="38"/>
      <c r="Y245" s="38"/>
    </row>
    <row r="246">
      <c r="A246" s="38"/>
      <c r="B246" s="143"/>
      <c r="C246" s="38"/>
      <c r="D246" s="38"/>
      <c r="E246" s="38"/>
      <c r="F246" s="38"/>
      <c r="G246" s="38"/>
      <c r="H246" s="38"/>
      <c r="I246" s="38"/>
      <c r="J246" s="38"/>
      <c r="K246" s="38"/>
      <c r="L246" s="38"/>
      <c r="M246" s="38"/>
      <c r="N246" s="38"/>
      <c r="O246" s="38"/>
      <c r="P246" s="38"/>
      <c r="Q246" s="38"/>
      <c r="R246" s="38"/>
      <c r="S246" s="38"/>
      <c r="T246" s="38"/>
      <c r="U246" s="38"/>
      <c r="V246" s="38"/>
      <c r="W246" s="38"/>
      <c r="X246" s="38"/>
      <c r="Y246" s="38"/>
    </row>
    <row r="247">
      <c r="A247" s="38"/>
      <c r="B247" s="143"/>
      <c r="C247" s="38"/>
      <c r="D247" s="38"/>
      <c r="E247" s="38"/>
      <c r="F247" s="38"/>
      <c r="G247" s="38"/>
      <c r="H247" s="38"/>
      <c r="I247" s="38"/>
      <c r="J247" s="38"/>
      <c r="K247" s="38"/>
      <c r="L247" s="38"/>
      <c r="M247" s="38"/>
      <c r="N247" s="38"/>
      <c r="O247" s="38"/>
      <c r="P247" s="38"/>
      <c r="Q247" s="38"/>
      <c r="R247" s="38"/>
      <c r="S247" s="38"/>
      <c r="T247" s="38"/>
      <c r="U247" s="38"/>
      <c r="V247" s="38"/>
      <c r="W247" s="38"/>
      <c r="X247" s="38"/>
      <c r="Y247" s="38"/>
    </row>
    <row r="248">
      <c r="A248" s="38"/>
      <c r="B248" s="143"/>
      <c r="C248" s="38"/>
      <c r="D248" s="38"/>
      <c r="E248" s="38"/>
      <c r="F248" s="38"/>
      <c r="G248" s="38"/>
      <c r="H248" s="38"/>
      <c r="I248" s="38"/>
      <c r="J248" s="38"/>
      <c r="K248" s="38"/>
      <c r="L248" s="38"/>
      <c r="M248" s="38"/>
      <c r="N248" s="38"/>
      <c r="O248" s="38"/>
      <c r="P248" s="38"/>
      <c r="Q248" s="38"/>
      <c r="R248" s="38"/>
      <c r="S248" s="38"/>
      <c r="T248" s="38"/>
      <c r="U248" s="38"/>
      <c r="V248" s="38"/>
      <c r="W248" s="38"/>
      <c r="X248" s="38"/>
      <c r="Y248" s="38"/>
    </row>
    <row r="249">
      <c r="A249" s="38"/>
      <c r="B249" s="143"/>
      <c r="C249" s="38"/>
      <c r="D249" s="38"/>
      <c r="E249" s="38"/>
      <c r="F249" s="38"/>
      <c r="G249" s="38"/>
      <c r="H249" s="38"/>
      <c r="I249" s="38"/>
      <c r="J249" s="38"/>
      <c r="K249" s="38"/>
      <c r="L249" s="38"/>
      <c r="M249" s="38"/>
      <c r="N249" s="38"/>
      <c r="O249" s="38"/>
      <c r="P249" s="38"/>
      <c r="Q249" s="38"/>
      <c r="R249" s="38"/>
      <c r="S249" s="38"/>
      <c r="T249" s="38"/>
      <c r="U249" s="38"/>
      <c r="V249" s="38"/>
      <c r="W249" s="38"/>
      <c r="X249" s="38"/>
      <c r="Y249" s="38"/>
    </row>
    <row r="250">
      <c r="A250" s="38"/>
      <c r="B250" s="143"/>
      <c r="C250" s="38"/>
      <c r="D250" s="38"/>
      <c r="E250" s="38"/>
      <c r="F250" s="38"/>
      <c r="G250" s="38"/>
      <c r="H250" s="38"/>
      <c r="I250" s="38"/>
      <c r="J250" s="38"/>
      <c r="K250" s="38"/>
      <c r="L250" s="38"/>
      <c r="M250" s="38"/>
      <c r="N250" s="38"/>
      <c r="O250" s="38"/>
      <c r="P250" s="38"/>
      <c r="Q250" s="38"/>
      <c r="R250" s="38"/>
      <c r="S250" s="38"/>
      <c r="T250" s="38"/>
      <c r="U250" s="38"/>
      <c r="V250" s="38"/>
      <c r="W250" s="38"/>
      <c r="X250" s="38"/>
      <c r="Y250" s="38"/>
    </row>
    <row r="251">
      <c r="A251" s="38"/>
      <c r="B251" s="143"/>
      <c r="C251" s="38"/>
      <c r="D251" s="38"/>
      <c r="E251" s="38"/>
      <c r="F251" s="38"/>
      <c r="G251" s="38"/>
      <c r="H251" s="38"/>
      <c r="I251" s="38"/>
      <c r="J251" s="38"/>
      <c r="K251" s="38"/>
      <c r="L251" s="38"/>
      <c r="M251" s="38"/>
      <c r="N251" s="38"/>
      <c r="O251" s="38"/>
      <c r="P251" s="38"/>
      <c r="Q251" s="38"/>
      <c r="R251" s="38"/>
      <c r="S251" s="38"/>
      <c r="T251" s="38"/>
      <c r="U251" s="38"/>
      <c r="V251" s="38"/>
      <c r="W251" s="38"/>
      <c r="X251" s="38"/>
      <c r="Y251" s="38"/>
    </row>
    <row r="252">
      <c r="A252" s="38"/>
      <c r="B252" s="143"/>
      <c r="C252" s="38"/>
      <c r="D252" s="38"/>
      <c r="E252" s="38"/>
      <c r="F252" s="38"/>
      <c r="G252" s="38"/>
      <c r="H252" s="38"/>
      <c r="I252" s="38"/>
      <c r="J252" s="38"/>
      <c r="K252" s="38"/>
      <c r="L252" s="38"/>
      <c r="M252" s="38"/>
      <c r="N252" s="38"/>
      <c r="O252" s="38"/>
      <c r="P252" s="38"/>
      <c r="Q252" s="38"/>
      <c r="R252" s="38"/>
      <c r="S252" s="38"/>
      <c r="T252" s="38"/>
      <c r="U252" s="38"/>
      <c r="V252" s="38"/>
      <c r="W252" s="38"/>
      <c r="X252" s="38"/>
      <c r="Y252" s="38"/>
    </row>
    <row r="253">
      <c r="A253" s="38"/>
      <c r="B253" s="143"/>
      <c r="C253" s="38"/>
      <c r="D253" s="38"/>
      <c r="E253" s="38"/>
      <c r="F253" s="38"/>
      <c r="G253" s="38"/>
      <c r="H253" s="38"/>
      <c r="I253" s="38"/>
      <c r="J253" s="38"/>
      <c r="K253" s="38"/>
      <c r="L253" s="38"/>
      <c r="M253" s="38"/>
      <c r="N253" s="38"/>
      <c r="O253" s="38"/>
      <c r="P253" s="38"/>
      <c r="Q253" s="38"/>
      <c r="R253" s="38"/>
      <c r="S253" s="38"/>
      <c r="T253" s="38"/>
      <c r="U253" s="38"/>
      <c r="V253" s="38"/>
      <c r="W253" s="38"/>
      <c r="X253" s="38"/>
      <c r="Y253" s="38"/>
    </row>
    <row r="254">
      <c r="A254" s="38"/>
      <c r="B254" s="143"/>
      <c r="C254" s="38"/>
      <c r="D254" s="38"/>
      <c r="E254" s="38"/>
      <c r="F254" s="38"/>
      <c r="G254" s="38"/>
      <c r="H254" s="38"/>
      <c r="I254" s="38"/>
      <c r="J254" s="38"/>
      <c r="K254" s="38"/>
      <c r="L254" s="38"/>
      <c r="M254" s="38"/>
      <c r="N254" s="38"/>
      <c r="O254" s="38"/>
      <c r="P254" s="38"/>
      <c r="Q254" s="38"/>
      <c r="R254" s="38"/>
      <c r="S254" s="38"/>
      <c r="T254" s="38"/>
      <c r="U254" s="38"/>
      <c r="V254" s="38"/>
      <c r="W254" s="38"/>
      <c r="X254" s="38"/>
      <c r="Y254" s="38"/>
    </row>
    <row r="255">
      <c r="A255" s="38"/>
      <c r="B255" s="143"/>
      <c r="C255" s="38"/>
      <c r="D255" s="38"/>
      <c r="E255" s="38"/>
      <c r="F255" s="38"/>
      <c r="G255" s="38"/>
      <c r="H255" s="38"/>
      <c r="I255" s="38"/>
      <c r="J255" s="38"/>
      <c r="K255" s="38"/>
      <c r="L255" s="38"/>
      <c r="M255" s="38"/>
      <c r="N255" s="38"/>
      <c r="O255" s="38"/>
      <c r="P255" s="38"/>
      <c r="Q255" s="38"/>
      <c r="R255" s="38"/>
      <c r="S255" s="38"/>
      <c r="T255" s="38"/>
      <c r="U255" s="38"/>
      <c r="V255" s="38"/>
      <c r="W255" s="38"/>
      <c r="X255" s="38"/>
      <c r="Y255" s="38"/>
    </row>
    <row r="256">
      <c r="A256" s="38"/>
      <c r="B256" s="143"/>
      <c r="C256" s="38"/>
      <c r="D256" s="38"/>
      <c r="E256" s="38"/>
      <c r="F256" s="38"/>
      <c r="G256" s="38"/>
      <c r="H256" s="38"/>
      <c r="I256" s="38"/>
      <c r="J256" s="38"/>
      <c r="K256" s="38"/>
      <c r="L256" s="38"/>
      <c r="M256" s="38"/>
      <c r="N256" s="38"/>
      <c r="O256" s="38"/>
      <c r="P256" s="38"/>
      <c r="Q256" s="38"/>
      <c r="R256" s="38"/>
      <c r="S256" s="38"/>
      <c r="T256" s="38"/>
      <c r="U256" s="38"/>
      <c r="V256" s="38"/>
      <c r="W256" s="38"/>
      <c r="X256" s="38"/>
      <c r="Y256" s="38"/>
    </row>
    <row r="257">
      <c r="A257" s="38"/>
      <c r="B257" s="143"/>
      <c r="C257" s="38"/>
      <c r="D257" s="38"/>
      <c r="E257" s="38"/>
      <c r="F257" s="38"/>
      <c r="G257" s="38"/>
      <c r="H257" s="38"/>
      <c r="I257" s="38"/>
      <c r="J257" s="38"/>
      <c r="K257" s="38"/>
      <c r="L257" s="38"/>
      <c r="M257" s="38"/>
      <c r="N257" s="38"/>
      <c r="O257" s="38"/>
      <c r="P257" s="38"/>
      <c r="Q257" s="38"/>
      <c r="R257" s="38"/>
      <c r="S257" s="38"/>
      <c r="T257" s="38"/>
      <c r="U257" s="38"/>
      <c r="V257" s="38"/>
      <c r="W257" s="38"/>
      <c r="X257" s="38"/>
      <c r="Y257" s="38"/>
    </row>
    <row r="258">
      <c r="A258" s="38"/>
      <c r="B258" s="143"/>
      <c r="C258" s="38"/>
      <c r="D258" s="38"/>
      <c r="E258" s="38"/>
      <c r="F258" s="38"/>
      <c r="G258" s="38"/>
      <c r="H258" s="38"/>
      <c r="I258" s="38"/>
      <c r="J258" s="38"/>
      <c r="K258" s="38"/>
      <c r="L258" s="38"/>
      <c r="M258" s="38"/>
      <c r="N258" s="38"/>
      <c r="O258" s="38"/>
      <c r="P258" s="38"/>
      <c r="Q258" s="38"/>
      <c r="R258" s="38"/>
      <c r="S258" s="38"/>
      <c r="T258" s="38"/>
      <c r="U258" s="38"/>
      <c r="V258" s="38"/>
      <c r="W258" s="38"/>
      <c r="X258" s="38"/>
      <c r="Y258" s="38"/>
    </row>
    <row r="259">
      <c r="A259" s="38"/>
      <c r="B259" s="143"/>
      <c r="C259" s="38"/>
      <c r="D259" s="38"/>
      <c r="E259" s="38"/>
      <c r="F259" s="38"/>
      <c r="G259" s="38"/>
      <c r="H259" s="38"/>
      <c r="I259" s="38"/>
      <c r="J259" s="38"/>
      <c r="K259" s="38"/>
      <c r="L259" s="38"/>
      <c r="M259" s="38"/>
      <c r="N259" s="38"/>
      <c r="O259" s="38"/>
      <c r="P259" s="38"/>
      <c r="Q259" s="38"/>
      <c r="R259" s="38"/>
      <c r="S259" s="38"/>
      <c r="T259" s="38"/>
      <c r="U259" s="38"/>
      <c r="V259" s="38"/>
      <c r="W259" s="38"/>
      <c r="X259" s="38"/>
      <c r="Y259" s="38"/>
    </row>
    <row r="260">
      <c r="A260" s="38"/>
      <c r="B260" s="143"/>
      <c r="C260" s="38"/>
      <c r="D260" s="38"/>
      <c r="E260" s="38"/>
      <c r="F260" s="38"/>
      <c r="G260" s="38"/>
      <c r="H260" s="38"/>
      <c r="I260" s="38"/>
      <c r="J260" s="38"/>
      <c r="K260" s="38"/>
      <c r="L260" s="38"/>
      <c r="M260" s="38"/>
      <c r="N260" s="38"/>
      <c r="O260" s="38"/>
      <c r="P260" s="38"/>
      <c r="Q260" s="38"/>
      <c r="R260" s="38"/>
      <c r="S260" s="38"/>
      <c r="T260" s="38"/>
      <c r="U260" s="38"/>
      <c r="V260" s="38"/>
      <c r="W260" s="38"/>
      <c r="X260" s="38"/>
      <c r="Y260" s="38"/>
    </row>
    <row r="261">
      <c r="A261" s="38"/>
      <c r="B261" s="143"/>
      <c r="C261" s="38"/>
      <c r="D261" s="38"/>
      <c r="E261" s="38"/>
      <c r="F261" s="38"/>
      <c r="G261" s="38"/>
      <c r="H261" s="38"/>
      <c r="I261" s="38"/>
      <c r="J261" s="38"/>
      <c r="K261" s="38"/>
      <c r="L261" s="38"/>
      <c r="M261" s="38"/>
      <c r="N261" s="38"/>
      <c r="O261" s="38"/>
      <c r="P261" s="38"/>
      <c r="Q261" s="38"/>
      <c r="R261" s="38"/>
      <c r="S261" s="38"/>
      <c r="T261" s="38"/>
      <c r="U261" s="38"/>
      <c r="V261" s="38"/>
      <c r="W261" s="38"/>
      <c r="X261" s="38"/>
      <c r="Y261" s="38"/>
    </row>
    <row r="262">
      <c r="A262" s="38"/>
      <c r="B262" s="143"/>
      <c r="C262" s="38"/>
      <c r="D262" s="38"/>
      <c r="E262" s="38"/>
      <c r="F262" s="38"/>
      <c r="G262" s="38"/>
      <c r="H262" s="38"/>
      <c r="I262" s="38"/>
      <c r="J262" s="38"/>
      <c r="K262" s="38"/>
      <c r="L262" s="38"/>
      <c r="M262" s="38"/>
      <c r="N262" s="38"/>
      <c r="O262" s="38"/>
      <c r="P262" s="38"/>
      <c r="Q262" s="38"/>
      <c r="R262" s="38"/>
      <c r="S262" s="38"/>
      <c r="T262" s="38"/>
      <c r="U262" s="38"/>
      <c r="V262" s="38"/>
      <c r="W262" s="38"/>
      <c r="X262" s="38"/>
      <c r="Y262" s="38"/>
    </row>
    <row r="263">
      <c r="A263" s="38"/>
      <c r="B263" s="143"/>
      <c r="C263" s="38"/>
      <c r="D263" s="38"/>
      <c r="E263" s="38"/>
      <c r="F263" s="38"/>
      <c r="G263" s="38"/>
      <c r="H263" s="38"/>
      <c r="I263" s="38"/>
      <c r="J263" s="38"/>
      <c r="K263" s="38"/>
      <c r="L263" s="38"/>
      <c r="M263" s="38"/>
      <c r="N263" s="38"/>
      <c r="O263" s="38"/>
      <c r="P263" s="38"/>
      <c r="Q263" s="38"/>
      <c r="R263" s="38"/>
      <c r="S263" s="38"/>
      <c r="T263" s="38"/>
      <c r="U263" s="38"/>
      <c r="V263" s="38"/>
      <c r="W263" s="38"/>
      <c r="X263" s="38"/>
      <c r="Y263" s="38"/>
    </row>
    <row r="264">
      <c r="A264" s="38"/>
      <c r="B264" s="143"/>
      <c r="C264" s="38"/>
      <c r="D264" s="38"/>
      <c r="E264" s="38"/>
      <c r="F264" s="38"/>
      <c r="G264" s="38"/>
      <c r="H264" s="38"/>
      <c r="I264" s="38"/>
      <c r="J264" s="38"/>
      <c r="K264" s="38"/>
      <c r="L264" s="38"/>
      <c r="M264" s="38"/>
      <c r="N264" s="38"/>
      <c r="O264" s="38"/>
      <c r="P264" s="38"/>
      <c r="Q264" s="38"/>
      <c r="R264" s="38"/>
      <c r="S264" s="38"/>
      <c r="T264" s="38"/>
      <c r="U264" s="38"/>
      <c r="V264" s="38"/>
      <c r="W264" s="38"/>
      <c r="X264" s="38"/>
      <c r="Y264" s="38"/>
    </row>
    <row r="265">
      <c r="A265" s="38"/>
      <c r="B265" s="143"/>
      <c r="C265" s="38"/>
      <c r="D265" s="38"/>
      <c r="E265" s="38"/>
      <c r="F265" s="38"/>
      <c r="G265" s="38"/>
      <c r="H265" s="38"/>
      <c r="I265" s="38"/>
      <c r="J265" s="38"/>
      <c r="K265" s="38"/>
      <c r="L265" s="38"/>
      <c r="M265" s="38"/>
      <c r="N265" s="38"/>
      <c r="O265" s="38"/>
      <c r="P265" s="38"/>
      <c r="Q265" s="38"/>
      <c r="R265" s="38"/>
      <c r="S265" s="38"/>
      <c r="T265" s="38"/>
      <c r="U265" s="38"/>
      <c r="V265" s="38"/>
      <c r="W265" s="38"/>
      <c r="X265" s="38"/>
      <c r="Y265" s="38"/>
    </row>
    <row r="266">
      <c r="A266" s="38"/>
      <c r="B266" s="143"/>
      <c r="C266" s="38"/>
      <c r="D266" s="38"/>
      <c r="E266" s="38"/>
      <c r="F266" s="38"/>
      <c r="G266" s="38"/>
      <c r="H266" s="38"/>
      <c r="I266" s="38"/>
      <c r="J266" s="38"/>
      <c r="K266" s="38"/>
      <c r="L266" s="38"/>
      <c r="M266" s="38"/>
      <c r="N266" s="38"/>
      <c r="O266" s="38"/>
      <c r="P266" s="38"/>
      <c r="Q266" s="38"/>
      <c r="R266" s="38"/>
      <c r="S266" s="38"/>
      <c r="T266" s="38"/>
      <c r="U266" s="38"/>
      <c r="V266" s="38"/>
      <c r="W266" s="38"/>
      <c r="X266" s="38"/>
      <c r="Y266" s="38"/>
    </row>
    <row r="267">
      <c r="A267" s="38"/>
      <c r="B267" s="143"/>
      <c r="C267" s="38"/>
      <c r="D267" s="38"/>
      <c r="E267" s="38"/>
      <c r="F267" s="38"/>
      <c r="G267" s="38"/>
      <c r="H267" s="38"/>
      <c r="I267" s="38"/>
      <c r="J267" s="38"/>
      <c r="K267" s="38"/>
      <c r="L267" s="38"/>
      <c r="M267" s="38"/>
      <c r="N267" s="38"/>
      <c r="O267" s="38"/>
      <c r="P267" s="38"/>
      <c r="Q267" s="38"/>
      <c r="R267" s="38"/>
      <c r="S267" s="38"/>
      <c r="T267" s="38"/>
      <c r="U267" s="38"/>
      <c r="V267" s="38"/>
      <c r="W267" s="38"/>
      <c r="X267" s="38"/>
      <c r="Y267" s="38"/>
    </row>
    <row r="268">
      <c r="A268" s="38"/>
      <c r="B268" s="143"/>
      <c r="C268" s="38"/>
      <c r="D268" s="38"/>
      <c r="E268" s="38"/>
      <c r="F268" s="38"/>
      <c r="G268" s="38"/>
      <c r="H268" s="38"/>
      <c r="I268" s="38"/>
      <c r="J268" s="38"/>
      <c r="K268" s="38"/>
      <c r="L268" s="38"/>
      <c r="M268" s="38"/>
      <c r="N268" s="38"/>
      <c r="O268" s="38"/>
      <c r="P268" s="38"/>
      <c r="Q268" s="38"/>
      <c r="R268" s="38"/>
      <c r="S268" s="38"/>
      <c r="T268" s="38"/>
      <c r="U268" s="38"/>
      <c r="V268" s="38"/>
      <c r="W268" s="38"/>
      <c r="X268" s="38"/>
      <c r="Y268" s="38"/>
    </row>
    <row r="269">
      <c r="A269" s="38"/>
      <c r="B269" s="143"/>
      <c r="C269" s="38"/>
      <c r="D269" s="38"/>
      <c r="E269" s="38"/>
      <c r="F269" s="38"/>
      <c r="G269" s="38"/>
      <c r="H269" s="38"/>
      <c r="I269" s="38"/>
      <c r="J269" s="38"/>
      <c r="K269" s="38"/>
      <c r="L269" s="38"/>
      <c r="M269" s="38"/>
      <c r="N269" s="38"/>
      <c r="O269" s="38"/>
      <c r="P269" s="38"/>
      <c r="Q269" s="38"/>
      <c r="R269" s="38"/>
      <c r="S269" s="38"/>
      <c r="T269" s="38"/>
      <c r="U269" s="38"/>
      <c r="V269" s="38"/>
      <c r="W269" s="38"/>
      <c r="X269" s="38"/>
      <c r="Y269" s="38"/>
    </row>
    <row r="270">
      <c r="A270" s="38"/>
      <c r="B270" s="143"/>
      <c r="C270" s="38"/>
      <c r="D270" s="38"/>
      <c r="E270" s="38"/>
      <c r="F270" s="38"/>
      <c r="G270" s="38"/>
      <c r="H270" s="38"/>
      <c r="I270" s="38"/>
      <c r="J270" s="38"/>
      <c r="K270" s="38"/>
      <c r="L270" s="38"/>
      <c r="M270" s="38"/>
      <c r="N270" s="38"/>
      <c r="O270" s="38"/>
      <c r="P270" s="38"/>
      <c r="Q270" s="38"/>
      <c r="R270" s="38"/>
      <c r="S270" s="38"/>
      <c r="T270" s="38"/>
      <c r="U270" s="38"/>
      <c r="V270" s="38"/>
      <c r="W270" s="38"/>
      <c r="X270" s="38"/>
      <c r="Y270" s="38"/>
    </row>
    <row r="271">
      <c r="A271" s="38"/>
      <c r="B271" s="143"/>
      <c r="C271" s="38"/>
      <c r="D271" s="38"/>
      <c r="E271" s="38"/>
      <c r="F271" s="38"/>
      <c r="G271" s="38"/>
      <c r="H271" s="38"/>
      <c r="I271" s="38"/>
      <c r="J271" s="38"/>
      <c r="K271" s="38"/>
      <c r="L271" s="38"/>
      <c r="M271" s="38"/>
      <c r="N271" s="38"/>
      <c r="O271" s="38"/>
      <c r="P271" s="38"/>
      <c r="Q271" s="38"/>
      <c r="R271" s="38"/>
      <c r="S271" s="38"/>
      <c r="T271" s="38"/>
      <c r="U271" s="38"/>
      <c r="V271" s="38"/>
      <c r="W271" s="38"/>
      <c r="X271" s="38"/>
      <c r="Y271" s="38"/>
    </row>
    <row r="272">
      <c r="A272" s="38"/>
      <c r="B272" s="143"/>
      <c r="C272" s="38"/>
      <c r="D272" s="38"/>
      <c r="E272" s="38"/>
      <c r="F272" s="38"/>
      <c r="G272" s="38"/>
      <c r="H272" s="38"/>
      <c r="I272" s="38"/>
      <c r="J272" s="38"/>
      <c r="K272" s="38"/>
      <c r="L272" s="38"/>
      <c r="M272" s="38"/>
      <c r="N272" s="38"/>
      <c r="O272" s="38"/>
      <c r="P272" s="38"/>
      <c r="Q272" s="38"/>
      <c r="R272" s="38"/>
      <c r="S272" s="38"/>
      <c r="T272" s="38"/>
      <c r="U272" s="38"/>
      <c r="V272" s="38"/>
      <c r="W272" s="38"/>
      <c r="X272" s="38"/>
      <c r="Y272" s="38"/>
    </row>
    <row r="273">
      <c r="A273" s="38"/>
      <c r="B273" s="143"/>
      <c r="C273" s="38"/>
      <c r="D273" s="38"/>
      <c r="E273" s="38"/>
      <c r="F273" s="38"/>
      <c r="G273" s="38"/>
      <c r="H273" s="38"/>
      <c r="I273" s="38"/>
      <c r="J273" s="38"/>
      <c r="K273" s="38"/>
      <c r="L273" s="38"/>
      <c r="M273" s="38"/>
      <c r="N273" s="38"/>
      <c r="O273" s="38"/>
      <c r="P273" s="38"/>
      <c r="Q273" s="38"/>
      <c r="R273" s="38"/>
      <c r="S273" s="38"/>
      <c r="T273" s="38"/>
      <c r="U273" s="38"/>
      <c r="V273" s="38"/>
      <c r="W273" s="38"/>
      <c r="X273" s="38"/>
      <c r="Y273" s="38"/>
    </row>
    <row r="274">
      <c r="A274" s="38"/>
      <c r="B274" s="143"/>
      <c r="C274" s="38"/>
      <c r="D274" s="38"/>
      <c r="E274" s="38"/>
      <c r="F274" s="38"/>
      <c r="G274" s="38"/>
      <c r="H274" s="38"/>
      <c r="I274" s="38"/>
      <c r="J274" s="38"/>
      <c r="K274" s="38"/>
      <c r="L274" s="38"/>
      <c r="M274" s="38"/>
      <c r="N274" s="38"/>
      <c r="O274" s="38"/>
      <c r="P274" s="38"/>
      <c r="Q274" s="38"/>
      <c r="R274" s="38"/>
      <c r="S274" s="38"/>
      <c r="T274" s="38"/>
      <c r="U274" s="38"/>
      <c r="V274" s="38"/>
      <c r="W274" s="38"/>
      <c r="X274" s="38"/>
      <c r="Y274" s="38"/>
    </row>
    <row r="275">
      <c r="A275" s="38"/>
      <c r="B275" s="143"/>
      <c r="C275" s="38"/>
      <c r="D275" s="38"/>
      <c r="E275" s="38"/>
      <c r="F275" s="38"/>
      <c r="G275" s="38"/>
      <c r="H275" s="38"/>
      <c r="I275" s="38"/>
      <c r="J275" s="38"/>
      <c r="K275" s="38"/>
      <c r="L275" s="38"/>
      <c r="M275" s="38"/>
      <c r="N275" s="38"/>
      <c r="O275" s="38"/>
      <c r="P275" s="38"/>
      <c r="Q275" s="38"/>
      <c r="R275" s="38"/>
      <c r="S275" s="38"/>
      <c r="T275" s="38"/>
      <c r="U275" s="38"/>
      <c r="V275" s="38"/>
      <c r="W275" s="38"/>
      <c r="X275" s="38"/>
      <c r="Y275" s="38"/>
    </row>
    <row r="276">
      <c r="A276" s="38"/>
      <c r="B276" s="143"/>
      <c r="C276" s="38"/>
      <c r="D276" s="38"/>
      <c r="E276" s="38"/>
      <c r="F276" s="38"/>
      <c r="G276" s="38"/>
      <c r="H276" s="38"/>
      <c r="I276" s="38"/>
      <c r="J276" s="38"/>
      <c r="K276" s="38"/>
      <c r="L276" s="38"/>
      <c r="M276" s="38"/>
      <c r="N276" s="38"/>
      <c r="O276" s="38"/>
      <c r="P276" s="38"/>
      <c r="Q276" s="38"/>
      <c r="R276" s="38"/>
      <c r="S276" s="38"/>
      <c r="T276" s="38"/>
      <c r="U276" s="38"/>
      <c r="V276" s="38"/>
      <c r="W276" s="38"/>
      <c r="X276" s="38"/>
      <c r="Y276" s="38"/>
    </row>
    <row r="277">
      <c r="A277" s="38"/>
      <c r="B277" s="143"/>
      <c r="C277" s="38"/>
      <c r="D277" s="38"/>
      <c r="E277" s="38"/>
      <c r="F277" s="38"/>
      <c r="G277" s="38"/>
      <c r="H277" s="38"/>
      <c r="I277" s="38"/>
      <c r="J277" s="38"/>
      <c r="K277" s="38"/>
      <c r="L277" s="38"/>
      <c r="M277" s="38"/>
      <c r="N277" s="38"/>
      <c r="O277" s="38"/>
      <c r="P277" s="38"/>
      <c r="Q277" s="38"/>
      <c r="R277" s="38"/>
      <c r="S277" s="38"/>
      <c r="T277" s="38"/>
      <c r="U277" s="38"/>
      <c r="V277" s="38"/>
      <c r="W277" s="38"/>
      <c r="X277" s="38"/>
      <c r="Y277" s="38"/>
    </row>
    <row r="278">
      <c r="A278" s="38"/>
      <c r="B278" s="143"/>
      <c r="C278" s="38"/>
      <c r="D278" s="38"/>
      <c r="E278" s="38"/>
      <c r="F278" s="38"/>
      <c r="G278" s="38"/>
      <c r="H278" s="38"/>
      <c r="I278" s="38"/>
      <c r="J278" s="38"/>
      <c r="K278" s="38"/>
      <c r="L278" s="38"/>
      <c r="M278" s="38"/>
      <c r="N278" s="38"/>
      <c r="O278" s="38"/>
      <c r="P278" s="38"/>
      <c r="Q278" s="38"/>
      <c r="R278" s="38"/>
      <c r="S278" s="38"/>
      <c r="T278" s="38"/>
      <c r="U278" s="38"/>
      <c r="V278" s="38"/>
      <c r="W278" s="38"/>
      <c r="X278" s="38"/>
      <c r="Y278" s="38"/>
    </row>
    <row r="279">
      <c r="A279" s="38"/>
      <c r="B279" s="143"/>
      <c r="C279" s="38"/>
      <c r="D279" s="38"/>
      <c r="E279" s="38"/>
      <c r="F279" s="38"/>
      <c r="G279" s="38"/>
      <c r="H279" s="38"/>
      <c r="I279" s="38"/>
      <c r="J279" s="38"/>
      <c r="K279" s="38"/>
      <c r="L279" s="38"/>
      <c r="M279" s="38"/>
      <c r="N279" s="38"/>
      <c r="O279" s="38"/>
      <c r="P279" s="38"/>
      <c r="Q279" s="38"/>
      <c r="R279" s="38"/>
      <c r="S279" s="38"/>
      <c r="T279" s="38"/>
      <c r="U279" s="38"/>
      <c r="V279" s="38"/>
      <c r="W279" s="38"/>
      <c r="X279" s="38"/>
      <c r="Y279" s="38"/>
    </row>
    <row r="280">
      <c r="A280" s="38"/>
      <c r="B280" s="143"/>
      <c r="C280" s="38"/>
      <c r="D280" s="38"/>
      <c r="E280" s="38"/>
      <c r="F280" s="38"/>
      <c r="G280" s="38"/>
      <c r="H280" s="38"/>
      <c r="I280" s="38"/>
      <c r="J280" s="38"/>
      <c r="K280" s="38"/>
      <c r="L280" s="38"/>
      <c r="M280" s="38"/>
      <c r="N280" s="38"/>
      <c r="O280" s="38"/>
      <c r="P280" s="38"/>
      <c r="Q280" s="38"/>
      <c r="R280" s="38"/>
      <c r="S280" s="38"/>
      <c r="T280" s="38"/>
      <c r="U280" s="38"/>
      <c r="V280" s="38"/>
      <c r="W280" s="38"/>
      <c r="X280" s="38"/>
      <c r="Y280" s="38"/>
    </row>
    <row r="281">
      <c r="A281" s="38"/>
      <c r="B281" s="143"/>
      <c r="C281" s="38"/>
      <c r="D281" s="38"/>
      <c r="E281" s="38"/>
      <c r="F281" s="38"/>
      <c r="G281" s="38"/>
      <c r="H281" s="38"/>
      <c r="I281" s="38"/>
      <c r="J281" s="38"/>
      <c r="K281" s="38"/>
      <c r="L281" s="38"/>
      <c r="M281" s="38"/>
      <c r="N281" s="38"/>
      <c r="O281" s="38"/>
      <c r="P281" s="38"/>
      <c r="Q281" s="38"/>
      <c r="R281" s="38"/>
      <c r="S281" s="38"/>
      <c r="T281" s="38"/>
      <c r="U281" s="38"/>
      <c r="V281" s="38"/>
      <c r="W281" s="38"/>
      <c r="X281" s="38"/>
      <c r="Y281" s="38"/>
    </row>
    <row r="282">
      <c r="A282" s="38"/>
      <c r="B282" s="143"/>
      <c r="C282" s="38"/>
      <c r="D282" s="38"/>
      <c r="E282" s="38"/>
      <c r="F282" s="38"/>
      <c r="G282" s="38"/>
      <c r="H282" s="38"/>
      <c r="I282" s="38"/>
      <c r="J282" s="38"/>
      <c r="K282" s="38"/>
      <c r="L282" s="38"/>
      <c r="M282" s="38"/>
      <c r="N282" s="38"/>
      <c r="O282" s="38"/>
      <c r="P282" s="38"/>
      <c r="Q282" s="38"/>
      <c r="R282" s="38"/>
      <c r="S282" s="38"/>
      <c r="T282" s="38"/>
      <c r="U282" s="38"/>
      <c r="V282" s="38"/>
      <c r="W282" s="38"/>
      <c r="X282" s="38"/>
      <c r="Y282" s="38"/>
    </row>
    <row r="283">
      <c r="A283" s="38"/>
      <c r="B283" s="143"/>
      <c r="C283" s="38"/>
      <c r="D283" s="38"/>
      <c r="E283" s="38"/>
      <c r="F283" s="38"/>
      <c r="G283" s="38"/>
      <c r="H283" s="38"/>
      <c r="I283" s="38"/>
      <c r="J283" s="38"/>
      <c r="K283" s="38"/>
      <c r="L283" s="38"/>
      <c r="M283" s="38"/>
      <c r="N283" s="38"/>
      <c r="O283" s="38"/>
      <c r="P283" s="38"/>
      <c r="Q283" s="38"/>
      <c r="R283" s="38"/>
      <c r="S283" s="38"/>
      <c r="T283" s="38"/>
      <c r="U283" s="38"/>
      <c r="V283" s="38"/>
      <c r="W283" s="38"/>
      <c r="X283" s="38"/>
      <c r="Y283" s="38"/>
    </row>
    <row r="284">
      <c r="A284" s="38"/>
      <c r="B284" s="143"/>
      <c r="C284" s="38"/>
      <c r="D284" s="38"/>
      <c r="E284" s="38"/>
      <c r="F284" s="38"/>
      <c r="G284" s="38"/>
      <c r="H284" s="38"/>
      <c r="I284" s="38"/>
      <c r="J284" s="38"/>
      <c r="K284" s="38"/>
      <c r="L284" s="38"/>
      <c r="M284" s="38"/>
      <c r="N284" s="38"/>
      <c r="O284" s="38"/>
      <c r="P284" s="38"/>
      <c r="Q284" s="38"/>
      <c r="R284" s="38"/>
      <c r="S284" s="38"/>
      <c r="T284" s="38"/>
      <c r="U284" s="38"/>
      <c r="V284" s="38"/>
      <c r="W284" s="38"/>
      <c r="X284" s="38"/>
      <c r="Y284" s="38"/>
    </row>
    <row r="285">
      <c r="A285" s="38"/>
      <c r="B285" s="143"/>
      <c r="C285" s="38"/>
      <c r="D285" s="38"/>
      <c r="E285" s="38"/>
      <c r="F285" s="38"/>
      <c r="G285" s="38"/>
      <c r="H285" s="38"/>
      <c r="I285" s="38"/>
      <c r="J285" s="38"/>
      <c r="K285" s="38"/>
      <c r="L285" s="38"/>
      <c r="M285" s="38"/>
      <c r="N285" s="38"/>
      <c r="O285" s="38"/>
      <c r="P285" s="38"/>
      <c r="Q285" s="38"/>
      <c r="R285" s="38"/>
      <c r="S285" s="38"/>
      <c r="T285" s="38"/>
      <c r="U285" s="38"/>
      <c r="V285" s="38"/>
      <c r="W285" s="38"/>
      <c r="X285" s="38"/>
      <c r="Y285" s="38"/>
    </row>
    <row r="286">
      <c r="A286" s="38"/>
      <c r="B286" s="143"/>
      <c r="C286" s="38"/>
      <c r="D286" s="38"/>
      <c r="E286" s="38"/>
      <c r="F286" s="38"/>
      <c r="G286" s="38"/>
      <c r="H286" s="38"/>
      <c r="I286" s="38"/>
      <c r="J286" s="38"/>
      <c r="K286" s="38"/>
      <c r="L286" s="38"/>
      <c r="M286" s="38"/>
      <c r="N286" s="38"/>
      <c r="O286" s="38"/>
      <c r="P286" s="38"/>
      <c r="Q286" s="38"/>
      <c r="R286" s="38"/>
      <c r="S286" s="38"/>
      <c r="T286" s="38"/>
      <c r="U286" s="38"/>
      <c r="V286" s="38"/>
      <c r="W286" s="38"/>
      <c r="X286" s="38"/>
      <c r="Y286" s="38"/>
    </row>
    <row r="287">
      <c r="A287" s="38"/>
      <c r="B287" s="143"/>
      <c r="C287" s="38"/>
      <c r="D287" s="38"/>
      <c r="E287" s="38"/>
      <c r="F287" s="38"/>
      <c r="G287" s="38"/>
      <c r="H287" s="38"/>
      <c r="I287" s="38"/>
      <c r="J287" s="38"/>
      <c r="K287" s="38"/>
      <c r="L287" s="38"/>
      <c r="M287" s="38"/>
      <c r="N287" s="38"/>
      <c r="O287" s="38"/>
      <c r="P287" s="38"/>
      <c r="Q287" s="38"/>
      <c r="R287" s="38"/>
      <c r="S287" s="38"/>
      <c r="T287" s="38"/>
      <c r="U287" s="38"/>
      <c r="V287" s="38"/>
      <c r="W287" s="38"/>
      <c r="X287" s="38"/>
      <c r="Y287" s="38"/>
    </row>
    <row r="288">
      <c r="A288" s="38"/>
      <c r="B288" s="143"/>
      <c r="C288" s="38"/>
      <c r="D288" s="38"/>
      <c r="E288" s="38"/>
      <c r="F288" s="38"/>
      <c r="G288" s="38"/>
      <c r="H288" s="38"/>
      <c r="I288" s="38"/>
      <c r="J288" s="38"/>
      <c r="K288" s="38"/>
      <c r="L288" s="38"/>
      <c r="M288" s="38"/>
      <c r="N288" s="38"/>
      <c r="O288" s="38"/>
      <c r="P288" s="38"/>
      <c r="Q288" s="38"/>
      <c r="R288" s="38"/>
      <c r="S288" s="38"/>
      <c r="T288" s="38"/>
      <c r="U288" s="38"/>
      <c r="V288" s="38"/>
      <c r="W288" s="38"/>
      <c r="X288" s="38"/>
      <c r="Y288" s="38"/>
    </row>
    <row r="289">
      <c r="A289" s="38"/>
      <c r="B289" s="143"/>
      <c r="C289" s="38"/>
      <c r="D289" s="38"/>
      <c r="E289" s="38"/>
      <c r="F289" s="38"/>
      <c r="G289" s="38"/>
      <c r="H289" s="38"/>
      <c r="I289" s="38"/>
      <c r="J289" s="38"/>
      <c r="K289" s="38"/>
      <c r="L289" s="38"/>
      <c r="M289" s="38"/>
      <c r="N289" s="38"/>
      <c r="O289" s="38"/>
      <c r="P289" s="38"/>
      <c r="Q289" s="38"/>
      <c r="R289" s="38"/>
      <c r="S289" s="38"/>
      <c r="T289" s="38"/>
      <c r="U289" s="38"/>
      <c r="V289" s="38"/>
      <c r="W289" s="38"/>
      <c r="X289" s="38"/>
      <c r="Y289" s="38"/>
    </row>
    <row r="290">
      <c r="A290" s="38"/>
      <c r="B290" s="143"/>
      <c r="C290" s="38"/>
      <c r="D290" s="38"/>
      <c r="E290" s="38"/>
      <c r="F290" s="38"/>
      <c r="G290" s="38"/>
      <c r="H290" s="38"/>
      <c r="I290" s="38"/>
      <c r="J290" s="38"/>
      <c r="K290" s="38"/>
      <c r="L290" s="38"/>
      <c r="M290" s="38"/>
      <c r="N290" s="38"/>
      <c r="O290" s="38"/>
      <c r="P290" s="38"/>
      <c r="Q290" s="38"/>
      <c r="R290" s="38"/>
      <c r="S290" s="38"/>
      <c r="T290" s="38"/>
      <c r="U290" s="38"/>
      <c r="V290" s="38"/>
      <c r="W290" s="38"/>
      <c r="X290" s="38"/>
      <c r="Y290" s="38"/>
    </row>
    <row r="291">
      <c r="A291" s="38"/>
      <c r="B291" s="143"/>
      <c r="C291" s="38"/>
      <c r="D291" s="38"/>
      <c r="E291" s="38"/>
      <c r="F291" s="38"/>
      <c r="G291" s="38"/>
      <c r="H291" s="38"/>
      <c r="I291" s="38"/>
      <c r="J291" s="38"/>
      <c r="K291" s="38"/>
      <c r="L291" s="38"/>
      <c r="M291" s="38"/>
      <c r="N291" s="38"/>
      <c r="O291" s="38"/>
      <c r="P291" s="38"/>
      <c r="Q291" s="38"/>
      <c r="R291" s="38"/>
      <c r="S291" s="38"/>
      <c r="T291" s="38"/>
      <c r="U291" s="38"/>
      <c r="V291" s="38"/>
      <c r="W291" s="38"/>
      <c r="X291" s="38"/>
      <c r="Y291" s="38"/>
    </row>
    <row r="292">
      <c r="A292" s="38"/>
      <c r="B292" s="143"/>
      <c r="C292" s="38"/>
      <c r="D292" s="38"/>
      <c r="E292" s="38"/>
      <c r="F292" s="38"/>
      <c r="G292" s="38"/>
      <c r="H292" s="38"/>
      <c r="I292" s="38"/>
      <c r="J292" s="38"/>
      <c r="K292" s="38"/>
      <c r="L292" s="38"/>
      <c r="M292" s="38"/>
      <c r="N292" s="38"/>
      <c r="O292" s="38"/>
      <c r="P292" s="38"/>
      <c r="Q292" s="38"/>
      <c r="R292" s="38"/>
      <c r="S292" s="38"/>
      <c r="T292" s="38"/>
      <c r="U292" s="38"/>
      <c r="V292" s="38"/>
      <c r="W292" s="38"/>
      <c r="X292" s="38"/>
      <c r="Y292" s="38"/>
    </row>
    <row r="293">
      <c r="A293" s="38"/>
      <c r="B293" s="143"/>
      <c r="C293" s="38"/>
      <c r="D293" s="38"/>
      <c r="E293" s="38"/>
      <c r="F293" s="38"/>
      <c r="G293" s="38"/>
      <c r="H293" s="38"/>
      <c r="I293" s="38"/>
      <c r="J293" s="38"/>
      <c r="K293" s="38"/>
      <c r="L293" s="38"/>
      <c r="M293" s="38"/>
      <c r="N293" s="38"/>
      <c r="O293" s="38"/>
      <c r="P293" s="38"/>
      <c r="Q293" s="38"/>
      <c r="R293" s="38"/>
      <c r="S293" s="38"/>
      <c r="T293" s="38"/>
      <c r="U293" s="38"/>
      <c r="V293" s="38"/>
      <c r="W293" s="38"/>
      <c r="X293" s="38"/>
      <c r="Y293" s="38"/>
    </row>
    <row r="294">
      <c r="A294" s="38"/>
      <c r="B294" s="143"/>
      <c r="C294" s="38"/>
      <c r="D294" s="38"/>
      <c r="E294" s="38"/>
      <c r="F294" s="38"/>
      <c r="G294" s="38"/>
      <c r="H294" s="38"/>
      <c r="I294" s="38"/>
      <c r="J294" s="38"/>
      <c r="K294" s="38"/>
      <c r="L294" s="38"/>
      <c r="M294" s="38"/>
      <c r="N294" s="38"/>
      <c r="O294" s="38"/>
      <c r="P294" s="38"/>
      <c r="Q294" s="38"/>
      <c r="R294" s="38"/>
      <c r="S294" s="38"/>
      <c r="T294" s="38"/>
      <c r="U294" s="38"/>
      <c r="V294" s="38"/>
      <c r="W294" s="38"/>
      <c r="X294" s="38"/>
      <c r="Y294" s="38"/>
    </row>
    <row r="295">
      <c r="A295" s="38"/>
      <c r="B295" s="143"/>
      <c r="C295" s="38"/>
      <c r="D295" s="38"/>
      <c r="E295" s="38"/>
      <c r="F295" s="38"/>
      <c r="G295" s="38"/>
      <c r="H295" s="38"/>
      <c r="I295" s="38"/>
      <c r="J295" s="38"/>
      <c r="K295" s="38"/>
      <c r="L295" s="38"/>
      <c r="M295" s="38"/>
      <c r="N295" s="38"/>
      <c r="O295" s="38"/>
      <c r="P295" s="38"/>
      <c r="Q295" s="38"/>
      <c r="R295" s="38"/>
      <c r="S295" s="38"/>
      <c r="T295" s="38"/>
      <c r="U295" s="38"/>
      <c r="V295" s="38"/>
      <c r="W295" s="38"/>
      <c r="X295" s="38"/>
      <c r="Y295" s="38"/>
    </row>
    <row r="296">
      <c r="A296" s="38"/>
      <c r="B296" s="143"/>
      <c r="C296" s="38"/>
      <c r="D296" s="38"/>
      <c r="E296" s="38"/>
      <c r="F296" s="38"/>
      <c r="G296" s="38"/>
      <c r="H296" s="38"/>
      <c r="I296" s="38"/>
      <c r="J296" s="38"/>
      <c r="K296" s="38"/>
      <c r="L296" s="38"/>
      <c r="M296" s="38"/>
      <c r="N296" s="38"/>
      <c r="O296" s="38"/>
      <c r="P296" s="38"/>
      <c r="Q296" s="38"/>
      <c r="R296" s="38"/>
      <c r="S296" s="38"/>
      <c r="T296" s="38"/>
      <c r="U296" s="38"/>
      <c r="V296" s="38"/>
      <c r="W296" s="38"/>
      <c r="X296" s="38"/>
      <c r="Y296" s="38"/>
    </row>
    <row r="297">
      <c r="A297" s="38"/>
      <c r="B297" s="143"/>
      <c r="C297" s="38"/>
      <c r="D297" s="38"/>
      <c r="E297" s="38"/>
      <c r="F297" s="38"/>
      <c r="G297" s="38"/>
      <c r="H297" s="38"/>
      <c r="I297" s="38"/>
      <c r="J297" s="38"/>
      <c r="K297" s="38"/>
      <c r="L297" s="38"/>
      <c r="M297" s="38"/>
      <c r="N297" s="38"/>
      <c r="O297" s="38"/>
      <c r="P297" s="38"/>
      <c r="Q297" s="38"/>
      <c r="R297" s="38"/>
      <c r="S297" s="38"/>
      <c r="T297" s="38"/>
      <c r="U297" s="38"/>
      <c r="V297" s="38"/>
      <c r="W297" s="38"/>
      <c r="X297" s="38"/>
      <c r="Y297" s="38"/>
    </row>
    <row r="298">
      <c r="A298" s="38"/>
      <c r="B298" s="143"/>
      <c r="C298" s="38"/>
      <c r="D298" s="38"/>
      <c r="E298" s="38"/>
      <c r="F298" s="38"/>
      <c r="G298" s="38"/>
      <c r="H298" s="38"/>
      <c r="I298" s="38"/>
      <c r="J298" s="38"/>
      <c r="K298" s="38"/>
      <c r="L298" s="38"/>
      <c r="M298" s="38"/>
      <c r="N298" s="38"/>
      <c r="O298" s="38"/>
      <c r="P298" s="38"/>
      <c r="Q298" s="38"/>
      <c r="R298" s="38"/>
      <c r="S298" s="38"/>
      <c r="T298" s="38"/>
      <c r="U298" s="38"/>
      <c r="V298" s="38"/>
      <c r="W298" s="38"/>
      <c r="X298" s="38"/>
      <c r="Y298" s="38"/>
    </row>
    <row r="299">
      <c r="A299" s="38"/>
      <c r="B299" s="143"/>
      <c r="C299" s="38"/>
      <c r="D299" s="38"/>
      <c r="E299" s="38"/>
      <c r="F299" s="38"/>
      <c r="G299" s="38"/>
      <c r="H299" s="38"/>
      <c r="I299" s="38"/>
      <c r="J299" s="38"/>
      <c r="K299" s="38"/>
      <c r="L299" s="38"/>
      <c r="M299" s="38"/>
      <c r="N299" s="38"/>
      <c r="O299" s="38"/>
      <c r="P299" s="38"/>
      <c r="Q299" s="38"/>
      <c r="R299" s="38"/>
      <c r="S299" s="38"/>
      <c r="T299" s="38"/>
      <c r="U299" s="38"/>
      <c r="V299" s="38"/>
      <c r="W299" s="38"/>
      <c r="X299" s="38"/>
      <c r="Y299" s="38"/>
    </row>
    <row r="300">
      <c r="A300" s="38"/>
      <c r="B300" s="143"/>
      <c r="C300" s="38"/>
      <c r="D300" s="38"/>
      <c r="E300" s="38"/>
      <c r="F300" s="38"/>
      <c r="G300" s="38"/>
      <c r="H300" s="38"/>
      <c r="I300" s="38"/>
      <c r="J300" s="38"/>
      <c r="K300" s="38"/>
      <c r="L300" s="38"/>
      <c r="M300" s="38"/>
      <c r="N300" s="38"/>
      <c r="O300" s="38"/>
      <c r="P300" s="38"/>
      <c r="Q300" s="38"/>
      <c r="R300" s="38"/>
      <c r="S300" s="38"/>
      <c r="T300" s="38"/>
      <c r="U300" s="38"/>
      <c r="V300" s="38"/>
      <c r="W300" s="38"/>
      <c r="X300" s="38"/>
      <c r="Y300" s="38"/>
    </row>
    <row r="301">
      <c r="A301" s="38"/>
      <c r="B301" s="143"/>
      <c r="C301" s="38"/>
      <c r="D301" s="38"/>
      <c r="E301" s="38"/>
      <c r="F301" s="38"/>
      <c r="G301" s="38"/>
      <c r="H301" s="38"/>
      <c r="I301" s="38"/>
      <c r="J301" s="38"/>
      <c r="K301" s="38"/>
      <c r="L301" s="38"/>
      <c r="M301" s="38"/>
      <c r="N301" s="38"/>
      <c r="O301" s="38"/>
      <c r="P301" s="38"/>
      <c r="Q301" s="38"/>
      <c r="R301" s="38"/>
      <c r="S301" s="38"/>
      <c r="T301" s="38"/>
      <c r="U301" s="38"/>
      <c r="V301" s="38"/>
      <c r="W301" s="38"/>
      <c r="X301" s="38"/>
      <c r="Y301" s="38"/>
    </row>
    <row r="302">
      <c r="A302" s="38"/>
      <c r="B302" s="143"/>
      <c r="C302" s="38"/>
      <c r="D302" s="38"/>
      <c r="E302" s="38"/>
      <c r="F302" s="38"/>
      <c r="G302" s="38"/>
      <c r="H302" s="38"/>
      <c r="I302" s="38"/>
      <c r="J302" s="38"/>
      <c r="K302" s="38"/>
      <c r="L302" s="38"/>
      <c r="M302" s="38"/>
      <c r="N302" s="38"/>
      <c r="O302" s="38"/>
      <c r="P302" s="38"/>
      <c r="Q302" s="38"/>
      <c r="R302" s="38"/>
      <c r="S302" s="38"/>
      <c r="T302" s="38"/>
      <c r="U302" s="38"/>
      <c r="V302" s="38"/>
      <c r="W302" s="38"/>
      <c r="X302" s="38"/>
      <c r="Y302" s="38"/>
    </row>
    <row r="303">
      <c r="A303" s="38"/>
      <c r="B303" s="143"/>
      <c r="C303" s="38"/>
      <c r="D303" s="38"/>
      <c r="E303" s="38"/>
      <c r="F303" s="38"/>
      <c r="G303" s="38"/>
      <c r="H303" s="38"/>
      <c r="I303" s="38"/>
      <c r="J303" s="38"/>
      <c r="K303" s="38"/>
      <c r="L303" s="38"/>
      <c r="M303" s="38"/>
      <c r="N303" s="38"/>
      <c r="O303" s="38"/>
      <c r="P303" s="38"/>
      <c r="Q303" s="38"/>
      <c r="R303" s="38"/>
      <c r="S303" s="38"/>
      <c r="T303" s="38"/>
      <c r="U303" s="38"/>
      <c r="V303" s="38"/>
      <c r="W303" s="38"/>
      <c r="X303" s="38"/>
      <c r="Y303" s="38"/>
    </row>
    <row r="304">
      <c r="A304" s="38"/>
      <c r="B304" s="143"/>
      <c r="C304" s="38"/>
      <c r="D304" s="38"/>
      <c r="E304" s="38"/>
      <c r="F304" s="38"/>
      <c r="G304" s="38"/>
      <c r="H304" s="38"/>
      <c r="I304" s="38"/>
      <c r="J304" s="38"/>
      <c r="K304" s="38"/>
      <c r="L304" s="38"/>
      <c r="M304" s="38"/>
      <c r="N304" s="38"/>
      <c r="O304" s="38"/>
      <c r="P304" s="38"/>
      <c r="Q304" s="38"/>
      <c r="R304" s="38"/>
      <c r="S304" s="38"/>
      <c r="T304" s="38"/>
      <c r="U304" s="38"/>
      <c r="V304" s="38"/>
      <c r="W304" s="38"/>
      <c r="X304" s="38"/>
      <c r="Y304" s="38"/>
    </row>
    <row r="305">
      <c r="A305" s="38"/>
      <c r="B305" s="143"/>
      <c r="C305" s="38"/>
      <c r="D305" s="38"/>
      <c r="E305" s="38"/>
      <c r="F305" s="38"/>
      <c r="G305" s="38"/>
      <c r="H305" s="38"/>
      <c r="I305" s="38"/>
      <c r="J305" s="38"/>
      <c r="K305" s="38"/>
      <c r="L305" s="38"/>
      <c r="M305" s="38"/>
      <c r="N305" s="38"/>
      <c r="O305" s="38"/>
      <c r="P305" s="38"/>
      <c r="Q305" s="38"/>
      <c r="R305" s="38"/>
      <c r="S305" s="38"/>
      <c r="T305" s="38"/>
      <c r="U305" s="38"/>
      <c r="V305" s="38"/>
      <c r="W305" s="38"/>
      <c r="X305" s="38"/>
      <c r="Y305" s="38"/>
    </row>
    <row r="306">
      <c r="A306" s="38"/>
      <c r="B306" s="143"/>
      <c r="C306" s="38"/>
      <c r="D306" s="38"/>
      <c r="E306" s="38"/>
      <c r="F306" s="38"/>
      <c r="G306" s="38"/>
      <c r="H306" s="38"/>
      <c r="I306" s="38"/>
      <c r="J306" s="38"/>
      <c r="K306" s="38"/>
      <c r="L306" s="38"/>
      <c r="M306" s="38"/>
      <c r="N306" s="38"/>
      <c r="O306" s="38"/>
      <c r="P306" s="38"/>
      <c r="Q306" s="38"/>
      <c r="R306" s="38"/>
      <c r="S306" s="38"/>
      <c r="T306" s="38"/>
      <c r="U306" s="38"/>
      <c r="V306" s="38"/>
      <c r="W306" s="38"/>
      <c r="X306" s="38"/>
      <c r="Y306" s="38"/>
    </row>
    <row r="307">
      <c r="A307" s="38"/>
      <c r="B307" s="143"/>
      <c r="C307" s="38"/>
      <c r="D307" s="38"/>
      <c r="E307" s="38"/>
      <c r="F307" s="38"/>
      <c r="G307" s="38"/>
      <c r="H307" s="38"/>
      <c r="I307" s="38"/>
      <c r="J307" s="38"/>
      <c r="K307" s="38"/>
      <c r="L307" s="38"/>
      <c r="M307" s="38"/>
      <c r="N307" s="38"/>
      <c r="O307" s="38"/>
      <c r="P307" s="38"/>
      <c r="Q307" s="38"/>
      <c r="R307" s="38"/>
      <c r="S307" s="38"/>
      <c r="T307" s="38"/>
      <c r="U307" s="38"/>
      <c r="V307" s="38"/>
      <c r="W307" s="38"/>
      <c r="X307" s="38"/>
      <c r="Y307" s="38"/>
    </row>
    <row r="308">
      <c r="A308" s="38"/>
      <c r="B308" s="143"/>
      <c r="C308" s="38"/>
      <c r="D308" s="38"/>
      <c r="E308" s="38"/>
      <c r="F308" s="38"/>
      <c r="G308" s="38"/>
      <c r="H308" s="38"/>
      <c r="I308" s="38"/>
      <c r="J308" s="38"/>
      <c r="K308" s="38"/>
      <c r="L308" s="38"/>
      <c r="M308" s="38"/>
      <c r="N308" s="38"/>
      <c r="O308" s="38"/>
      <c r="P308" s="38"/>
      <c r="Q308" s="38"/>
      <c r="R308" s="38"/>
      <c r="S308" s="38"/>
      <c r="T308" s="38"/>
      <c r="U308" s="38"/>
      <c r="V308" s="38"/>
      <c r="W308" s="38"/>
      <c r="X308" s="38"/>
      <c r="Y308" s="38"/>
    </row>
    <row r="309">
      <c r="A309" s="38"/>
      <c r="B309" s="143"/>
      <c r="C309" s="38"/>
      <c r="D309" s="38"/>
      <c r="E309" s="38"/>
      <c r="F309" s="38"/>
      <c r="G309" s="38"/>
      <c r="H309" s="38"/>
      <c r="I309" s="38"/>
      <c r="J309" s="38"/>
      <c r="K309" s="38"/>
      <c r="L309" s="38"/>
      <c r="M309" s="38"/>
      <c r="N309" s="38"/>
      <c r="O309" s="38"/>
      <c r="P309" s="38"/>
      <c r="Q309" s="38"/>
      <c r="R309" s="38"/>
      <c r="S309" s="38"/>
      <c r="T309" s="38"/>
      <c r="U309" s="38"/>
      <c r="V309" s="38"/>
      <c r="W309" s="38"/>
      <c r="X309" s="38"/>
      <c r="Y309" s="38"/>
    </row>
    <row r="310">
      <c r="A310" s="38"/>
      <c r="B310" s="143"/>
      <c r="C310" s="38"/>
      <c r="D310" s="38"/>
      <c r="E310" s="38"/>
      <c r="F310" s="38"/>
      <c r="G310" s="38"/>
      <c r="H310" s="38"/>
      <c r="I310" s="38"/>
      <c r="J310" s="38"/>
      <c r="K310" s="38"/>
      <c r="L310" s="38"/>
      <c r="M310" s="38"/>
      <c r="N310" s="38"/>
      <c r="O310" s="38"/>
      <c r="P310" s="38"/>
      <c r="Q310" s="38"/>
      <c r="R310" s="38"/>
      <c r="S310" s="38"/>
      <c r="T310" s="38"/>
      <c r="U310" s="38"/>
      <c r="V310" s="38"/>
      <c r="W310" s="38"/>
      <c r="X310" s="38"/>
      <c r="Y310" s="38"/>
    </row>
    <row r="311">
      <c r="A311" s="38"/>
      <c r="B311" s="143"/>
      <c r="C311" s="38"/>
      <c r="D311" s="38"/>
      <c r="E311" s="38"/>
      <c r="F311" s="38"/>
      <c r="G311" s="38"/>
      <c r="H311" s="38"/>
      <c r="I311" s="38"/>
      <c r="J311" s="38"/>
      <c r="K311" s="38"/>
      <c r="L311" s="38"/>
      <c r="M311" s="38"/>
      <c r="N311" s="38"/>
      <c r="O311" s="38"/>
      <c r="P311" s="38"/>
      <c r="Q311" s="38"/>
      <c r="R311" s="38"/>
      <c r="S311" s="38"/>
      <c r="T311" s="38"/>
      <c r="U311" s="38"/>
      <c r="V311" s="38"/>
      <c r="W311" s="38"/>
      <c r="X311" s="38"/>
      <c r="Y311" s="38"/>
    </row>
    <row r="312">
      <c r="A312" s="38"/>
      <c r="B312" s="143"/>
      <c r="C312" s="38"/>
      <c r="D312" s="38"/>
      <c r="E312" s="38"/>
      <c r="F312" s="38"/>
      <c r="G312" s="38"/>
      <c r="H312" s="38"/>
      <c r="I312" s="38"/>
      <c r="J312" s="38"/>
      <c r="K312" s="38"/>
      <c r="L312" s="38"/>
      <c r="M312" s="38"/>
      <c r="N312" s="38"/>
      <c r="O312" s="38"/>
      <c r="P312" s="38"/>
      <c r="Q312" s="38"/>
      <c r="R312" s="38"/>
      <c r="S312" s="38"/>
      <c r="T312" s="38"/>
      <c r="U312" s="38"/>
      <c r="V312" s="38"/>
      <c r="W312" s="38"/>
      <c r="X312" s="38"/>
      <c r="Y312" s="38"/>
    </row>
    <row r="313">
      <c r="A313" s="38"/>
      <c r="B313" s="143"/>
      <c r="C313" s="38"/>
      <c r="D313" s="38"/>
      <c r="E313" s="38"/>
      <c r="F313" s="38"/>
      <c r="G313" s="38"/>
      <c r="H313" s="38"/>
      <c r="I313" s="38"/>
      <c r="J313" s="38"/>
      <c r="K313" s="38"/>
      <c r="L313" s="38"/>
      <c r="M313" s="38"/>
      <c r="N313" s="38"/>
      <c r="O313" s="38"/>
      <c r="P313" s="38"/>
      <c r="Q313" s="38"/>
      <c r="R313" s="38"/>
      <c r="S313" s="38"/>
      <c r="T313" s="38"/>
      <c r="U313" s="38"/>
      <c r="V313" s="38"/>
      <c r="W313" s="38"/>
      <c r="X313" s="38"/>
      <c r="Y313" s="38"/>
    </row>
    <row r="314">
      <c r="A314" s="38"/>
      <c r="B314" s="143"/>
      <c r="C314" s="38"/>
      <c r="D314" s="38"/>
      <c r="E314" s="38"/>
      <c r="F314" s="38"/>
      <c r="G314" s="38"/>
      <c r="H314" s="38"/>
      <c r="I314" s="38"/>
      <c r="J314" s="38"/>
      <c r="K314" s="38"/>
      <c r="L314" s="38"/>
      <c r="M314" s="38"/>
      <c r="N314" s="38"/>
      <c r="O314" s="38"/>
      <c r="P314" s="38"/>
      <c r="Q314" s="38"/>
      <c r="R314" s="38"/>
      <c r="S314" s="38"/>
      <c r="T314" s="38"/>
      <c r="U314" s="38"/>
      <c r="V314" s="38"/>
      <c r="W314" s="38"/>
      <c r="X314" s="38"/>
      <c r="Y314" s="38"/>
    </row>
    <row r="315">
      <c r="A315" s="38"/>
      <c r="B315" s="143"/>
      <c r="C315" s="38"/>
      <c r="D315" s="38"/>
      <c r="E315" s="38"/>
      <c r="F315" s="38"/>
      <c r="G315" s="38"/>
      <c r="H315" s="38"/>
      <c r="I315" s="38"/>
      <c r="J315" s="38"/>
      <c r="K315" s="38"/>
      <c r="L315" s="38"/>
      <c r="M315" s="38"/>
      <c r="N315" s="38"/>
      <c r="O315" s="38"/>
      <c r="P315" s="38"/>
      <c r="Q315" s="38"/>
      <c r="R315" s="38"/>
      <c r="S315" s="38"/>
      <c r="T315" s="38"/>
      <c r="U315" s="38"/>
      <c r="V315" s="38"/>
      <c r="W315" s="38"/>
      <c r="X315" s="38"/>
      <c r="Y315" s="38"/>
    </row>
    <row r="316">
      <c r="A316" s="38"/>
      <c r="B316" s="143"/>
      <c r="C316" s="38"/>
      <c r="D316" s="38"/>
      <c r="E316" s="38"/>
      <c r="F316" s="38"/>
      <c r="G316" s="38"/>
      <c r="H316" s="38"/>
      <c r="I316" s="38"/>
      <c r="J316" s="38"/>
      <c r="K316" s="38"/>
      <c r="L316" s="38"/>
      <c r="M316" s="38"/>
      <c r="N316" s="38"/>
      <c r="O316" s="38"/>
      <c r="P316" s="38"/>
      <c r="Q316" s="38"/>
      <c r="R316" s="38"/>
      <c r="S316" s="38"/>
      <c r="T316" s="38"/>
      <c r="U316" s="38"/>
      <c r="V316" s="38"/>
      <c r="W316" s="38"/>
      <c r="X316" s="38"/>
      <c r="Y316" s="38"/>
    </row>
    <row r="317">
      <c r="A317" s="38"/>
      <c r="B317" s="143"/>
      <c r="C317" s="38"/>
      <c r="D317" s="38"/>
      <c r="E317" s="38"/>
      <c r="F317" s="38"/>
      <c r="G317" s="38"/>
      <c r="H317" s="38"/>
      <c r="I317" s="38"/>
      <c r="J317" s="38"/>
      <c r="K317" s="38"/>
      <c r="L317" s="38"/>
      <c r="M317" s="38"/>
      <c r="N317" s="38"/>
      <c r="O317" s="38"/>
      <c r="P317" s="38"/>
      <c r="Q317" s="38"/>
      <c r="R317" s="38"/>
      <c r="S317" s="38"/>
      <c r="T317" s="38"/>
      <c r="U317" s="38"/>
      <c r="V317" s="38"/>
      <c r="W317" s="38"/>
      <c r="X317" s="38"/>
      <c r="Y317" s="38"/>
    </row>
    <row r="318">
      <c r="A318" s="38"/>
      <c r="B318" s="143"/>
      <c r="C318" s="38"/>
      <c r="D318" s="38"/>
      <c r="E318" s="38"/>
      <c r="F318" s="38"/>
      <c r="G318" s="38"/>
      <c r="H318" s="38"/>
      <c r="I318" s="38"/>
      <c r="J318" s="38"/>
      <c r="K318" s="38"/>
      <c r="L318" s="38"/>
      <c r="M318" s="38"/>
      <c r="N318" s="38"/>
      <c r="O318" s="38"/>
      <c r="P318" s="38"/>
      <c r="Q318" s="38"/>
      <c r="R318" s="38"/>
      <c r="S318" s="38"/>
      <c r="T318" s="38"/>
      <c r="U318" s="38"/>
      <c r="V318" s="38"/>
      <c r="W318" s="38"/>
      <c r="X318" s="38"/>
      <c r="Y318" s="38"/>
    </row>
    <row r="319">
      <c r="A319" s="38"/>
      <c r="B319" s="143"/>
      <c r="C319" s="38"/>
      <c r="D319" s="38"/>
      <c r="E319" s="38"/>
      <c r="F319" s="38"/>
      <c r="G319" s="38"/>
      <c r="H319" s="38"/>
      <c r="I319" s="38"/>
      <c r="J319" s="38"/>
      <c r="K319" s="38"/>
      <c r="L319" s="38"/>
      <c r="M319" s="38"/>
      <c r="N319" s="38"/>
      <c r="O319" s="38"/>
      <c r="P319" s="38"/>
      <c r="Q319" s="38"/>
      <c r="R319" s="38"/>
      <c r="S319" s="38"/>
      <c r="T319" s="38"/>
      <c r="U319" s="38"/>
      <c r="V319" s="38"/>
      <c r="W319" s="38"/>
      <c r="X319" s="38"/>
      <c r="Y319" s="38"/>
    </row>
    <row r="320">
      <c r="A320" s="38"/>
      <c r="B320" s="143"/>
      <c r="C320" s="38"/>
      <c r="D320" s="38"/>
      <c r="E320" s="38"/>
      <c r="F320" s="38"/>
      <c r="G320" s="38"/>
      <c r="H320" s="38"/>
      <c r="I320" s="38"/>
      <c r="J320" s="38"/>
      <c r="K320" s="38"/>
      <c r="L320" s="38"/>
      <c r="M320" s="38"/>
      <c r="N320" s="38"/>
      <c r="O320" s="38"/>
      <c r="P320" s="38"/>
      <c r="Q320" s="38"/>
      <c r="R320" s="38"/>
      <c r="S320" s="38"/>
      <c r="T320" s="38"/>
      <c r="U320" s="38"/>
      <c r="V320" s="38"/>
      <c r="W320" s="38"/>
      <c r="X320" s="38"/>
      <c r="Y320" s="38"/>
    </row>
    <row r="321">
      <c r="A321" s="38"/>
      <c r="B321" s="143"/>
      <c r="C321" s="38"/>
      <c r="D321" s="38"/>
      <c r="E321" s="38"/>
      <c r="F321" s="38"/>
      <c r="G321" s="38"/>
      <c r="H321" s="38"/>
      <c r="I321" s="38"/>
      <c r="J321" s="38"/>
      <c r="K321" s="38"/>
      <c r="L321" s="38"/>
      <c r="M321" s="38"/>
      <c r="N321" s="38"/>
      <c r="O321" s="38"/>
      <c r="P321" s="38"/>
      <c r="Q321" s="38"/>
      <c r="R321" s="38"/>
      <c r="S321" s="38"/>
      <c r="T321" s="38"/>
      <c r="U321" s="38"/>
      <c r="V321" s="38"/>
      <c r="W321" s="38"/>
      <c r="X321" s="38"/>
      <c r="Y321" s="38"/>
    </row>
    <row r="322">
      <c r="A322" s="38"/>
      <c r="B322" s="143"/>
      <c r="C322" s="38"/>
      <c r="D322" s="38"/>
      <c r="E322" s="38"/>
      <c r="F322" s="38"/>
      <c r="G322" s="38"/>
      <c r="H322" s="38"/>
      <c r="I322" s="38"/>
      <c r="J322" s="38"/>
      <c r="K322" s="38"/>
      <c r="L322" s="38"/>
      <c r="M322" s="38"/>
      <c r="N322" s="38"/>
      <c r="O322" s="38"/>
      <c r="P322" s="38"/>
      <c r="Q322" s="38"/>
      <c r="R322" s="38"/>
      <c r="S322" s="38"/>
      <c r="T322" s="38"/>
      <c r="U322" s="38"/>
      <c r="V322" s="38"/>
      <c r="W322" s="38"/>
      <c r="X322" s="38"/>
      <c r="Y322" s="38"/>
    </row>
    <row r="323">
      <c r="A323" s="38"/>
      <c r="B323" s="143"/>
      <c r="C323" s="38"/>
      <c r="D323" s="38"/>
      <c r="E323" s="38"/>
      <c r="F323" s="38"/>
      <c r="G323" s="38"/>
      <c r="H323" s="38"/>
      <c r="I323" s="38"/>
      <c r="J323" s="38"/>
      <c r="K323" s="38"/>
      <c r="L323" s="38"/>
      <c r="M323" s="38"/>
      <c r="N323" s="38"/>
      <c r="O323" s="38"/>
      <c r="P323" s="38"/>
      <c r="Q323" s="38"/>
      <c r="R323" s="38"/>
      <c r="S323" s="38"/>
      <c r="T323" s="38"/>
      <c r="U323" s="38"/>
      <c r="V323" s="38"/>
      <c r="W323" s="38"/>
      <c r="X323" s="38"/>
      <c r="Y323" s="38"/>
    </row>
    <row r="324">
      <c r="A324" s="38"/>
      <c r="B324" s="143"/>
      <c r="C324" s="38"/>
      <c r="D324" s="38"/>
      <c r="E324" s="38"/>
      <c r="F324" s="38"/>
      <c r="G324" s="38"/>
      <c r="H324" s="38"/>
      <c r="I324" s="38"/>
      <c r="J324" s="38"/>
      <c r="K324" s="38"/>
      <c r="L324" s="38"/>
      <c r="M324" s="38"/>
      <c r="N324" s="38"/>
      <c r="O324" s="38"/>
      <c r="P324" s="38"/>
      <c r="Q324" s="38"/>
      <c r="R324" s="38"/>
      <c r="S324" s="38"/>
      <c r="T324" s="38"/>
      <c r="U324" s="38"/>
      <c r="V324" s="38"/>
      <c r="W324" s="38"/>
      <c r="X324" s="38"/>
      <c r="Y324" s="38"/>
    </row>
    <row r="325">
      <c r="A325" s="38"/>
      <c r="B325" s="143"/>
      <c r="C325" s="38"/>
      <c r="D325" s="38"/>
      <c r="E325" s="38"/>
      <c r="F325" s="38"/>
      <c r="G325" s="38"/>
      <c r="H325" s="38"/>
      <c r="I325" s="38"/>
      <c r="J325" s="38"/>
      <c r="K325" s="38"/>
      <c r="L325" s="38"/>
      <c r="M325" s="38"/>
      <c r="N325" s="38"/>
      <c r="O325" s="38"/>
      <c r="P325" s="38"/>
      <c r="Q325" s="38"/>
      <c r="R325" s="38"/>
      <c r="S325" s="38"/>
      <c r="T325" s="38"/>
      <c r="U325" s="38"/>
      <c r="V325" s="38"/>
      <c r="W325" s="38"/>
      <c r="X325" s="38"/>
      <c r="Y325" s="38"/>
    </row>
    <row r="326">
      <c r="A326" s="38"/>
      <c r="B326" s="143"/>
      <c r="C326" s="38"/>
      <c r="D326" s="38"/>
      <c r="E326" s="38"/>
      <c r="F326" s="38"/>
      <c r="G326" s="38"/>
      <c r="H326" s="38"/>
      <c r="I326" s="38"/>
      <c r="J326" s="38"/>
      <c r="K326" s="38"/>
      <c r="L326" s="38"/>
      <c r="M326" s="38"/>
      <c r="N326" s="38"/>
      <c r="O326" s="38"/>
      <c r="P326" s="38"/>
      <c r="Q326" s="38"/>
      <c r="R326" s="38"/>
      <c r="S326" s="38"/>
      <c r="T326" s="38"/>
      <c r="U326" s="38"/>
      <c r="V326" s="38"/>
      <c r="W326" s="38"/>
      <c r="X326" s="38"/>
      <c r="Y326" s="38"/>
    </row>
    <row r="327">
      <c r="A327" s="38"/>
      <c r="B327" s="143"/>
      <c r="C327" s="38"/>
      <c r="D327" s="38"/>
      <c r="E327" s="38"/>
      <c r="F327" s="38"/>
      <c r="G327" s="38"/>
      <c r="H327" s="38"/>
      <c r="I327" s="38"/>
      <c r="J327" s="38"/>
      <c r="K327" s="38"/>
      <c r="L327" s="38"/>
      <c r="M327" s="38"/>
      <c r="N327" s="38"/>
      <c r="O327" s="38"/>
      <c r="P327" s="38"/>
      <c r="Q327" s="38"/>
      <c r="R327" s="38"/>
      <c r="S327" s="38"/>
      <c r="T327" s="38"/>
      <c r="U327" s="38"/>
      <c r="V327" s="38"/>
      <c r="W327" s="38"/>
      <c r="X327" s="38"/>
      <c r="Y327" s="38"/>
    </row>
    <row r="328">
      <c r="A328" s="38"/>
      <c r="B328" s="143"/>
      <c r="C328" s="38"/>
      <c r="D328" s="38"/>
      <c r="E328" s="38"/>
      <c r="F328" s="38"/>
      <c r="G328" s="38"/>
      <c r="H328" s="38"/>
      <c r="I328" s="38"/>
      <c r="J328" s="38"/>
      <c r="K328" s="38"/>
      <c r="L328" s="38"/>
      <c r="M328" s="38"/>
      <c r="N328" s="38"/>
      <c r="O328" s="38"/>
      <c r="P328" s="38"/>
      <c r="Q328" s="38"/>
      <c r="R328" s="38"/>
      <c r="S328" s="38"/>
      <c r="T328" s="38"/>
      <c r="U328" s="38"/>
      <c r="V328" s="38"/>
      <c r="W328" s="38"/>
      <c r="X328" s="38"/>
      <c r="Y328" s="38"/>
    </row>
    <row r="329">
      <c r="A329" s="38"/>
      <c r="B329" s="143"/>
      <c r="C329" s="38"/>
      <c r="D329" s="38"/>
      <c r="E329" s="38"/>
      <c r="F329" s="38"/>
      <c r="G329" s="38"/>
      <c r="H329" s="38"/>
      <c r="I329" s="38"/>
      <c r="J329" s="38"/>
      <c r="K329" s="38"/>
      <c r="L329" s="38"/>
      <c r="M329" s="38"/>
      <c r="N329" s="38"/>
      <c r="O329" s="38"/>
      <c r="P329" s="38"/>
      <c r="Q329" s="38"/>
      <c r="R329" s="38"/>
      <c r="S329" s="38"/>
      <c r="T329" s="38"/>
      <c r="U329" s="38"/>
      <c r="V329" s="38"/>
      <c r="W329" s="38"/>
      <c r="X329" s="38"/>
      <c r="Y329" s="38"/>
    </row>
    <row r="330">
      <c r="A330" s="38"/>
      <c r="B330" s="143"/>
      <c r="C330" s="38"/>
      <c r="D330" s="38"/>
      <c r="E330" s="38"/>
      <c r="F330" s="38"/>
      <c r="G330" s="38"/>
      <c r="H330" s="38"/>
      <c r="I330" s="38"/>
      <c r="J330" s="38"/>
      <c r="K330" s="38"/>
      <c r="L330" s="38"/>
      <c r="M330" s="38"/>
      <c r="N330" s="38"/>
      <c r="O330" s="38"/>
      <c r="P330" s="38"/>
      <c r="Q330" s="38"/>
      <c r="R330" s="38"/>
      <c r="S330" s="38"/>
      <c r="T330" s="38"/>
      <c r="U330" s="38"/>
      <c r="V330" s="38"/>
      <c r="W330" s="38"/>
      <c r="X330" s="38"/>
      <c r="Y330" s="38"/>
    </row>
    <row r="331">
      <c r="A331" s="38"/>
      <c r="B331" s="143"/>
      <c r="C331" s="38"/>
      <c r="D331" s="38"/>
      <c r="E331" s="38"/>
      <c r="F331" s="38"/>
      <c r="G331" s="38"/>
      <c r="H331" s="38"/>
      <c r="I331" s="38"/>
      <c r="J331" s="38"/>
      <c r="K331" s="38"/>
      <c r="L331" s="38"/>
      <c r="M331" s="38"/>
      <c r="N331" s="38"/>
      <c r="O331" s="38"/>
      <c r="P331" s="38"/>
      <c r="Q331" s="38"/>
      <c r="R331" s="38"/>
      <c r="S331" s="38"/>
      <c r="T331" s="38"/>
      <c r="U331" s="38"/>
      <c r="V331" s="38"/>
      <c r="W331" s="38"/>
      <c r="X331" s="38"/>
      <c r="Y331" s="38"/>
    </row>
    <row r="332">
      <c r="A332" s="38"/>
      <c r="B332" s="143"/>
      <c r="C332" s="38"/>
      <c r="D332" s="38"/>
      <c r="E332" s="38"/>
      <c r="F332" s="38"/>
      <c r="G332" s="38"/>
      <c r="H332" s="38"/>
      <c r="I332" s="38"/>
      <c r="J332" s="38"/>
      <c r="K332" s="38"/>
      <c r="L332" s="38"/>
      <c r="M332" s="38"/>
      <c r="N332" s="38"/>
      <c r="O332" s="38"/>
      <c r="P332" s="38"/>
      <c r="Q332" s="38"/>
      <c r="R332" s="38"/>
      <c r="S332" s="38"/>
      <c r="T332" s="38"/>
      <c r="U332" s="38"/>
      <c r="V332" s="38"/>
      <c r="W332" s="38"/>
      <c r="X332" s="38"/>
      <c r="Y332" s="38"/>
    </row>
    <row r="333">
      <c r="A333" s="38"/>
      <c r="B333" s="143"/>
      <c r="C333" s="38"/>
      <c r="D333" s="38"/>
      <c r="E333" s="38"/>
      <c r="F333" s="38"/>
      <c r="G333" s="38"/>
      <c r="H333" s="38"/>
      <c r="I333" s="38"/>
      <c r="J333" s="38"/>
      <c r="K333" s="38"/>
      <c r="L333" s="38"/>
      <c r="M333" s="38"/>
      <c r="N333" s="38"/>
      <c r="O333" s="38"/>
      <c r="P333" s="38"/>
      <c r="Q333" s="38"/>
      <c r="R333" s="38"/>
      <c r="S333" s="38"/>
      <c r="T333" s="38"/>
      <c r="U333" s="38"/>
      <c r="V333" s="38"/>
      <c r="W333" s="38"/>
      <c r="X333" s="38"/>
      <c r="Y333" s="38"/>
    </row>
    <row r="334">
      <c r="A334" s="38"/>
      <c r="B334" s="143"/>
      <c r="C334" s="38"/>
      <c r="D334" s="38"/>
      <c r="E334" s="38"/>
      <c r="F334" s="38"/>
      <c r="G334" s="38"/>
      <c r="H334" s="38"/>
      <c r="I334" s="38"/>
      <c r="J334" s="38"/>
      <c r="K334" s="38"/>
      <c r="L334" s="38"/>
      <c r="M334" s="38"/>
      <c r="N334" s="38"/>
      <c r="O334" s="38"/>
      <c r="P334" s="38"/>
      <c r="Q334" s="38"/>
      <c r="R334" s="38"/>
      <c r="S334" s="38"/>
      <c r="T334" s="38"/>
      <c r="U334" s="38"/>
      <c r="V334" s="38"/>
      <c r="W334" s="38"/>
      <c r="X334" s="38"/>
      <c r="Y334" s="38"/>
    </row>
    <row r="335">
      <c r="A335" s="38"/>
      <c r="B335" s="143"/>
      <c r="C335" s="38"/>
      <c r="D335" s="38"/>
      <c r="E335" s="38"/>
      <c r="F335" s="38"/>
      <c r="G335" s="38"/>
      <c r="H335" s="38"/>
      <c r="I335" s="38"/>
      <c r="J335" s="38"/>
      <c r="K335" s="38"/>
      <c r="L335" s="38"/>
      <c r="M335" s="38"/>
      <c r="N335" s="38"/>
      <c r="O335" s="38"/>
      <c r="P335" s="38"/>
      <c r="Q335" s="38"/>
      <c r="R335" s="38"/>
      <c r="S335" s="38"/>
      <c r="T335" s="38"/>
      <c r="U335" s="38"/>
      <c r="V335" s="38"/>
      <c r="W335" s="38"/>
      <c r="X335" s="38"/>
      <c r="Y335" s="38"/>
    </row>
    <row r="336">
      <c r="A336" s="38"/>
      <c r="B336" s="143"/>
      <c r="C336" s="38"/>
      <c r="D336" s="38"/>
      <c r="E336" s="38"/>
      <c r="F336" s="38"/>
      <c r="G336" s="38"/>
      <c r="H336" s="38"/>
      <c r="I336" s="38"/>
      <c r="J336" s="38"/>
      <c r="K336" s="38"/>
      <c r="L336" s="38"/>
      <c r="M336" s="38"/>
      <c r="N336" s="38"/>
      <c r="O336" s="38"/>
      <c r="P336" s="38"/>
      <c r="Q336" s="38"/>
      <c r="R336" s="38"/>
      <c r="S336" s="38"/>
      <c r="T336" s="38"/>
      <c r="U336" s="38"/>
      <c r="V336" s="38"/>
      <c r="W336" s="38"/>
      <c r="X336" s="38"/>
      <c r="Y336" s="38"/>
    </row>
    <row r="337">
      <c r="A337" s="38"/>
      <c r="B337" s="143"/>
      <c r="C337" s="38"/>
      <c r="D337" s="38"/>
      <c r="E337" s="38"/>
      <c r="F337" s="38"/>
      <c r="G337" s="38"/>
      <c r="H337" s="38"/>
      <c r="I337" s="38"/>
      <c r="J337" s="38"/>
      <c r="K337" s="38"/>
      <c r="L337" s="38"/>
      <c r="M337" s="38"/>
      <c r="N337" s="38"/>
      <c r="O337" s="38"/>
      <c r="P337" s="38"/>
      <c r="Q337" s="38"/>
      <c r="R337" s="38"/>
      <c r="S337" s="38"/>
      <c r="T337" s="38"/>
      <c r="U337" s="38"/>
      <c r="V337" s="38"/>
      <c r="W337" s="38"/>
      <c r="X337" s="38"/>
      <c r="Y337" s="38"/>
    </row>
    <row r="338">
      <c r="A338" s="38"/>
      <c r="B338" s="143"/>
      <c r="C338" s="38"/>
      <c r="D338" s="38"/>
      <c r="E338" s="38"/>
      <c r="F338" s="38"/>
      <c r="G338" s="38"/>
      <c r="H338" s="38"/>
      <c r="I338" s="38"/>
      <c r="J338" s="38"/>
      <c r="K338" s="38"/>
      <c r="L338" s="38"/>
      <c r="M338" s="38"/>
      <c r="N338" s="38"/>
      <c r="O338" s="38"/>
      <c r="P338" s="38"/>
      <c r="Q338" s="38"/>
      <c r="R338" s="38"/>
      <c r="S338" s="38"/>
      <c r="T338" s="38"/>
      <c r="U338" s="38"/>
      <c r="V338" s="38"/>
      <c r="W338" s="38"/>
      <c r="X338" s="38"/>
      <c r="Y338" s="38"/>
    </row>
    <row r="339">
      <c r="A339" s="38"/>
      <c r="B339" s="143"/>
      <c r="C339" s="38"/>
      <c r="D339" s="38"/>
      <c r="E339" s="38"/>
      <c r="F339" s="38"/>
      <c r="G339" s="38"/>
      <c r="H339" s="38"/>
      <c r="I339" s="38"/>
      <c r="J339" s="38"/>
      <c r="K339" s="38"/>
      <c r="L339" s="38"/>
      <c r="M339" s="38"/>
      <c r="N339" s="38"/>
      <c r="O339" s="38"/>
      <c r="P339" s="38"/>
      <c r="Q339" s="38"/>
      <c r="R339" s="38"/>
      <c r="S339" s="38"/>
      <c r="T339" s="38"/>
      <c r="U339" s="38"/>
      <c r="V339" s="38"/>
      <c r="W339" s="38"/>
      <c r="X339" s="38"/>
      <c r="Y339" s="38"/>
    </row>
    <row r="340">
      <c r="A340" s="38"/>
      <c r="B340" s="143"/>
      <c r="C340" s="38"/>
      <c r="D340" s="38"/>
      <c r="E340" s="38"/>
      <c r="F340" s="38"/>
      <c r="G340" s="38"/>
      <c r="H340" s="38"/>
      <c r="I340" s="38"/>
      <c r="J340" s="38"/>
      <c r="K340" s="38"/>
      <c r="L340" s="38"/>
      <c r="M340" s="38"/>
      <c r="N340" s="38"/>
      <c r="O340" s="38"/>
      <c r="P340" s="38"/>
      <c r="Q340" s="38"/>
      <c r="R340" s="38"/>
      <c r="S340" s="38"/>
      <c r="T340" s="38"/>
      <c r="U340" s="38"/>
      <c r="V340" s="38"/>
      <c r="W340" s="38"/>
      <c r="X340" s="38"/>
      <c r="Y340" s="38"/>
    </row>
    <row r="341">
      <c r="A341" s="38"/>
      <c r="B341" s="143"/>
      <c r="C341" s="38"/>
      <c r="D341" s="38"/>
      <c r="E341" s="38"/>
      <c r="F341" s="38"/>
      <c r="G341" s="38"/>
      <c r="H341" s="38"/>
      <c r="I341" s="38"/>
      <c r="J341" s="38"/>
      <c r="K341" s="38"/>
      <c r="L341" s="38"/>
      <c r="M341" s="38"/>
      <c r="N341" s="38"/>
      <c r="O341" s="38"/>
      <c r="P341" s="38"/>
      <c r="Q341" s="38"/>
      <c r="R341" s="38"/>
      <c r="S341" s="38"/>
      <c r="T341" s="38"/>
      <c r="U341" s="38"/>
      <c r="V341" s="38"/>
      <c r="W341" s="38"/>
      <c r="X341" s="38"/>
      <c r="Y341" s="38"/>
    </row>
    <row r="342">
      <c r="A342" s="38"/>
      <c r="B342" s="143"/>
      <c r="C342" s="38"/>
      <c r="D342" s="38"/>
      <c r="E342" s="38"/>
      <c r="F342" s="38"/>
      <c r="G342" s="38"/>
      <c r="H342" s="38"/>
      <c r="I342" s="38"/>
      <c r="J342" s="38"/>
      <c r="K342" s="38"/>
      <c r="L342" s="38"/>
      <c r="M342" s="38"/>
      <c r="N342" s="38"/>
      <c r="O342" s="38"/>
      <c r="P342" s="38"/>
      <c r="Q342" s="38"/>
      <c r="R342" s="38"/>
      <c r="S342" s="38"/>
      <c r="T342" s="38"/>
      <c r="U342" s="38"/>
      <c r="V342" s="38"/>
      <c r="W342" s="38"/>
      <c r="X342" s="38"/>
      <c r="Y342" s="38"/>
    </row>
    <row r="343">
      <c r="A343" s="38"/>
      <c r="B343" s="143"/>
      <c r="C343" s="38"/>
      <c r="D343" s="38"/>
      <c r="E343" s="38"/>
      <c r="F343" s="38"/>
      <c r="G343" s="38"/>
      <c r="H343" s="38"/>
      <c r="I343" s="38"/>
      <c r="J343" s="38"/>
      <c r="K343" s="38"/>
      <c r="L343" s="38"/>
      <c r="M343" s="38"/>
      <c r="N343" s="38"/>
      <c r="O343" s="38"/>
      <c r="P343" s="38"/>
      <c r="Q343" s="38"/>
      <c r="R343" s="38"/>
      <c r="S343" s="38"/>
      <c r="T343" s="38"/>
      <c r="U343" s="38"/>
      <c r="V343" s="38"/>
      <c r="W343" s="38"/>
      <c r="X343" s="38"/>
      <c r="Y343" s="38"/>
    </row>
    <row r="344">
      <c r="A344" s="38"/>
      <c r="B344" s="143"/>
      <c r="C344" s="38"/>
      <c r="D344" s="38"/>
      <c r="E344" s="38"/>
      <c r="F344" s="38"/>
      <c r="G344" s="38"/>
      <c r="H344" s="38"/>
      <c r="I344" s="38"/>
      <c r="J344" s="38"/>
      <c r="K344" s="38"/>
      <c r="L344" s="38"/>
      <c r="M344" s="38"/>
      <c r="N344" s="38"/>
      <c r="O344" s="38"/>
      <c r="P344" s="38"/>
      <c r="Q344" s="38"/>
      <c r="R344" s="38"/>
      <c r="S344" s="38"/>
      <c r="T344" s="38"/>
      <c r="U344" s="38"/>
      <c r="V344" s="38"/>
      <c r="W344" s="38"/>
      <c r="X344" s="38"/>
      <c r="Y344" s="38"/>
    </row>
    <row r="345">
      <c r="A345" s="38"/>
      <c r="B345" s="143"/>
      <c r="C345" s="38"/>
      <c r="D345" s="38"/>
      <c r="E345" s="38"/>
      <c r="F345" s="38"/>
      <c r="G345" s="38"/>
      <c r="H345" s="38"/>
      <c r="I345" s="38"/>
      <c r="J345" s="38"/>
      <c r="K345" s="38"/>
      <c r="L345" s="38"/>
      <c r="M345" s="38"/>
      <c r="N345" s="38"/>
      <c r="O345" s="38"/>
      <c r="P345" s="38"/>
      <c r="Q345" s="38"/>
      <c r="R345" s="38"/>
      <c r="S345" s="38"/>
      <c r="T345" s="38"/>
      <c r="U345" s="38"/>
      <c r="V345" s="38"/>
      <c r="W345" s="38"/>
      <c r="X345" s="38"/>
      <c r="Y345" s="38"/>
    </row>
    <row r="346">
      <c r="A346" s="38"/>
      <c r="B346" s="143"/>
      <c r="C346" s="38"/>
      <c r="D346" s="38"/>
      <c r="E346" s="38"/>
      <c r="F346" s="38"/>
      <c r="G346" s="38"/>
      <c r="H346" s="38"/>
      <c r="I346" s="38"/>
      <c r="J346" s="38"/>
      <c r="K346" s="38"/>
      <c r="L346" s="38"/>
      <c r="M346" s="38"/>
      <c r="N346" s="38"/>
      <c r="O346" s="38"/>
      <c r="P346" s="38"/>
      <c r="Q346" s="38"/>
      <c r="R346" s="38"/>
      <c r="S346" s="38"/>
      <c r="T346" s="38"/>
      <c r="U346" s="38"/>
      <c r="V346" s="38"/>
      <c r="W346" s="38"/>
      <c r="X346" s="38"/>
      <c r="Y346" s="38"/>
    </row>
    <row r="347">
      <c r="A347" s="38"/>
      <c r="B347" s="143"/>
      <c r="C347" s="38"/>
      <c r="D347" s="38"/>
      <c r="E347" s="38"/>
      <c r="F347" s="38"/>
      <c r="G347" s="38"/>
      <c r="H347" s="38"/>
      <c r="I347" s="38"/>
      <c r="J347" s="38"/>
      <c r="K347" s="38"/>
      <c r="L347" s="38"/>
      <c r="M347" s="38"/>
      <c r="N347" s="38"/>
      <c r="O347" s="38"/>
      <c r="P347" s="38"/>
      <c r="Q347" s="38"/>
      <c r="R347" s="38"/>
      <c r="S347" s="38"/>
      <c r="T347" s="38"/>
      <c r="U347" s="38"/>
      <c r="V347" s="38"/>
      <c r="W347" s="38"/>
      <c r="X347" s="38"/>
      <c r="Y347" s="38"/>
    </row>
    <row r="348">
      <c r="A348" s="38"/>
      <c r="B348" s="143"/>
      <c r="C348" s="38"/>
      <c r="D348" s="38"/>
      <c r="E348" s="38"/>
      <c r="F348" s="38"/>
      <c r="G348" s="38"/>
      <c r="H348" s="38"/>
      <c r="I348" s="38"/>
      <c r="J348" s="38"/>
      <c r="K348" s="38"/>
      <c r="L348" s="38"/>
      <c r="M348" s="38"/>
      <c r="N348" s="38"/>
      <c r="O348" s="38"/>
      <c r="P348" s="38"/>
      <c r="Q348" s="38"/>
      <c r="R348" s="38"/>
      <c r="S348" s="38"/>
      <c r="T348" s="38"/>
      <c r="U348" s="38"/>
      <c r="V348" s="38"/>
      <c r="W348" s="38"/>
      <c r="X348" s="38"/>
      <c r="Y348" s="38"/>
    </row>
    <row r="349">
      <c r="A349" s="38"/>
      <c r="B349" s="143"/>
      <c r="C349" s="38"/>
      <c r="D349" s="38"/>
      <c r="E349" s="38"/>
      <c r="F349" s="38"/>
      <c r="G349" s="38"/>
      <c r="H349" s="38"/>
      <c r="I349" s="38"/>
      <c r="J349" s="38"/>
      <c r="K349" s="38"/>
      <c r="L349" s="38"/>
      <c r="M349" s="38"/>
      <c r="N349" s="38"/>
      <c r="O349" s="38"/>
      <c r="P349" s="38"/>
      <c r="Q349" s="38"/>
      <c r="R349" s="38"/>
      <c r="S349" s="38"/>
      <c r="T349" s="38"/>
      <c r="U349" s="38"/>
      <c r="V349" s="38"/>
      <c r="W349" s="38"/>
      <c r="X349" s="38"/>
      <c r="Y349" s="38"/>
    </row>
    <row r="350">
      <c r="A350" s="38"/>
      <c r="B350" s="143"/>
      <c r="C350" s="38"/>
      <c r="D350" s="38"/>
      <c r="E350" s="38"/>
      <c r="F350" s="38"/>
      <c r="G350" s="38"/>
      <c r="H350" s="38"/>
      <c r="I350" s="38"/>
      <c r="J350" s="38"/>
      <c r="K350" s="38"/>
      <c r="L350" s="38"/>
      <c r="M350" s="38"/>
      <c r="N350" s="38"/>
      <c r="O350" s="38"/>
      <c r="P350" s="38"/>
      <c r="Q350" s="38"/>
      <c r="R350" s="38"/>
      <c r="S350" s="38"/>
      <c r="T350" s="38"/>
      <c r="U350" s="38"/>
      <c r="V350" s="38"/>
      <c r="W350" s="38"/>
      <c r="X350" s="38"/>
      <c r="Y350" s="38"/>
    </row>
    <row r="351">
      <c r="A351" s="38"/>
      <c r="B351" s="143"/>
      <c r="C351" s="38"/>
      <c r="D351" s="38"/>
      <c r="E351" s="38"/>
      <c r="F351" s="38"/>
      <c r="G351" s="38"/>
      <c r="H351" s="38"/>
      <c r="I351" s="38"/>
      <c r="J351" s="38"/>
      <c r="K351" s="38"/>
      <c r="L351" s="38"/>
      <c r="M351" s="38"/>
      <c r="N351" s="38"/>
      <c r="O351" s="38"/>
      <c r="P351" s="38"/>
      <c r="Q351" s="38"/>
      <c r="R351" s="38"/>
      <c r="S351" s="38"/>
      <c r="T351" s="38"/>
      <c r="U351" s="38"/>
      <c r="V351" s="38"/>
      <c r="W351" s="38"/>
      <c r="X351" s="38"/>
      <c r="Y351" s="38"/>
    </row>
    <row r="352">
      <c r="A352" s="38"/>
      <c r="B352" s="143"/>
      <c r="C352" s="38"/>
      <c r="D352" s="38"/>
      <c r="E352" s="38"/>
      <c r="F352" s="38"/>
      <c r="G352" s="38"/>
      <c r="H352" s="38"/>
      <c r="I352" s="38"/>
      <c r="J352" s="38"/>
      <c r="K352" s="38"/>
      <c r="L352" s="38"/>
      <c r="M352" s="38"/>
      <c r="N352" s="38"/>
      <c r="O352" s="38"/>
      <c r="P352" s="38"/>
      <c r="Q352" s="38"/>
      <c r="R352" s="38"/>
      <c r="S352" s="38"/>
      <c r="T352" s="38"/>
      <c r="U352" s="38"/>
      <c r="V352" s="38"/>
      <c r="W352" s="38"/>
      <c r="X352" s="38"/>
      <c r="Y352" s="38"/>
    </row>
    <row r="353">
      <c r="A353" s="38"/>
      <c r="B353" s="143"/>
      <c r="C353" s="38"/>
      <c r="D353" s="38"/>
      <c r="E353" s="38"/>
      <c r="F353" s="38"/>
      <c r="G353" s="38"/>
      <c r="H353" s="38"/>
      <c r="I353" s="38"/>
      <c r="J353" s="38"/>
      <c r="K353" s="38"/>
      <c r="L353" s="38"/>
      <c r="M353" s="38"/>
      <c r="N353" s="38"/>
      <c r="O353" s="38"/>
      <c r="P353" s="38"/>
      <c r="Q353" s="38"/>
      <c r="R353" s="38"/>
      <c r="S353" s="38"/>
      <c r="T353" s="38"/>
      <c r="U353" s="38"/>
      <c r="V353" s="38"/>
      <c r="W353" s="38"/>
      <c r="X353" s="38"/>
      <c r="Y353" s="38"/>
    </row>
    <row r="354">
      <c r="A354" s="38"/>
      <c r="B354" s="143"/>
      <c r="C354" s="38"/>
      <c r="D354" s="38"/>
      <c r="E354" s="38"/>
      <c r="F354" s="38"/>
      <c r="G354" s="38"/>
      <c r="H354" s="38"/>
      <c r="I354" s="38"/>
      <c r="J354" s="38"/>
      <c r="K354" s="38"/>
      <c r="L354" s="38"/>
      <c r="M354" s="38"/>
      <c r="N354" s="38"/>
      <c r="O354" s="38"/>
      <c r="P354" s="38"/>
      <c r="Q354" s="38"/>
      <c r="R354" s="38"/>
      <c r="S354" s="38"/>
      <c r="T354" s="38"/>
      <c r="U354" s="38"/>
      <c r="V354" s="38"/>
      <c r="W354" s="38"/>
      <c r="X354" s="38"/>
      <c r="Y354" s="38"/>
    </row>
    <row r="355">
      <c r="A355" s="38"/>
      <c r="B355" s="143"/>
      <c r="C355" s="38"/>
      <c r="D355" s="38"/>
      <c r="E355" s="38"/>
      <c r="F355" s="38"/>
      <c r="G355" s="38"/>
      <c r="H355" s="38"/>
      <c r="I355" s="38"/>
      <c r="J355" s="38"/>
      <c r="K355" s="38"/>
      <c r="L355" s="38"/>
      <c r="M355" s="38"/>
      <c r="N355" s="38"/>
      <c r="O355" s="38"/>
      <c r="P355" s="38"/>
      <c r="Q355" s="38"/>
      <c r="R355" s="38"/>
      <c r="S355" s="38"/>
      <c r="T355" s="38"/>
      <c r="U355" s="38"/>
      <c r="V355" s="38"/>
      <c r="W355" s="38"/>
      <c r="X355" s="38"/>
      <c r="Y355" s="38"/>
    </row>
    <row r="356">
      <c r="A356" s="38"/>
      <c r="B356" s="143"/>
      <c r="C356" s="38"/>
      <c r="D356" s="38"/>
      <c r="E356" s="38"/>
      <c r="F356" s="38"/>
      <c r="G356" s="38"/>
      <c r="H356" s="38"/>
      <c r="I356" s="38"/>
      <c r="J356" s="38"/>
      <c r="K356" s="38"/>
      <c r="L356" s="38"/>
      <c r="M356" s="38"/>
      <c r="N356" s="38"/>
      <c r="O356" s="38"/>
      <c r="P356" s="38"/>
      <c r="Q356" s="38"/>
      <c r="R356" s="38"/>
      <c r="S356" s="38"/>
      <c r="T356" s="38"/>
      <c r="U356" s="38"/>
      <c r="V356" s="38"/>
      <c r="W356" s="38"/>
      <c r="X356" s="38"/>
      <c r="Y356" s="38"/>
    </row>
    <row r="357">
      <c r="A357" s="38"/>
      <c r="B357" s="143"/>
      <c r="C357" s="38"/>
      <c r="D357" s="38"/>
      <c r="E357" s="38"/>
      <c r="F357" s="38"/>
      <c r="G357" s="38"/>
      <c r="H357" s="38"/>
      <c r="I357" s="38"/>
      <c r="J357" s="38"/>
      <c r="K357" s="38"/>
      <c r="L357" s="38"/>
      <c r="M357" s="38"/>
      <c r="N357" s="38"/>
      <c r="O357" s="38"/>
      <c r="P357" s="38"/>
      <c r="Q357" s="38"/>
      <c r="R357" s="38"/>
      <c r="S357" s="38"/>
      <c r="T357" s="38"/>
      <c r="U357" s="38"/>
      <c r="V357" s="38"/>
      <c r="W357" s="38"/>
      <c r="X357" s="38"/>
      <c r="Y357" s="38"/>
    </row>
    <row r="358">
      <c r="A358" s="38"/>
      <c r="B358" s="143"/>
      <c r="C358" s="38"/>
      <c r="D358" s="38"/>
      <c r="E358" s="38"/>
      <c r="F358" s="38"/>
      <c r="G358" s="38"/>
      <c r="H358" s="38"/>
      <c r="I358" s="38"/>
      <c r="J358" s="38"/>
      <c r="K358" s="38"/>
      <c r="L358" s="38"/>
      <c r="M358" s="38"/>
      <c r="N358" s="38"/>
      <c r="O358" s="38"/>
      <c r="P358" s="38"/>
      <c r="Q358" s="38"/>
      <c r="R358" s="38"/>
      <c r="S358" s="38"/>
      <c r="T358" s="38"/>
      <c r="U358" s="38"/>
      <c r="V358" s="38"/>
      <c r="W358" s="38"/>
      <c r="X358" s="38"/>
      <c r="Y358" s="38"/>
    </row>
    <row r="359">
      <c r="A359" s="38"/>
      <c r="B359" s="143"/>
      <c r="C359" s="38"/>
      <c r="D359" s="38"/>
      <c r="E359" s="38"/>
      <c r="F359" s="38"/>
      <c r="G359" s="38"/>
      <c r="H359" s="38"/>
      <c r="I359" s="38"/>
      <c r="J359" s="38"/>
      <c r="K359" s="38"/>
      <c r="L359" s="38"/>
      <c r="M359" s="38"/>
      <c r="N359" s="38"/>
      <c r="O359" s="38"/>
      <c r="P359" s="38"/>
      <c r="Q359" s="38"/>
      <c r="R359" s="38"/>
      <c r="S359" s="38"/>
      <c r="T359" s="38"/>
      <c r="U359" s="38"/>
      <c r="V359" s="38"/>
      <c r="W359" s="38"/>
      <c r="X359" s="38"/>
      <c r="Y359" s="38"/>
    </row>
    <row r="360">
      <c r="A360" s="38"/>
      <c r="B360" s="143"/>
      <c r="C360" s="38"/>
      <c r="D360" s="38"/>
      <c r="E360" s="38"/>
      <c r="F360" s="38"/>
      <c r="G360" s="38"/>
      <c r="H360" s="38"/>
      <c r="I360" s="38"/>
      <c r="J360" s="38"/>
      <c r="K360" s="38"/>
      <c r="L360" s="38"/>
      <c r="M360" s="38"/>
      <c r="N360" s="38"/>
      <c r="O360" s="38"/>
      <c r="P360" s="38"/>
      <c r="Q360" s="38"/>
      <c r="R360" s="38"/>
      <c r="S360" s="38"/>
      <c r="T360" s="38"/>
      <c r="U360" s="38"/>
      <c r="V360" s="38"/>
      <c r="W360" s="38"/>
      <c r="X360" s="38"/>
      <c r="Y360" s="38"/>
    </row>
    <row r="361">
      <c r="A361" s="38"/>
      <c r="B361" s="143"/>
      <c r="C361" s="38"/>
      <c r="D361" s="38"/>
      <c r="E361" s="38"/>
      <c r="F361" s="38"/>
      <c r="G361" s="38"/>
      <c r="H361" s="38"/>
      <c r="I361" s="38"/>
      <c r="J361" s="38"/>
      <c r="K361" s="38"/>
      <c r="L361" s="38"/>
      <c r="M361" s="38"/>
      <c r="N361" s="38"/>
      <c r="O361" s="38"/>
      <c r="P361" s="38"/>
      <c r="Q361" s="38"/>
      <c r="R361" s="38"/>
      <c r="S361" s="38"/>
      <c r="T361" s="38"/>
      <c r="U361" s="38"/>
      <c r="V361" s="38"/>
      <c r="W361" s="38"/>
      <c r="X361" s="38"/>
      <c r="Y361" s="38"/>
    </row>
    <row r="362">
      <c r="A362" s="38"/>
      <c r="B362" s="143"/>
      <c r="C362" s="38"/>
      <c r="D362" s="38"/>
      <c r="E362" s="38"/>
      <c r="F362" s="38"/>
      <c r="G362" s="38"/>
      <c r="H362" s="38"/>
      <c r="I362" s="38"/>
      <c r="J362" s="38"/>
      <c r="K362" s="38"/>
      <c r="L362" s="38"/>
      <c r="M362" s="38"/>
      <c r="N362" s="38"/>
      <c r="O362" s="38"/>
      <c r="P362" s="38"/>
      <c r="Q362" s="38"/>
      <c r="R362" s="38"/>
      <c r="S362" s="38"/>
      <c r="T362" s="38"/>
      <c r="U362" s="38"/>
      <c r="V362" s="38"/>
      <c r="W362" s="38"/>
      <c r="X362" s="38"/>
      <c r="Y362" s="38"/>
    </row>
    <row r="363">
      <c r="A363" s="38"/>
      <c r="B363" s="143"/>
      <c r="C363" s="38"/>
      <c r="D363" s="38"/>
      <c r="E363" s="38"/>
      <c r="F363" s="38"/>
      <c r="G363" s="38"/>
      <c r="H363" s="38"/>
      <c r="I363" s="38"/>
      <c r="J363" s="38"/>
      <c r="K363" s="38"/>
      <c r="L363" s="38"/>
      <c r="M363" s="38"/>
      <c r="N363" s="38"/>
      <c r="O363" s="38"/>
      <c r="P363" s="38"/>
      <c r="Q363" s="38"/>
      <c r="R363" s="38"/>
      <c r="S363" s="38"/>
      <c r="T363" s="38"/>
      <c r="U363" s="38"/>
      <c r="V363" s="38"/>
      <c r="W363" s="38"/>
      <c r="X363" s="38"/>
      <c r="Y363" s="38"/>
    </row>
    <row r="364">
      <c r="A364" s="38"/>
      <c r="B364" s="143"/>
      <c r="C364" s="38"/>
      <c r="D364" s="38"/>
      <c r="E364" s="38"/>
      <c r="F364" s="38"/>
      <c r="G364" s="38"/>
      <c r="H364" s="38"/>
      <c r="I364" s="38"/>
      <c r="J364" s="38"/>
      <c r="K364" s="38"/>
      <c r="L364" s="38"/>
      <c r="M364" s="38"/>
      <c r="N364" s="38"/>
      <c r="O364" s="38"/>
      <c r="P364" s="38"/>
      <c r="Q364" s="38"/>
      <c r="R364" s="38"/>
      <c r="S364" s="38"/>
      <c r="T364" s="38"/>
      <c r="U364" s="38"/>
      <c r="V364" s="38"/>
      <c r="W364" s="38"/>
      <c r="X364" s="38"/>
      <c r="Y364" s="38"/>
    </row>
    <row r="365">
      <c r="A365" s="38"/>
      <c r="B365" s="143"/>
      <c r="C365" s="38"/>
      <c r="D365" s="38"/>
      <c r="E365" s="38"/>
      <c r="F365" s="38"/>
      <c r="G365" s="38"/>
      <c r="H365" s="38"/>
      <c r="I365" s="38"/>
      <c r="J365" s="38"/>
      <c r="K365" s="38"/>
      <c r="L365" s="38"/>
      <c r="M365" s="38"/>
      <c r="N365" s="38"/>
      <c r="O365" s="38"/>
      <c r="P365" s="38"/>
      <c r="Q365" s="38"/>
      <c r="R365" s="38"/>
      <c r="S365" s="38"/>
      <c r="T365" s="38"/>
      <c r="U365" s="38"/>
      <c r="V365" s="38"/>
      <c r="W365" s="38"/>
      <c r="X365" s="38"/>
      <c r="Y365" s="38"/>
    </row>
    <row r="366">
      <c r="A366" s="38"/>
      <c r="B366" s="143"/>
      <c r="C366" s="38"/>
      <c r="D366" s="38"/>
      <c r="E366" s="38"/>
      <c r="F366" s="38"/>
      <c r="G366" s="38"/>
      <c r="H366" s="38"/>
      <c r="I366" s="38"/>
      <c r="J366" s="38"/>
      <c r="K366" s="38"/>
      <c r="L366" s="38"/>
      <c r="M366" s="38"/>
      <c r="N366" s="38"/>
      <c r="O366" s="38"/>
      <c r="P366" s="38"/>
      <c r="Q366" s="38"/>
      <c r="R366" s="38"/>
      <c r="S366" s="38"/>
      <c r="T366" s="38"/>
      <c r="U366" s="38"/>
      <c r="V366" s="38"/>
      <c r="W366" s="38"/>
      <c r="X366" s="38"/>
      <c r="Y366" s="38"/>
    </row>
    <row r="367">
      <c r="A367" s="38"/>
      <c r="B367" s="143"/>
      <c r="C367" s="38"/>
      <c r="D367" s="38"/>
      <c r="E367" s="38"/>
      <c r="F367" s="38"/>
      <c r="G367" s="38"/>
      <c r="H367" s="38"/>
      <c r="I367" s="38"/>
      <c r="J367" s="38"/>
      <c r="K367" s="38"/>
      <c r="L367" s="38"/>
      <c r="M367" s="38"/>
      <c r="N367" s="38"/>
      <c r="O367" s="38"/>
      <c r="P367" s="38"/>
      <c r="Q367" s="38"/>
      <c r="R367" s="38"/>
      <c r="S367" s="38"/>
      <c r="T367" s="38"/>
      <c r="U367" s="38"/>
      <c r="V367" s="38"/>
      <c r="W367" s="38"/>
      <c r="X367" s="38"/>
      <c r="Y367" s="38"/>
    </row>
    <row r="368">
      <c r="A368" s="38"/>
      <c r="B368" s="143"/>
      <c r="C368" s="38"/>
      <c r="D368" s="38"/>
      <c r="E368" s="38"/>
      <c r="F368" s="38"/>
      <c r="G368" s="38"/>
      <c r="H368" s="38"/>
      <c r="I368" s="38"/>
      <c r="J368" s="38"/>
      <c r="K368" s="38"/>
      <c r="L368" s="38"/>
      <c r="M368" s="38"/>
      <c r="N368" s="38"/>
      <c r="O368" s="38"/>
      <c r="P368" s="38"/>
      <c r="Q368" s="38"/>
      <c r="R368" s="38"/>
      <c r="S368" s="38"/>
      <c r="T368" s="38"/>
      <c r="U368" s="38"/>
      <c r="V368" s="38"/>
      <c r="W368" s="38"/>
      <c r="X368" s="38"/>
      <c r="Y368" s="38"/>
    </row>
    <row r="369">
      <c r="A369" s="38"/>
      <c r="B369" s="143"/>
      <c r="C369" s="38"/>
      <c r="D369" s="38"/>
      <c r="E369" s="38"/>
      <c r="F369" s="38"/>
      <c r="G369" s="38"/>
      <c r="H369" s="38"/>
      <c r="I369" s="38"/>
      <c r="J369" s="38"/>
      <c r="K369" s="38"/>
      <c r="L369" s="38"/>
      <c r="M369" s="38"/>
      <c r="N369" s="38"/>
      <c r="O369" s="38"/>
      <c r="P369" s="38"/>
      <c r="Q369" s="38"/>
      <c r="R369" s="38"/>
      <c r="S369" s="38"/>
      <c r="T369" s="38"/>
      <c r="U369" s="38"/>
      <c r="V369" s="38"/>
      <c r="W369" s="38"/>
      <c r="X369" s="38"/>
      <c r="Y369" s="38"/>
    </row>
    <row r="370">
      <c r="A370" s="38"/>
      <c r="B370" s="143"/>
      <c r="C370" s="38"/>
      <c r="D370" s="38"/>
      <c r="E370" s="38"/>
      <c r="F370" s="38"/>
      <c r="G370" s="38"/>
      <c r="H370" s="38"/>
      <c r="I370" s="38"/>
      <c r="J370" s="38"/>
      <c r="K370" s="38"/>
      <c r="L370" s="38"/>
      <c r="M370" s="38"/>
      <c r="N370" s="38"/>
      <c r="O370" s="38"/>
      <c r="P370" s="38"/>
      <c r="Q370" s="38"/>
      <c r="R370" s="38"/>
      <c r="S370" s="38"/>
      <c r="T370" s="38"/>
      <c r="U370" s="38"/>
      <c r="V370" s="38"/>
      <c r="W370" s="38"/>
      <c r="X370" s="38"/>
      <c r="Y370" s="38"/>
    </row>
    <row r="371">
      <c r="A371" s="38"/>
      <c r="B371" s="143"/>
      <c r="C371" s="38"/>
      <c r="D371" s="38"/>
      <c r="E371" s="38"/>
      <c r="F371" s="38"/>
      <c r="G371" s="38"/>
      <c r="H371" s="38"/>
      <c r="I371" s="38"/>
      <c r="J371" s="38"/>
      <c r="K371" s="38"/>
      <c r="L371" s="38"/>
      <c r="M371" s="38"/>
      <c r="N371" s="38"/>
      <c r="O371" s="38"/>
      <c r="P371" s="38"/>
      <c r="Q371" s="38"/>
      <c r="R371" s="38"/>
      <c r="S371" s="38"/>
      <c r="T371" s="38"/>
      <c r="U371" s="38"/>
      <c r="V371" s="38"/>
      <c r="W371" s="38"/>
      <c r="X371" s="38"/>
      <c r="Y371" s="38"/>
    </row>
    <row r="372">
      <c r="A372" s="38"/>
      <c r="B372" s="143"/>
      <c r="C372" s="38"/>
      <c r="D372" s="38"/>
      <c r="E372" s="38"/>
      <c r="F372" s="38"/>
      <c r="G372" s="38"/>
      <c r="H372" s="38"/>
      <c r="I372" s="38"/>
      <c r="J372" s="38"/>
      <c r="K372" s="38"/>
      <c r="L372" s="38"/>
      <c r="M372" s="38"/>
      <c r="N372" s="38"/>
      <c r="O372" s="38"/>
      <c r="P372" s="38"/>
      <c r="Q372" s="38"/>
      <c r="R372" s="38"/>
      <c r="S372" s="38"/>
      <c r="T372" s="38"/>
      <c r="U372" s="38"/>
      <c r="V372" s="38"/>
      <c r="W372" s="38"/>
      <c r="X372" s="38"/>
      <c r="Y372" s="38"/>
    </row>
    <row r="373">
      <c r="A373" s="38"/>
      <c r="B373" s="143"/>
      <c r="C373" s="38"/>
      <c r="D373" s="38"/>
      <c r="E373" s="38"/>
      <c r="F373" s="38"/>
      <c r="G373" s="38"/>
      <c r="H373" s="38"/>
      <c r="I373" s="38"/>
      <c r="J373" s="38"/>
      <c r="K373" s="38"/>
      <c r="L373" s="38"/>
      <c r="M373" s="38"/>
      <c r="N373" s="38"/>
      <c r="O373" s="38"/>
      <c r="P373" s="38"/>
      <c r="Q373" s="38"/>
      <c r="R373" s="38"/>
      <c r="S373" s="38"/>
      <c r="T373" s="38"/>
      <c r="U373" s="38"/>
      <c r="V373" s="38"/>
      <c r="W373" s="38"/>
      <c r="X373" s="38"/>
      <c r="Y373" s="38"/>
    </row>
    <row r="374">
      <c r="A374" s="38"/>
      <c r="B374" s="143"/>
      <c r="C374" s="38"/>
      <c r="D374" s="38"/>
      <c r="E374" s="38"/>
      <c r="F374" s="38"/>
      <c r="G374" s="38"/>
      <c r="H374" s="38"/>
      <c r="I374" s="38"/>
      <c r="J374" s="38"/>
      <c r="K374" s="38"/>
      <c r="L374" s="38"/>
      <c r="M374" s="38"/>
      <c r="N374" s="38"/>
      <c r="O374" s="38"/>
      <c r="P374" s="38"/>
      <c r="Q374" s="38"/>
      <c r="R374" s="38"/>
      <c r="S374" s="38"/>
      <c r="T374" s="38"/>
      <c r="U374" s="38"/>
      <c r="V374" s="38"/>
      <c r="W374" s="38"/>
      <c r="X374" s="38"/>
      <c r="Y374" s="38"/>
    </row>
    <row r="375">
      <c r="A375" s="38"/>
      <c r="B375" s="143"/>
      <c r="C375" s="38"/>
      <c r="D375" s="38"/>
      <c r="E375" s="38"/>
      <c r="F375" s="38"/>
      <c r="G375" s="38"/>
      <c r="H375" s="38"/>
      <c r="I375" s="38"/>
      <c r="J375" s="38"/>
      <c r="K375" s="38"/>
      <c r="L375" s="38"/>
      <c r="M375" s="38"/>
      <c r="N375" s="38"/>
      <c r="O375" s="38"/>
      <c r="P375" s="38"/>
      <c r="Q375" s="38"/>
      <c r="R375" s="38"/>
      <c r="S375" s="38"/>
      <c r="T375" s="38"/>
      <c r="U375" s="38"/>
      <c r="V375" s="38"/>
      <c r="W375" s="38"/>
      <c r="X375" s="38"/>
      <c r="Y375" s="38"/>
    </row>
    <row r="376">
      <c r="A376" s="38"/>
      <c r="B376" s="143"/>
      <c r="C376" s="38"/>
      <c r="D376" s="38"/>
      <c r="E376" s="38"/>
      <c r="F376" s="38"/>
      <c r="G376" s="38"/>
      <c r="H376" s="38"/>
      <c r="I376" s="38"/>
      <c r="J376" s="38"/>
      <c r="K376" s="38"/>
      <c r="L376" s="38"/>
      <c r="M376" s="38"/>
      <c r="N376" s="38"/>
      <c r="O376" s="38"/>
      <c r="P376" s="38"/>
      <c r="Q376" s="38"/>
      <c r="R376" s="38"/>
      <c r="S376" s="38"/>
      <c r="T376" s="38"/>
      <c r="U376" s="38"/>
      <c r="V376" s="38"/>
      <c r="W376" s="38"/>
      <c r="X376" s="38"/>
      <c r="Y376" s="38"/>
    </row>
    <row r="377">
      <c r="A377" s="38"/>
      <c r="B377" s="143"/>
      <c r="C377" s="38"/>
      <c r="D377" s="38"/>
      <c r="E377" s="38"/>
      <c r="F377" s="38"/>
      <c r="G377" s="38"/>
      <c r="H377" s="38"/>
      <c r="I377" s="38"/>
      <c r="J377" s="38"/>
      <c r="K377" s="38"/>
      <c r="L377" s="38"/>
      <c r="M377" s="38"/>
      <c r="N377" s="38"/>
      <c r="O377" s="38"/>
      <c r="P377" s="38"/>
      <c r="Q377" s="38"/>
      <c r="R377" s="38"/>
      <c r="S377" s="38"/>
      <c r="T377" s="38"/>
      <c r="U377" s="38"/>
      <c r="V377" s="38"/>
      <c r="W377" s="38"/>
      <c r="X377" s="38"/>
      <c r="Y377" s="38"/>
    </row>
    <row r="378">
      <c r="A378" s="38"/>
      <c r="B378" s="143"/>
      <c r="C378" s="38"/>
      <c r="D378" s="38"/>
      <c r="E378" s="38"/>
      <c r="F378" s="38"/>
      <c r="G378" s="38"/>
      <c r="H378" s="38"/>
      <c r="I378" s="38"/>
      <c r="J378" s="38"/>
      <c r="K378" s="38"/>
      <c r="L378" s="38"/>
      <c r="M378" s="38"/>
      <c r="N378" s="38"/>
      <c r="O378" s="38"/>
      <c r="P378" s="38"/>
      <c r="Q378" s="38"/>
      <c r="R378" s="38"/>
      <c r="S378" s="38"/>
      <c r="T378" s="38"/>
      <c r="U378" s="38"/>
      <c r="V378" s="38"/>
      <c r="W378" s="38"/>
      <c r="X378" s="38"/>
      <c r="Y378" s="38"/>
    </row>
    <row r="379">
      <c r="A379" s="38"/>
      <c r="B379" s="143"/>
      <c r="C379" s="38"/>
      <c r="D379" s="38"/>
      <c r="E379" s="38"/>
      <c r="F379" s="38"/>
      <c r="G379" s="38"/>
      <c r="H379" s="38"/>
      <c r="I379" s="38"/>
      <c r="J379" s="38"/>
      <c r="K379" s="38"/>
      <c r="L379" s="38"/>
      <c r="M379" s="38"/>
      <c r="N379" s="38"/>
      <c r="O379" s="38"/>
      <c r="P379" s="38"/>
      <c r="Q379" s="38"/>
      <c r="R379" s="38"/>
      <c r="S379" s="38"/>
      <c r="T379" s="38"/>
      <c r="U379" s="38"/>
      <c r="V379" s="38"/>
      <c r="W379" s="38"/>
      <c r="X379" s="38"/>
      <c r="Y379" s="38"/>
    </row>
    <row r="380">
      <c r="A380" s="38"/>
      <c r="B380" s="143"/>
      <c r="C380" s="38"/>
      <c r="D380" s="38"/>
      <c r="E380" s="38"/>
      <c r="F380" s="38"/>
      <c r="G380" s="38"/>
      <c r="H380" s="38"/>
      <c r="I380" s="38"/>
      <c r="J380" s="38"/>
      <c r="K380" s="38"/>
      <c r="L380" s="38"/>
      <c r="M380" s="38"/>
      <c r="N380" s="38"/>
      <c r="O380" s="38"/>
      <c r="P380" s="38"/>
      <c r="Q380" s="38"/>
      <c r="R380" s="38"/>
      <c r="S380" s="38"/>
      <c r="T380" s="38"/>
      <c r="U380" s="38"/>
      <c r="V380" s="38"/>
      <c r="W380" s="38"/>
      <c r="X380" s="38"/>
      <c r="Y380" s="38"/>
    </row>
    <row r="381">
      <c r="A381" s="38"/>
      <c r="B381" s="143"/>
      <c r="C381" s="38"/>
      <c r="D381" s="38"/>
      <c r="E381" s="38"/>
      <c r="F381" s="38"/>
      <c r="G381" s="38"/>
      <c r="H381" s="38"/>
      <c r="I381" s="38"/>
      <c r="J381" s="38"/>
      <c r="K381" s="38"/>
      <c r="L381" s="38"/>
      <c r="M381" s="38"/>
      <c r="N381" s="38"/>
      <c r="O381" s="38"/>
      <c r="P381" s="38"/>
      <c r="Q381" s="38"/>
      <c r="R381" s="38"/>
      <c r="S381" s="38"/>
      <c r="T381" s="38"/>
      <c r="U381" s="38"/>
      <c r="V381" s="38"/>
      <c r="W381" s="38"/>
      <c r="X381" s="38"/>
      <c r="Y381" s="38"/>
    </row>
    <row r="382">
      <c r="A382" s="38"/>
      <c r="B382" s="143"/>
      <c r="C382" s="38"/>
      <c r="D382" s="38"/>
      <c r="E382" s="38"/>
      <c r="F382" s="38"/>
      <c r="G382" s="38"/>
      <c r="H382" s="38"/>
      <c r="I382" s="38"/>
      <c r="J382" s="38"/>
      <c r="K382" s="38"/>
      <c r="L382" s="38"/>
      <c r="M382" s="38"/>
      <c r="N382" s="38"/>
      <c r="O382" s="38"/>
      <c r="P382" s="38"/>
      <c r="Q382" s="38"/>
      <c r="R382" s="38"/>
      <c r="S382" s="38"/>
      <c r="T382" s="38"/>
      <c r="U382" s="38"/>
      <c r="V382" s="38"/>
      <c r="W382" s="38"/>
      <c r="X382" s="38"/>
      <c r="Y382" s="38"/>
    </row>
    <row r="383">
      <c r="A383" s="38"/>
      <c r="B383" s="143"/>
      <c r="C383" s="38"/>
      <c r="D383" s="38"/>
      <c r="E383" s="38"/>
      <c r="F383" s="38"/>
      <c r="G383" s="38"/>
      <c r="H383" s="38"/>
      <c r="I383" s="38"/>
      <c r="J383" s="38"/>
      <c r="K383" s="38"/>
      <c r="L383" s="38"/>
      <c r="M383" s="38"/>
      <c r="N383" s="38"/>
      <c r="O383" s="38"/>
      <c r="P383" s="38"/>
      <c r="Q383" s="38"/>
      <c r="R383" s="38"/>
      <c r="S383" s="38"/>
      <c r="T383" s="38"/>
      <c r="U383" s="38"/>
      <c r="V383" s="38"/>
      <c r="W383" s="38"/>
      <c r="X383" s="38"/>
      <c r="Y383" s="38"/>
    </row>
    <row r="384">
      <c r="A384" s="38"/>
      <c r="B384" s="143"/>
      <c r="C384" s="38"/>
      <c r="D384" s="38"/>
      <c r="E384" s="38"/>
      <c r="F384" s="38"/>
      <c r="G384" s="38"/>
      <c r="H384" s="38"/>
      <c r="I384" s="38"/>
      <c r="J384" s="38"/>
      <c r="K384" s="38"/>
      <c r="L384" s="38"/>
      <c r="M384" s="38"/>
      <c r="N384" s="38"/>
      <c r="O384" s="38"/>
      <c r="P384" s="38"/>
      <c r="Q384" s="38"/>
      <c r="R384" s="38"/>
      <c r="S384" s="38"/>
      <c r="T384" s="38"/>
      <c r="U384" s="38"/>
      <c r="V384" s="38"/>
      <c r="W384" s="38"/>
      <c r="X384" s="38"/>
      <c r="Y384" s="38"/>
    </row>
    <row r="385">
      <c r="A385" s="38"/>
      <c r="B385" s="143"/>
      <c r="C385" s="38"/>
      <c r="D385" s="38"/>
      <c r="E385" s="38"/>
      <c r="F385" s="38"/>
      <c r="G385" s="38"/>
      <c r="H385" s="38"/>
      <c r="I385" s="38"/>
      <c r="J385" s="38"/>
      <c r="K385" s="38"/>
      <c r="L385" s="38"/>
      <c r="M385" s="38"/>
      <c r="N385" s="38"/>
      <c r="O385" s="38"/>
      <c r="P385" s="38"/>
      <c r="Q385" s="38"/>
      <c r="R385" s="38"/>
      <c r="S385" s="38"/>
      <c r="T385" s="38"/>
      <c r="U385" s="38"/>
      <c r="V385" s="38"/>
      <c r="W385" s="38"/>
      <c r="X385" s="38"/>
      <c r="Y385" s="38"/>
    </row>
    <row r="386">
      <c r="A386" s="38"/>
      <c r="B386" s="143"/>
      <c r="C386" s="38"/>
      <c r="D386" s="38"/>
      <c r="E386" s="38"/>
      <c r="F386" s="38"/>
      <c r="G386" s="38"/>
      <c r="H386" s="38"/>
      <c r="I386" s="38"/>
      <c r="J386" s="38"/>
      <c r="K386" s="38"/>
      <c r="L386" s="38"/>
      <c r="M386" s="38"/>
      <c r="N386" s="38"/>
      <c r="O386" s="38"/>
      <c r="P386" s="38"/>
      <c r="Q386" s="38"/>
      <c r="R386" s="38"/>
      <c r="S386" s="38"/>
      <c r="T386" s="38"/>
      <c r="U386" s="38"/>
      <c r="V386" s="38"/>
      <c r="W386" s="38"/>
      <c r="X386" s="38"/>
      <c r="Y386" s="38"/>
    </row>
    <row r="387">
      <c r="A387" s="38"/>
      <c r="B387" s="143"/>
      <c r="C387" s="38"/>
      <c r="D387" s="38"/>
      <c r="E387" s="38"/>
      <c r="F387" s="38"/>
      <c r="G387" s="38"/>
      <c r="H387" s="38"/>
      <c r="I387" s="38"/>
      <c r="J387" s="38"/>
      <c r="K387" s="38"/>
      <c r="L387" s="38"/>
      <c r="M387" s="38"/>
      <c r="N387" s="38"/>
      <c r="O387" s="38"/>
      <c r="P387" s="38"/>
      <c r="Q387" s="38"/>
      <c r="R387" s="38"/>
      <c r="S387" s="38"/>
      <c r="T387" s="38"/>
      <c r="U387" s="38"/>
      <c r="V387" s="38"/>
      <c r="W387" s="38"/>
      <c r="X387" s="38"/>
      <c r="Y387" s="38"/>
    </row>
    <row r="388">
      <c r="A388" s="38"/>
      <c r="B388" s="143"/>
      <c r="C388" s="38"/>
      <c r="D388" s="38"/>
      <c r="E388" s="38"/>
      <c r="F388" s="38"/>
      <c r="G388" s="38"/>
      <c r="H388" s="38"/>
      <c r="I388" s="38"/>
      <c r="J388" s="38"/>
      <c r="K388" s="38"/>
      <c r="L388" s="38"/>
      <c r="M388" s="38"/>
      <c r="N388" s="38"/>
      <c r="O388" s="38"/>
      <c r="P388" s="38"/>
      <c r="Q388" s="38"/>
      <c r="R388" s="38"/>
      <c r="S388" s="38"/>
      <c r="T388" s="38"/>
      <c r="U388" s="38"/>
      <c r="V388" s="38"/>
      <c r="W388" s="38"/>
      <c r="X388" s="38"/>
      <c r="Y388" s="38"/>
    </row>
    <row r="389">
      <c r="A389" s="38"/>
      <c r="B389" s="143"/>
      <c r="C389" s="38"/>
      <c r="D389" s="38"/>
      <c r="E389" s="38"/>
      <c r="F389" s="38"/>
      <c r="G389" s="38"/>
      <c r="H389" s="38"/>
      <c r="I389" s="38"/>
      <c r="J389" s="38"/>
      <c r="K389" s="38"/>
      <c r="L389" s="38"/>
      <c r="M389" s="38"/>
      <c r="N389" s="38"/>
      <c r="O389" s="38"/>
      <c r="P389" s="38"/>
      <c r="Q389" s="38"/>
      <c r="R389" s="38"/>
      <c r="S389" s="38"/>
      <c r="T389" s="38"/>
      <c r="U389" s="38"/>
      <c r="V389" s="38"/>
      <c r="W389" s="38"/>
      <c r="X389" s="38"/>
      <c r="Y389" s="38"/>
    </row>
    <row r="390">
      <c r="A390" s="38"/>
      <c r="B390" s="143"/>
      <c r="C390" s="38"/>
      <c r="D390" s="38"/>
      <c r="E390" s="38"/>
      <c r="F390" s="38"/>
      <c r="G390" s="38"/>
      <c r="H390" s="38"/>
      <c r="I390" s="38"/>
      <c r="J390" s="38"/>
      <c r="K390" s="38"/>
      <c r="L390" s="38"/>
      <c r="M390" s="38"/>
      <c r="N390" s="38"/>
      <c r="O390" s="38"/>
      <c r="P390" s="38"/>
      <c r="Q390" s="38"/>
      <c r="R390" s="38"/>
      <c r="S390" s="38"/>
      <c r="T390" s="38"/>
      <c r="U390" s="38"/>
      <c r="V390" s="38"/>
      <c r="W390" s="38"/>
      <c r="X390" s="38"/>
      <c r="Y390" s="38"/>
    </row>
    <row r="391">
      <c r="A391" s="38"/>
      <c r="B391" s="143"/>
      <c r="C391" s="38"/>
      <c r="D391" s="38"/>
      <c r="E391" s="38"/>
      <c r="F391" s="38"/>
      <c r="G391" s="38"/>
      <c r="H391" s="38"/>
      <c r="I391" s="38"/>
      <c r="J391" s="38"/>
      <c r="K391" s="38"/>
      <c r="L391" s="38"/>
      <c r="M391" s="38"/>
      <c r="N391" s="38"/>
      <c r="O391" s="38"/>
      <c r="P391" s="38"/>
      <c r="Q391" s="38"/>
      <c r="R391" s="38"/>
      <c r="S391" s="38"/>
      <c r="T391" s="38"/>
      <c r="U391" s="38"/>
      <c r="V391" s="38"/>
      <c r="W391" s="38"/>
      <c r="X391" s="38"/>
      <c r="Y391" s="38"/>
    </row>
    <row r="392">
      <c r="A392" s="38"/>
      <c r="B392" s="143"/>
      <c r="C392" s="38"/>
      <c r="D392" s="38"/>
      <c r="E392" s="38"/>
      <c r="F392" s="38"/>
      <c r="G392" s="38"/>
      <c r="H392" s="38"/>
      <c r="I392" s="38"/>
      <c r="J392" s="38"/>
      <c r="K392" s="38"/>
      <c r="L392" s="38"/>
      <c r="M392" s="38"/>
      <c r="N392" s="38"/>
      <c r="O392" s="38"/>
      <c r="P392" s="38"/>
      <c r="Q392" s="38"/>
      <c r="R392" s="38"/>
      <c r="S392" s="38"/>
      <c r="T392" s="38"/>
      <c r="U392" s="38"/>
      <c r="V392" s="38"/>
      <c r="W392" s="38"/>
      <c r="X392" s="38"/>
      <c r="Y392" s="38"/>
    </row>
    <row r="393">
      <c r="A393" s="38"/>
      <c r="B393" s="143"/>
      <c r="C393" s="38"/>
      <c r="D393" s="38"/>
      <c r="E393" s="38"/>
      <c r="F393" s="38"/>
      <c r="G393" s="38"/>
      <c r="H393" s="38"/>
      <c r="I393" s="38"/>
      <c r="J393" s="38"/>
      <c r="K393" s="38"/>
      <c r="L393" s="38"/>
      <c r="M393" s="38"/>
      <c r="N393" s="38"/>
      <c r="O393" s="38"/>
      <c r="P393" s="38"/>
      <c r="Q393" s="38"/>
      <c r="R393" s="38"/>
      <c r="S393" s="38"/>
      <c r="T393" s="38"/>
      <c r="U393" s="38"/>
      <c r="V393" s="38"/>
      <c r="W393" s="38"/>
      <c r="X393" s="38"/>
      <c r="Y393" s="38"/>
    </row>
    <row r="394">
      <c r="A394" s="38"/>
      <c r="B394" s="143"/>
      <c r="C394" s="38"/>
      <c r="D394" s="38"/>
      <c r="E394" s="38"/>
      <c r="F394" s="38"/>
      <c r="G394" s="38"/>
      <c r="H394" s="38"/>
      <c r="I394" s="38"/>
      <c r="J394" s="38"/>
      <c r="K394" s="38"/>
      <c r="L394" s="38"/>
      <c r="M394" s="38"/>
      <c r="N394" s="38"/>
      <c r="O394" s="38"/>
      <c r="P394" s="38"/>
      <c r="Q394" s="38"/>
      <c r="R394" s="38"/>
      <c r="S394" s="38"/>
      <c r="T394" s="38"/>
      <c r="U394" s="38"/>
      <c r="V394" s="38"/>
      <c r="W394" s="38"/>
      <c r="X394" s="38"/>
      <c r="Y394" s="38"/>
    </row>
    <row r="395">
      <c r="A395" s="38"/>
      <c r="B395" s="143"/>
      <c r="C395" s="38"/>
      <c r="D395" s="38"/>
      <c r="E395" s="38"/>
      <c r="F395" s="38"/>
      <c r="G395" s="38"/>
      <c r="H395" s="38"/>
      <c r="I395" s="38"/>
      <c r="J395" s="38"/>
      <c r="K395" s="38"/>
      <c r="L395" s="38"/>
      <c r="M395" s="38"/>
      <c r="N395" s="38"/>
      <c r="O395" s="38"/>
      <c r="P395" s="38"/>
      <c r="Q395" s="38"/>
      <c r="R395" s="38"/>
      <c r="S395" s="38"/>
      <c r="T395" s="38"/>
      <c r="U395" s="38"/>
      <c r="V395" s="38"/>
      <c r="W395" s="38"/>
      <c r="X395" s="38"/>
      <c r="Y395" s="38"/>
    </row>
    <row r="396">
      <c r="A396" s="38"/>
      <c r="B396" s="143"/>
      <c r="C396" s="38"/>
      <c r="D396" s="38"/>
      <c r="E396" s="38"/>
      <c r="F396" s="38"/>
      <c r="G396" s="38"/>
      <c r="H396" s="38"/>
      <c r="I396" s="38"/>
      <c r="J396" s="38"/>
      <c r="K396" s="38"/>
      <c r="L396" s="38"/>
      <c r="M396" s="38"/>
      <c r="N396" s="38"/>
      <c r="O396" s="38"/>
      <c r="P396" s="38"/>
      <c r="Q396" s="38"/>
      <c r="R396" s="38"/>
      <c r="S396" s="38"/>
      <c r="T396" s="38"/>
      <c r="U396" s="38"/>
      <c r="V396" s="38"/>
      <c r="W396" s="38"/>
      <c r="X396" s="38"/>
      <c r="Y396" s="38"/>
    </row>
    <row r="397">
      <c r="A397" s="38"/>
      <c r="B397" s="143"/>
      <c r="C397" s="38"/>
      <c r="D397" s="38"/>
      <c r="E397" s="38"/>
      <c r="F397" s="38"/>
      <c r="G397" s="38"/>
      <c r="H397" s="38"/>
      <c r="I397" s="38"/>
      <c r="J397" s="38"/>
      <c r="K397" s="38"/>
      <c r="L397" s="38"/>
      <c r="M397" s="38"/>
      <c r="N397" s="38"/>
      <c r="O397" s="38"/>
      <c r="P397" s="38"/>
      <c r="Q397" s="38"/>
      <c r="R397" s="38"/>
      <c r="S397" s="38"/>
      <c r="T397" s="38"/>
      <c r="U397" s="38"/>
      <c r="V397" s="38"/>
      <c r="W397" s="38"/>
      <c r="X397" s="38"/>
      <c r="Y397" s="38"/>
    </row>
    <row r="398">
      <c r="A398" s="38"/>
      <c r="B398" s="143"/>
      <c r="C398" s="38"/>
      <c r="D398" s="38"/>
      <c r="E398" s="38"/>
      <c r="F398" s="38"/>
      <c r="G398" s="38"/>
      <c r="H398" s="38"/>
      <c r="I398" s="38"/>
      <c r="J398" s="38"/>
      <c r="K398" s="38"/>
      <c r="L398" s="38"/>
      <c r="M398" s="38"/>
      <c r="N398" s="38"/>
      <c r="O398" s="38"/>
      <c r="P398" s="38"/>
      <c r="Q398" s="38"/>
      <c r="R398" s="38"/>
      <c r="S398" s="38"/>
      <c r="T398" s="38"/>
      <c r="U398" s="38"/>
      <c r="V398" s="38"/>
      <c r="W398" s="38"/>
      <c r="X398" s="38"/>
      <c r="Y398" s="38"/>
    </row>
    <row r="399">
      <c r="A399" s="38"/>
      <c r="B399" s="143"/>
      <c r="C399" s="38"/>
      <c r="D399" s="38"/>
      <c r="E399" s="38"/>
      <c r="F399" s="38"/>
      <c r="G399" s="38"/>
      <c r="H399" s="38"/>
      <c r="I399" s="38"/>
      <c r="J399" s="38"/>
      <c r="K399" s="38"/>
      <c r="L399" s="38"/>
      <c r="M399" s="38"/>
      <c r="N399" s="38"/>
      <c r="O399" s="38"/>
      <c r="P399" s="38"/>
      <c r="Q399" s="38"/>
      <c r="R399" s="38"/>
      <c r="S399" s="38"/>
      <c r="T399" s="38"/>
      <c r="U399" s="38"/>
      <c r="V399" s="38"/>
      <c r="W399" s="38"/>
      <c r="X399" s="38"/>
      <c r="Y399" s="38"/>
    </row>
    <row r="400">
      <c r="A400" s="38"/>
      <c r="B400" s="143"/>
      <c r="C400" s="38"/>
      <c r="D400" s="38"/>
      <c r="E400" s="38"/>
      <c r="F400" s="38"/>
      <c r="G400" s="38"/>
      <c r="H400" s="38"/>
      <c r="I400" s="38"/>
      <c r="J400" s="38"/>
      <c r="K400" s="38"/>
      <c r="L400" s="38"/>
      <c r="M400" s="38"/>
      <c r="N400" s="38"/>
      <c r="O400" s="38"/>
      <c r="P400" s="38"/>
      <c r="Q400" s="38"/>
      <c r="R400" s="38"/>
      <c r="S400" s="38"/>
      <c r="T400" s="38"/>
      <c r="U400" s="38"/>
      <c r="V400" s="38"/>
      <c r="W400" s="38"/>
      <c r="X400" s="38"/>
      <c r="Y400" s="38"/>
    </row>
    <row r="401">
      <c r="A401" s="38"/>
      <c r="B401" s="143"/>
      <c r="C401" s="38"/>
      <c r="D401" s="38"/>
      <c r="E401" s="38"/>
      <c r="F401" s="38"/>
      <c r="G401" s="38"/>
      <c r="H401" s="38"/>
      <c r="I401" s="38"/>
      <c r="J401" s="38"/>
      <c r="K401" s="38"/>
      <c r="L401" s="38"/>
      <c r="M401" s="38"/>
      <c r="N401" s="38"/>
      <c r="O401" s="38"/>
      <c r="P401" s="38"/>
      <c r="Q401" s="38"/>
      <c r="R401" s="38"/>
      <c r="S401" s="38"/>
      <c r="T401" s="38"/>
      <c r="U401" s="38"/>
      <c r="V401" s="38"/>
      <c r="W401" s="38"/>
      <c r="X401" s="38"/>
      <c r="Y401" s="38"/>
    </row>
    <row r="402">
      <c r="A402" s="38"/>
      <c r="B402" s="143"/>
      <c r="C402" s="38"/>
      <c r="D402" s="38"/>
      <c r="E402" s="38"/>
      <c r="F402" s="38"/>
      <c r="G402" s="38"/>
      <c r="H402" s="38"/>
      <c r="I402" s="38"/>
      <c r="J402" s="38"/>
      <c r="K402" s="38"/>
      <c r="L402" s="38"/>
      <c r="M402" s="38"/>
      <c r="N402" s="38"/>
      <c r="O402" s="38"/>
      <c r="P402" s="38"/>
      <c r="Q402" s="38"/>
      <c r="R402" s="38"/>
      <c r="S402" s="38"/>
      <c r="T402" s="38"/>
      <c r="U402" s="38"/>
      <c r="V402" s="38"/>
      <c r="W402" s="38"/>
      <c r="X402" s="38"/>
      <c r="Y402" s="38"/>
    </row>
    <row r="403">
      <c r="A403" s="38"/>
      <c r="B403" s="143"/>
      <c r="C403" s="38"/>
      <c r="D403" s="38"/>
      <c r="E403" s="38"/>
      <c r="F403" s="38"/>
      <c r="G403" s="38"/>
      <c r="H403" s="38"/>
      <c r="I403" s="38"/>
      <c r="J403" s="38"/>
      <c r="K403" s="38"/>
      <c r="L403" s="38"/>
      <c r="M403" s="38"/>
      <c r="N403" s="38"/>
      <c r="O403" s="38"/>
      <c r="P403" s="38"/>
      <c r="Q403" s="38"/>
      <c r="R403" s="38"/>
      <c r="S403" s="38"/>
      <c r="T403" s="38"/>
      <c r="U403" s="38"/>
      <c r="V403" s="38"/>
      <c r="W403" s="38"/>
      <c r="X403" s="38"/>
      <c r="Y403" s="38"/>
    </row>
    <row r="404">
      <c r="A404" s="38"/>
      <c r="B404" s="143"/>
      <c r="C404" s="38"/>
      <c r="D404" s="38"/>
      <c r="E404" s="38"/>
      <c r="F404" s="38"/>
      <c r="G404" s="38"/>
      <c r="H404" s="38"/>
      <c r="I404" s="38"/>
      <c r="J404" s="38"/>
      <c r="K404" s="38"/>
      <c r="L404" s="38"/>
      <c r="M404" s="38"/>
      <c r="N404" s="38"/>
      <c r="O404" s="38"/>
      <c r="P404" s="38"/>
      <c r="Q404" s="38"/>
      <c r="R404" s="38"/>
      <c r="S404" s="38"/>
      <c r="T404" s="38"/>
      <c r="U404" s="38"/>
      <c r="V404" s="38"/>
      <c r="W404" s="38"/>
      <c r="X404" s="38"/>
      <c r="Y404" s="38"/>
    </row>
    <row r="405">
      <c r="A405" s="38"/>
      <c r="B405" s="143"/>
      <c r="C405" s="38"/>
      <c r="D405" s="38"/>
      <c r="E405" s="38"/>
      <c r="F405" s="38"/>
      <c r="G405" s="38"/>
      <c r="H405" s="38"/>
      <c r="I405" s="38"/>
      <c r="J405" s="38"/>
      <c r="K405" s="38"/>
      <c r="L405" s="38"/>
      <c r="M405" s="38"/>
      <c r="N405" s="38"/>
      <c r="O405" s="38"/>
      <c r="P405" s="38"/>
      <c r="Q405" s="38"/>
      <c r="R405" s="38"/>
      <c r="S405" s="38"/>
      <c r="T405" s="38"/>
      <c r="U405" s="38"/>
      <c r="V405" s="38"/>
      <c r="W405" s="38"/>
      <c r="X405" s="38"/>
      <c r="Y405" s="38"/>
    </row>
    <row r="406">
      <c r="A406" s="38"/>
      <c r="B406" s="143"/>
      <c r="C406" s="38"/>
      <c r="D406" s="38"/>
      <c r="E406" s="38"/>
      <c r="F406" s="38"/>
      <c r="G406" s="38"/>
      <c r="H406" s="38"/>
      <c r="I406" s="38"/>
      <c r="J406" s="38"/>
      <c r="K406" s="38"/>
      <c r="L406" s="38"/>
      <c r="M406" s="38"/>
      <c r="N406" s="38"/>
      <c r="O406" s="38"/>
      <c r="P406" s="38"/>
      <c r="Q406" s="38"/>
      <c r="R406" s="38"/>
      <c r="S406" s="38"/>
      <c r="T406" s="38"/>
      <c r="U406" s="38"/>
      <c r="V406" s="38"/>
      <c r="W406" s="38"/>
      <c r="X406" s="38"/>
      <c r="Y406" s="38"/>
    </row>
    <row r="407">
      <c r="A407" s="38"/>
      <c r="B407" s="143"/>
      <c r="C407" s="38"/>
      <c r="D407" s="38"/>
      <c r="E407" s="38"/>
      <c r="F407" s="38"/>
      <c r="G407" s="38"/>
      <c r="H407" s="38"/>
      <c r="I407" s="38"/>
      <c r="J407" s="38"/>
      <c r="K407" s="38"/>
      <c r="L407" s="38"/>
      <c r="M407" s="38"/>
      <c r="N407" s="38"/>
      <c r="O407" s="38"/>
      <c r="P407" s="38"/>
      <c r="Q407" s="38"/>
      <c r="R407" s="38"/>
      <c r="S407" s="38"/>
      <c r="T407" s="38"/>
      <c r="U407" s="38"/>
      <c r="V407" s="38"/>
      <c r="W407" s="38"/>
      <c r="X407" s="38"/>
      <c r="Y407" s="38"/>
    </row>
    <row r="408">
      <c r="A408" s="38"/>
      <c r="B408" s="143"/>
      <c r="C408" s="38"/>
      <c r="D408" s="38"/>
      <c r="E408" s="38"/>
      <c r="F408" s="38"/>
      <c r="G408" s="38"/>
      <c r="H408" s="38"/>
      <c r="I408" s="38"/>
      <c r="J408" s="38"/>
      <c r="K408" s="38"/>
      <c r="L408" s="38"/>
      <c r="M408" s="38"/>
      <c r="N408" s="38"/>
      <c r="O408" s="38"/>
      <c r="P408" s="38"/>
      <c r="Q408" s="38"/>
      <c r="R408" s="38"/>
      <c r="S408" s="38"/>
      <c r="T408" s="38"/>
      <c r="U408" s="38"/>
      <c r="V408" s="38"/>
      <c r="W408" s="38"/>
      <c r="X408" s="38"/>
      <c r="Y408" s="38"/>
    </row>
    <row r="409">
      <c r="A409" s="38"/>
      <c r="B409" s="143"/>
      <c r="C409" s="38"/>
      <c r="D409" s="38"/>
      <c r="E409" s="38"/>
      <c r="F409" s="38"/>
      <c r="G409" s="38"/>
      <c r="H409" s="38"/>
      <c r="I409" s="38"/>
      <c r="J409" s="38"/>
      <c r="K409" s="38"/>
      <c r="L409" s="38"/>
      <c r="M409" s="38"/>
      <c r="N409" s="38"/>
      <c r="O409" s="38"/>
      <c r="P409" s="38"/>
      <c r="Q409" s="38"/>
      <c r="R409" s="38"/>
      <c r="S409" s="38"/>
      <c r="T409" s="38"/>
      <c r="U409" s="38"/>
      <c r="V409" s="38"/>
      <c r="W409" s="38"/>
      <c r="X409" s="38"/>
      <c r="Y409" s="38"/>
    </row>
    <row r="410">
      <c r="A410" s="38"/>
      <c r="B410" s="143"/>
      <c r="C410" s="38"/>
      <c r="D410" s="38"/>
      <c r="E410" s="38"/>
      <c r="F410" s="38"/>
      <c r="G410" s="38"/>
      <c r="H410" s="38"/>
      <c r="I410" s="38"/>
      <c r="J410" s="38"/>
      <c r="K410" s="38"/>
      <c r="L410" s="38"/>
      <c r="M410" s="38"/>
      <c r="N410" s="38"/>
      <c r="O410" s="38"/>
      <c r="P410" s="38"/>
      <c r="Q410" s="38"/>
      <c r="R410" s="38"/>
      <c r="S410" s="38"/>
      <c r="T410" s="38"/>
      <c r="U410" s="38"/>
      <c r="V410" s="38"/>
      <c r="W410" s="38"/>
      <c r="X410" s="38"/>
      <c r="Y410" s="38"/>
    </row>
    <row r="411">
      <c r="A411" s="38"/>
      <c r="B411" s="143"/>
      <c r="C411" s="38"/>
      <c r="D411" s="38"/>
      <c r="E411" s="38"/>
      <c r="F411" s="38"/>
      <c r="G411" s="38"/>
      <c r="H411" s="38"/>
      <c r="I411" s="38"/>
      <c r="J411" s="38"/>
      <c r="K411" s="38"/>
      <c r="L411" s="38"/>
      <c r="M411" s="38"/>
      <c r="N411" s="38"/>
      <c r="O411" s="38"/>
      <c r="P411" s="38"/>
      <c r="Q411" s="38"/>
      <c r="R411" s="38"/>
      <c r="S411" s="38"/>
      <c r="T411" s="38"/>
      <c r="U411" s="38"/>
      <c r="V411" s="38"/>
      <c r="W411" s="38"/>
      <c r="X411" s="38"/>
      <c r="Y411" s="38"/>
    </row>
    <row r="412">
      <c r="A412" s="38"/>
      <c r="B412" s="143"/>
      <c r="C412" s="38"/>
      <c r="D412" s="38"/>
      <c r="E412" s="38"/>
      <c r="F412" s="38"/>
      <c r="G412" s="38"/>
      <c r="H412" s="38"/>
      <c r="I412" s="38"/>
      <c r="J412" s="38"/>
      <c r="K412" s="38"/>
      <c r="L412" s="38"/>
      <c r="M412" s="38"/>
      <c r="N412" s="38"/>
      <c r="O412" s="38"/>
      <c r="P412" s="38"/>
      <c r="Q412" s="38"/>
      <c r="R412" s="38"/>
      <c r="S412" s="38"/>
      <c r="T412" s="38"/>
      <c r="U412" s="38"/>
      <c r="V412" s="38"/>
      <c r="W412" s="38"/>
      <c r="X412" s="38"/>
      <c r="Y412" s="38"/>
    </row>
    <row r="413">
      <c r="A413" s="38"/>
      <c r="B413" s="143"/>
      <c r="C413" s="38"/>
      <c r="D413" s="38"/>
      <c r="E413" s="38"/>
      <c r="F413" s="38"/>
      <c r="G413" s="38"/>
      <c r="H413" s="38"/>
      <c r="I413" s="38"/>
      <c r="J413" s="38"/>
      <c r="K413" s="38"/>
      <c r="L413" s="38"/>
      <c r="M413" s="38"/>
      <c r="N413" s="38"/>
      <c r="O413" s="38"/>
      <c r="P413" s="38"/>
      <c r="Q413" s="38"/>
      <c r="R413" s="38"/>
      <c r="S413" s="38"/>
      <c r="T413" s="38"/>
      <c r="U413" s="38"/>
      <c r="V413" s="38"/>
      <c r="W413" s="38"/>
      <c r="X413" s="38"/>
      <c r="Y413" s="38"/>
    </row>
    <row r="414">
      <c r="A414" s="38"/>
      <c r="B414" s="143"/>
      <c r="C414" s="38"/>
      <c r="D414" s="38"/>
      <c r="E414" s="38"/>
      <c r="F414" s="38"/>
      <c r="G414" s="38"/>
      <c r="H414" s="38"/>
      <c r="I414" s="38"/>
      <c r="J414" s="38"/>
      <c r="K414" s="38"/>
      <c r="L414" s="38"/>
      <c r="M414" s="38"/>
      <c r="N414" s="38"/>
      <c r="O414" s="38"/>
      <c r="P414" s="38"/>
      <c r="Q414" s="38"/>
      <c r="R414" s="38"/>
      <c r="S414" s="38"/>
      <c r="T414" s="38"/>
      <c r="U414" s="38"/>
      <c r="V414" s="38"/>
      <c r="W414" s="38"/>
      <c r="X414" s="38"/>
      <c r="Y414" s="38"/>
    </row>
    <row r="415">
      <c r="A415" s="38"/>
      <c r="B415" s="143"/>
      <c r="C415" s="38"/>
      <c r="D415" s="38"/>
      <c r="E415" s="38"/>
      <c r="F415" s="38"/>
      <c r="G415" s="38"/>
      <c r="H415" s="38"/>
      <c r="I415" s="38"/>
      <c r="J415" s="38"/>
      <c r="K415" s="38"/>
      <c r="L415" s="38"/>
      <c r="M415" s="38"/>
      <c r="N415" s="38"/>
      <c r="O415" s="38"/>
      <c r="P415" s="38"/>
      <c r="Q415" s="38"/>
      <c r="R415" s="38"/>
      <c r="S415" s="38"/>
      <c r="T415" s="38"/>
      <c r="U415" s="38"/>
      <c r="V415" s="38"/>
      <c r="W415" s="38"/>
      <c r="X415" s="38"/>
      <c r="Y415" s="38"/>
    </row>
    <row r="416">
      <c r="A416" s="38"/>
      <c r="B416" s="143"/>
      <c r="C416" s="38"/>
      <c r="D416" s="38"/>
      <c r="E416" s="38"/>
      <c r="F416" s="38"/>
      <c r="G416" s="38"/>
      <c r="H416" s="38"/>
      <c r="I416" s="38"/>
      <c r="J416" s="38"/>
      <c r="K416" s="38"/>
      <c r="L416" s="38"/>
      <c r="M416" s="38"/>
      <c r="N416" s="38"/>
      <c r="O416" s="38"/>
      <c r="P416" s="38"/>
      <c r="Q416" s="38"/>
      <c r="R416" s="38"/>
      <c r="S416" s="38"/>
      <c r="T416" s="38"/>
      <c r="U416" s="38"/>
      <c r="V416" s="38"/>
      <c r="W416" s="38"/>
      <c r="X416" s="38"/>
      <c r="Y416" s="38"/>
    </row>
    <row r="417">
      <c r="A417" s="38"/>
      <c r="B417" s="143"/>
      <c r="C417" s="38"/>
      <c r="D417" s="38"/>
      <c r="E417" s="38"/>
      <c r="F417" s="38"/>
      <c r="G417" s="38"/>
      <c r="H417" s="38"/>
      <c r="I417" s="38"/>
      <c r="J417" s="38"/>
      <c r="K417" s="38"/>
      <c r="L417" s="38"/>
      <c r="M417" s="38"/>
      <c r="N417" s="38"/>
      <c r="O417" s="38"/>
      <c r="P417" s="38"/>
      <c r="Q417" s="38"/>
      <c r="R417" s="38"/>
      <c r="S417" s="38"/>
      <c r="T417" s="38"/>
      <c r="U417" s="38"/>
      <c r="V417" s="38"/>
      <c r="W417" s="38"/>
      <c r="X417" s="38"/>
      <c r="Y417" s="38"/>
    </row>
    <row r="418">
      <c r="A418" s="38"/>
      <c r="B418" s="143"/>
      <c r="C418" s="38"/>
      <c r="D418" s="38"/>
      <c r="E418" s="38"/>
      <c r="F418" s="38"/>
      <c r="G418" s="38"/>
      <c r="H418" s="38"/>
      <c r="I418" s="38"/>
      <c r="J418" s="38"/>
      <c r="K418" s="38"/>
      <c r="L418" s="38"/>
      <c r="M418" s="38"/>
      <c r="N418" s="38"/>
      <c r="O418" s="38"/>
      <c r="P418" s="38"/>
      <c r="Q418" s="38"/>
      <c r="R418" s="38"/>
      <c r="S418" s="38"/>
      <c r="T418" s="38"/>
      <c r="U418" s="38"/>
      <c r="V418" s="38"/>
      <c r="W418" s="38"/>
      <c r="X418" s="38"/>
      <c r="Y418" s="38"/>
    </row>
    <row r="419">
      <c r="A419" s="38"/>
      <c r="B419" s="143"/>
      <c r="C419" s="38"/>
      <c r="D419" s="38"/>
      <c r="E419" s="38"/>
      <c r="F419" s="38"/>
      <c r="G419" s="38"/>
      <c r="H419" s="38"/>
      <c r="I419" s="38"/>
      <c r="J419" s="38"/>
      <c r="K419" s="38"/>
      <c r="L419" s="38"/>
      <c r="M419" s="38"/>
      <c r="N419" s="38"/>
      <c r="O419" s="38"/>
      <c r="P419" s="38"/>
      <c r="Q419" s="38"/>
      <c r="R419" s="38"/>
      <c r="S419" s="38"/>
      <c r="T419" s="38"/>
      <c r="U419" s="38"/>
      <c r="V419" s="38"/>
      <c r="W419" s="38"/>
      <c r="X419" s="38"/>
      <c r="Y419" s="38"/>
    </row>
    <row r="420">
      <c r="A420" s="38"/>
      <c r="B420" s="143"/>
      <c r="C420" s="38"/>
      <c r="D420" s="38"/>
      <c r="E420" s="38"/>
      <c r="F420" s="38"/>
      <c r="G420" s="38"/>
      <c r="H420" s="38"/>
      <c r="I420" s="38"/>
      <c r="J420" s="38"/>
      <c r="K420" s="38"/>
      <c r="L420" s="38"/>
      <c r="M420" s="38"/>
      <c r="N420" s="38"/>
      <c r="O420" s="38"/>
      <c r="P420" s="38"/>
      <c r="Q420" s="38"/>
      <c r="R420" s="38"/>
      <c r="S420" s="38"/>
      <c r="T420" s="38"/>
      <c r="U420" s="38"/>
      <c r="V420" s="38"/>
      <c r="W420" s="38"/>
      <c r="X420" s="38"/>
      <c r="Y420" s="38"/>
    </row>
    <row r="421">
      <c r="A421" s="38"/>
      <c r="B421" s="143"/>
      <c r="C421" s="38"/>
      <c r="D421" s="38"/>
      <c r="E421" s="38"/>
      <c r="F421" s="38"/>
      <c r="G421" s="38"/>
      <c r="H421" s="38"/>
      <c r="I421" s="38"/>
      <c r="J421" s="38"/>
      <c r="K421" s="38"/>
      <c r="L421" s="38"/>
      <c r="M421" s="38"/>
      <c r="N421" s="38"/>
      <c r="O421" s="38"/>
      <c r="P421" s="38"/>
      <c r="Q421" s="38"/>
      <c r="R421" s="38"/>
      <c r="S421" s="38"/>
      <c r="T421" s="38"/>
      <c r="U421" s="38"/>
      <c r="V421" s="38"/>
      <c r="W421" s="38"/>
      <c r="X421" s="38"/>
      <c r="Y421" s="38"/>
    </row>
    <row r="422">
      <c r="A422" s="38"/>
      <c r="B422" s="143"/>
      <c r="C422" s="38"/>
      <c r="D422" s="38"/>
      <c r="E422" s="38"/>
      <c r="F422" s="38"/>
      <c r="G422" s="38"/>
      <c r="H422" s="38"/>
      <c r="I422" s="38"/>
      <c r="J422" s="38"/>
      <c r="K422" s="38"/>
      <c r="L422" s="38"/>
      <c r="M422" s="38"/>
      <c r="N422" s="38"/>
      <c r="O422" s="38"/>
      <c r="P422" s="38"/>
      <c r="Q422" s="38"/>
      <c r="R422" s="38"/>
      <c r="S422" s="38"/>
      <c r="T422" s="38"/>
      <c r="U422" s="38"/>
      <c r="V422" s="38"/>
      <c r="W422" s="38"/>
      <c r="X422" s="38"/>
      <c r="Y422" s="38"/>
    </row>
    <row r="423">
      <c r="A423" s="38"/>
      <c r="B423" s="143"/>
      <c r="C423" s="38"/>
      <c r="D423" s="38"/>
      <c r="E423" s="38"/>
      <c r="F423" s="38"/>
      <c r="G423" s="38"/>
      <c r="H423" s="38"/>
      <c r="I423" s="38"/>
      <c r="J423" s="38"/>
      <c r="K423" s="38"/>
      <c r="L423" s="38"/>
      <c r="M423" s="38"/>
      <c r="N423" s="38"/>
      <c r="O423" s="38"/>
      <c r="P423" s="38"/>
      <c r="Q423" s="38"/>
      <c r="R423" s="38"/>
      <c r="S423" s="38"/>
      <c r="T423" s="38"/>
      <c r="U423" s="38"/>
      <c r="V423" s="38"/>
      <c r="W423" s="38"/>
      <c r="X423" s="38"/>
      <c r="Y423" s="38"/>
    </row>
    <row r="424">
      <c r="A424" s="38"/>
      <c r="B424" s="143"/>
      <c r="C424" s="38"/>
      <c r="D424" s="38"/>
      <c r="E424" s="38"/>
      <c r="F424" s="38"/>
      <c r="G424" s="38"/>
      <c r="H424" s="38"/>
      <c r="I424" s="38"/>
      <c r="J424" s="38"/>
      <c r="K424" s="38"/>
      <c r="L424" s="38"/>
      <c r="M424" s="38"/>
      <c r="N424" s="38"/>
      <c r="O424" s="38"/>
      <c r="P424" s="38"/>
      <c r="Q424" s="38"/>
      <c r="R424" s="38"/>
      <c r="S424" s="38"/>
      <c r="T424" s="38"/>
      <c r="U424" s="38"/>
      <c r="V424" s="38"/>
      <c r="W424" s="38"/>
      <c r="X424" s="38"/>
      <c r="Y424" s="38"/>
    </row>
    <row r="425">
      <c r="A425" s="38"/>
      <c r="B425" s="143"/>
      <c r="C425" s="38"/>
      <c r="D425" s="38"/>
      <c r="E425" s="38"/>
      <c r="F425" s="38"/>
      <c r="G425" s="38"/>
      <c r="H425" s="38"/>
      <c r="I425" s="38"/>
      <c r="J425" s="38"/>
      <c r="K425" s="38"/>
      <c r="L425" s="38"/>
      <c r="M425" s="38"/>
      <c r="N425" s="38"/>
      <c r="O425" s="38"/>
      <c r="P425" s="38"/>
      <c r="Q425" s="38"/>
      <c r="R425" s="38"/>
      <c r="S425" s="38"/>
      <c r="T425" s="38"/>
      <c r="U425" s="38"/>
      <c r="V425" s="38"/>
      <c r="W425" s="38"/>
      <c r="X425" s="38"/>
      <c r="Y425" s="38"/>
    </row>
    <row r="426">
      <c r="A426" s="38"/>
      <c r="B426" s="143"/>
      <c r="C426" s="38"/>
      <c r="D426" s="38"/>
      <c r="E426" s="38"/>
      <c r="F426" s="38"/>
      <c r="G426" s="38"/>
      <c r="H426" s="38"/>
      <c r="I426" s="38"/>
      <c r="J426" s="38"/>
      <c r="K426" s="38"/>
      <c r="L426" s="38"/>
      <c r="M426" s="38"/>
      <c r="N426" s="38"/>
      <c r="O426" s="38"/>
      <c r="P426" s="38"/>
      <c r="Q426" s="38"/>
      <c r="R426" s="38"/>
      <c r="S426" s="38"/>
      <c r="T426" s="38"/>
      <c r="U426" s="38"/>
      <c r="V426" s="38"/>
      <c r="W426" s="38"/>
      <c r="X426" s="38"/>
      <c r="Y426" s="38"/>
    </row>
    <row r="427">
      <c r="A427" s="38"/>
      <c r="B427" s="143"/>
      <c r="C427" s="38"/>
      <c r="D427" s="38"/>
      <c r="E427" s="38"/>
      <c r="F427" s="38"/>
      <c r="G427" s="38"/>
      <c r="H427" s="38"/>
      <c r="I427" s="38"/>
      <c r="J427" s="38"/>
      <c r="K427" s="38"/>
      <c r="L427" s="38"/>
      <c r="M427" s="38"/>
      <c r="N427" s="38"/>
      <c r="O427" s="38"/>
      <c r="P427" s="38"/>
      <c r="Q427" s="38"/>
      <c r="R427" s="38"/>
      <c r="S427" s="38"/>
      <c r="T427" s="38"/>
      <c r="U427" s="38"/>
      <c r="V427" s="38"/>
      <c r="W427" s="38"/>
      <c r="X427" s="38"/>
      <c r="Y427" s="38"/>
    </row>
    <row r="428">
      <c r="A428" s="38"/>
      <c r="B428" s="143"/>
      <c r="C428" s="38"/>
      <c r="D428" s="38"/>
      <c r="E428" s="38"/>
      <c r="F428" s="38"/>
      <c r="G428" s="38"/>
      <c r="H428" s="38"/>
      <c r="I428" s="38"/>
      <c r="J428" s="38"/>
      <c r="K428" s="38"/>
      <c r="L428" s="38"/>
      <c r="M428" s="38"/>
      <c r="N428" s="38"/>
      <c r="O428" s="38"/>
      <c r="P428" s="38"/>
      <c r="Q428" s="38"/>
      <c r="R428" s="38"/>
      <c r="S428" s="38"/>
      <c r="T428" s="38"/>
      <c r="U428" s="38"/>
      <c r="V428" s="38"/>
      <c r="W428" s="38"/>
      <c r="X428" s="38"/>
      <c r="Y428" s="38"/>
    </row>
    <row r="429">
      <c r="A429" s="38"/>
      <c r="B429" s="143"/>
      <c r="C429" s="38"/>
      <c r="D429" s="38"/>
      <c r="E429" s="38"/>
      <c r="F429" s="38"/>
      <c r="G429" s="38"/>
      <c r="H429" s="38"/>
      <c r="I429" s="38"/>
      <c r="J429" s="38"/>
      <c r="K429" s="38"/>
      <c r="L429" s="38"/>
      <c r="M429" s="38"/>
      <c r="N429" s="38"/>
      <c r="O429" s="38"/>
      <c r="P429" s="38"/>
      <c r="Q429" s="38"/>
      <c r="R429" s="38"/>
      <c r="S429" s="38"/>
      <c r="T429" s="38"/>
      <c r="U429" s="38"/>
      <c r="V429" s="38"/>
      <c r="W429" s="38"/>
      <c r="X429" s="38"/>
      <c r="Y429" s="38"/>
    </row>
    <row r="430">
      <c r="A430" s="38"/>
      <c r="B430" s="143"/>
      <c r="C430" s="38"/>
      <c r="D430" s="38"/>
      <c r="E430" s="38"/>
      <c r="F430" s="38"/>
      <c r="G430" s="38"/>
      <c r="H430" s="38"/>
      <c r="I430" s="38"/>
      <c r="J430" s="38"/>
      <c r="K430" s="38"/>
      <c r="L430" s="38"/>
      <c r="M430" s="38"/>
      <c r="N430" s="38"/>
      <c r="O430" s="38"/>
      <c r="P430" s="38"/>
      <c r="Q430" s="38"/>
      <c r="R430" s="38"/>
      <c r="S430" s="38"/>
      <c r="T430" s="38"/>
      <c r="U430" s="38"/>
      <c r="V430" s="38"/>
      <c r="W430" s="38"/>
      <c r="X430" s="38"/>
      <c r="Y430" s="38"/>
    </row>
    <row r="431">
      <c r="A431" s="38"/>
      <c r="B431" s="143"/>
      <c r="C431" s="38"/>
      <c r="D431" s="38"/>
      <c r="E431" s="38"/>
      <c r="F431" s="38"/>
      <c r="G431" s="38"/>
      <c r="H431" s="38"/>
      <c r="I431" s="38"/>
      <c r="J431" s="38"/>
      <c r="K431" s="38"/>
      <c r="L431" s="38"/>
      <c r="M431" s="38"/>
      <c r="N431" s="38"/>
      <c r="O431" s="38"/>
      <c r="P431" s="38"/>
      <c r="Q431" s="38"/>
      <c r="R431" s="38"/>
      <c r="S431" s="38"/>
      <c r="T431" s="38"/>
      <c r="U431" s="38"/>
      <c r="V431" s="38"/>
      <c r="W431" s="38"/>
      <c r="X431" s="38"/>
      <c r="Y431" s="38"/>
    </row>
    <row r="432">
      <c r="A432" s="38"/>
      <c r="B432" s="143"/>
      <c r="C432" s="38"/>
      <c r="D432" s="38"/>
      <c r="E432" s="38"/>
      <c r="F432" s="38"/>
      <c r="G432" s="38"/>
      <c r="H432" s="38"/>
      <c r="I432" s="38"/>
      <c r="J432" s="38"/>
      <c r="K432" s="38"/>
      <c r="L432" s="38"/>
      <c r="M432" s="38"/>
      <c r="N432" s="38"/>
      <c r="O432" s="38"/>
      <c r="P432" s="38"/>
      <c r="Q432" s="38"/>
      <c r="R432" s="38"/>
      <c r="S432" s="38"/>
      <c r="T432" s="38"/>
      <c r="U432" s="38"/>
      <c r="V432" s="38"/>
      <c r="W432" s="38"/>
      <c r="X432" s="38"/>
      <c r="Y432" s="38"/>
    </row>
    <row r="433">
      <c r="A433" s="38"/>
      <c r="B433" s="143"/>
      <c r="C433" s="38"/>
      <c r="D433" s="38"/>
      <c r="E433" s="38"/>
      <c r="F433" s="38"/>
      <c r="G433" s="38"/>
      <c r="H433" s="38"/>
      <c r="I433" s="38"/>
      <c r="J433" s="38"/>
      <c r="K433" s="38"/>
      <c r="L433" s="38"/>
      <c r="M433" s="38"/>
      <c r="N433" s="38"/>
      <c r="O433" s="38"/>
      <c r="P433" s="38"/>
      <c r="Q433" s="38"/>
      <c r="R433" s="38"/>
      <c r="S433" s="38"/>
      <c r="T433" s="38"/>
      <c r="U433" s="38"/>
      <c r="V433" s="38"/>
      <c r="W433" s="38"/>
      <c r="X433" s="38"/>
      <c r="Y433" s="38"/>
    </row>
    <row r="434">
      <c r="A434" s="38"/>
      <c r="B434" s="143"/>
      <c r="C434" s="38"/>
      <c r="D434" s="38"/>
      <c r="E434" s="38"/>
      <c r="F434" s="38"/>
      <c r="G434" s="38"/>
      <c r="H434" s="38"/>
      <c r="I434" s="38"/>
      <c r="J434" s="38"/>
      <c r="K434" s="38"/>
      <c r="L434" s="38"/>
      <c r="M434" s="38"/>
      <c r="N434" s="38"/>
      <c r="O434" s="38"/>
      <c r="P434" s="38"/>
      <c r="Q434" s="38"/>
      <c r="R434" s="38"/>
      <c r="S434" s="38"/>
      <c r="T434" s="38"/>
      <c r="U434" s="38"/>
      <c r="V434" s="38"/>
      <c r="W434" s="38"/>
      <c r="X434" s="38"/>
      <c r="Y434" s="38"/>
    </row>
    <row r="435">
      <c r="A435" s="38"/>
      <c r="B435" s="143"/>
      <c r="C435" s="38"/>
      <c r="D435" s="38"/>
      <c r="E435" s="38"/>
      <c r="F435" s="38"/>
      <c r="G435" s="38"/>
      <c r="H435" s="38"/>
      <c r="I435" s="38"/>
      <c r="J435" s="38"/>
      <c r="K435" s="38"/>
      <c r="L435" s="38"/>
      <c r="M435" s="38"/>
      <c r="N435" s="38"/>
      <c r="O435" s="38"/>
      <c r="P435" s="38"/>
      <c r="Q435" s="38"/>
      <c r="R435" s="38"/>
      <c r="S435" s="38"/>
      <c r="T435" s="38"/>
      <c r="U435" s="38"/>
      <c r="V435" s="38"/>
      <c r="W435" s="38"/>
      <c r="X435" s="38"/>
      <c r="Y435" s="38"/>
    </row>
    <row r="436">
      <c r="A436" s="38"/>
      <c r="B436" s="143"/>
      <c r="C436" s="38"/>
      <c r="D436" s="38"/>
      <c r="E436" s="38"/>
      <c r="F436" s="38"/>
      <c r="G436" s="38"/>
      <c r="H436" s="38"/>
      <c r="I436" s="38"/>
      <c r="J436" s="38"/>
      <c r="K436" s="38"/>
      <c r="L436" s="38"/>
      <c r="M436" s="38"/>
      <c r="N436" s="38"/>
      <c r="O436" s="38"/>
      <c r="P436" s="38"/>
      <c r="Q436" s="38"/>
      <c r="R436" s="38"/>
      <c r="S436" s="38"/>
      <c r="T436" s="38"/>
      <c r="U436" s="38"/>
      <c r="V436" s="38"/>
      <c r="W436" s="38"/>
      <c r="X436" s="38"/>
      <c r="Y436" s="38"/>
    </row>
    <row r="437">
      <c r="A437" s="38"/>
      <c r="B437" s="143"/>
      <c r="C437" s="38"/>
      <c r="D437" s="38"/>
      <c r="E437" s="38"/>
      <c r="F437" s="38"/>
      <c r="G437" s="38"/>
      <c r="H437" s="38"/>
      <c r="I437" s="38"/>
      <c r="J437" s="38"/>
      <c r="K437" s="38"/>
      <c r="L437" s="38"/>
      <c r="M437" s="38"/>
      <c r="N437" s="38"/>
      <c r="O437" s="38"/>
      <c r="P437" s="38"/>
      <c r="Q437" s="38"/>
      <c r="R437" s="38"/>
      <c r="S437" s="38"/>
      <c r="T437" s="38"/>
      <c r="U437" s="38"/>
      <c r="V437" s="38"/>
      <c r="W437" s="38"/>
      <c r="X437" s="38"/>
      <c r="Y437" s="38"/>
    </row>
    <row r="438">
      <c r="A438" s="38"/>
      <c r="B438" s="143"/>
      <c r="C438" s="38"/>
      <c r="D438" s="38"/>
      <c r="E438" s="38"/>
      <c r="F438" s="38"/>
      <c r="G438" s="38"/>
      <c r="H438" s="38"/>
      <c r="I438" s="38"/>
      <c r="J438" s="38"/>
      <c r="K438" s="38"/>
      <c r="L438" s="38"/>
      <c r="M438" s="38"/>
      <c r="N438" s="38"/>
      <c r="O438" s="38"/>
      <c r="P438" s="38"/>
      <c r="Q438" s="38"/>
      <c r="R438" s="38"/>
      <c r="S438" s="38"/>
      <c r="T438" s="38"/>
      <c r="U438" s="38"/>
      <c r="V438" s="38"/>
      <c r="W438" s="38"/>
      <c r="X438" s="38"/>
      <c r="Y438" s="38"/>
    </row>
    <row r="439">
      <c r="A439" s="38"/>
      <c r="B439" s="143"/>
      <c r="C439" s="38"/>
      <c r="D439" s="38"/>
      <c r="E439" s="38"/>
      <c r="F439" s="38"/>
      <c r="G439" s="38"/>
      <c r="H439" s="38"/>
      <c r="I439" s="38"/>
      <c r="J439" s="38"/>
      <c r="K439" s="38"/>
      <c r="L439" s="38"/>
      <c r="M439" s="38"/>
      <c r="N439" s="38"/>
      <c r="O439" s="38"/>
      <c r="P439" s="38"/>
      <c r="Q439" s="38"/>
      <c r="R439" s="38"/>
      <c r="S439" s="38"/>
      <c r="T439" s="38"/>
      <c r="U439" s="38"/>
      <c r="V439" s="38"/>
      <c r="W439" s="38"/>
      <c r="X439" s="38"/>
      <c r="Y439" s="38"/>
    </row>
    <row r="440">
      <c r="A440" s="38"/>
      <c r="B440" s="143"/>
      <c r="C440" s="38"/>
      <c r="D440" s="38"/>
      <c r="E440" s="38"/>
      <c r="F440" s="38"/>
      <c r="G440" s="38"/>
      <c r="H440" s="38"/>
      <c r="I440" s="38"/>
      <c r="J440" s="38"/>
      <c r="K440" s="38"/>
      <c r="L440" s="38"/>
      <c r="M440" s="38"/>
      <c r="N440" s="38"/>
      <c r="O440" s="38"/>
      <c r="P440" s="38"/>
      <c r="Q440" s="38"/>
      <c r="R440" s="38"/>
      <c r="S440" s="38"/>
      <c r="T440" s="38"/>
      <c r="U440" s="38"/>
      <c r="V440" s="38"/>
      <c r="W440" s="38"/>
      <c r="X440" s="38"/>
      <c r="Y440" s="38"/>
    </row>
    <row r="441">
      <c r="A441" s="38"/>
      <c r="B441" s="143"/>
      <c r="C441" s="38"/>
      <c r="D441" s="38"/>
      <c r="E441" s="38"/>
      <c r="F441" s="38"/>
      <c r="G441" s="38"/>
      <c r="H441" s="38"/>
      <c r="I441" s="38"/>
      <c r="J441" s="38"/>
      <c r="K441" s="38"/>
      <c r="L441" s="38"/>
      <c r="M441" s="38"/>
      <c r="N441" s="38"/>
      <c r="O441" s="38"/>
      <c r="P441" s="38"/>
      <c r="Q441" s="38"/>
      <c r="R441" s="38"/>
      <c r="S441" s="38"/>
      <c r="T441" s="38"/>
      <c r="U441" s="38"/>
      <c r="V441" s="38"/>
      <c r="W441" s="38"/>
      <c r="X441" s="38"/>
      <c r="Y441" s="38"/>
    </row>
    <row r="442">
      <c r="A442" s="38"/>
      <c r="B442" s="143"/>
      <c r="C442" s="38"/>
      <c r="D442" s="38"/>
      <c r="E442" s="38"/>
      <c r="F442" s="38"/>
      <c r="G442" s="38"/>
      <c r="H442" s="38"/>
      <c r="I442" s="38"/>
      <c r="J442" s="38"/>
      <c r="K442" s="38"/>
      <c r="L442" s="38"/>
      <c r="M442" s="38"/>
      <c r="N442" s="38"/>
      <c r="O442" s="38"/>
      <c r="P442" s="38"/>
      <c r="Q442" s="38"/>
      <c r="R442" s="38"/>
      <c r="S442" s="38"/>
      <c r="T442" s="38"/>
      <c r="U442" s="38"/>
      <c r="V442" s="38"/>
      <c r="W442" s="38"/>
      <c r="X442" s="38"/>
      <c r="Y442" s="38"/>
    </row>
    <row r="443">
      <c r="A443" s="38"/>
      <c r="B443" s="143"/>
      <c r="C443" s="38"/>
      <c r="D443" s="38"/>
      <c r="E443" s="38"/>
      <c r="F443" s="38"/>
      <c r="G443" s="38"/>
      <c r="H443" s="38"/>
      <c r="I443" s="38"/>
      <c r="J443" s="38"/>
      <c r="K443" s="38"/>
      <c r="L443" s="38"/>
      <c r="M443" s="38"/>
      <c r="N443" s="38"/>
      <c r="O443" s="38"/>
      <c r="P443" s="38"/>
      <c r="Q443" s="38"/>
      <c r="R443" s="38"/>
      <c r="S443" s="38"/>
      <c r="T443" s="38"/>
      <c r="U443" s="38"/>
      <c r="V443" s="38"/>
      <c r="W443" s="38"/>
      <c r="X443" s="38"/>
      <c r="Y443" s="38"/>
    </row>
    <row r="444">
      <c r="A444" s="38"/>
      <c r="B444" s="143"/>
      <c r="C444" s="38"/>
      <c r="D444" s="38"/>
      <c r="E444" s="38"/>
      <c r="F444" s="38"/>
      <c r="G444" s="38"/>
      <c r="H444" s="38"/>
      <c r="I444" s="38"/>
      <c r="J444" s="38"/>
      <c r="K444" s="38"/>
      <c r="L444" s="38"/>
      <c r="M444" s="38"/>
      <c r="N444" s="38"/>
      <c r="O444" s="38"/>
      <c r="P444" s="38"/>
      <c r="Q444" s="38"/>
      <c r="R444" s="38"/>
      <c r="S444" s="38"/>
      <c r="T444" s="38"/>
      <c r="U444" s="38"/>
      <c r="V444" s="38"/>
      <c r="W444" s="38"/>
      <c r="X444" s="38"/>
      <c r="Y444" s="38"/>
    </row>
    <row r="445">
      <c r="A445" s="38"/>
      <c r="B445" s="143"/>
      <c r="C445" s="38"/>
      <c r="D445" s="38"/>
      <c r="E445" s="38"/>
      <c r="F445" s="38"/>
      <c r="G445" s="38"/>
      <c r="H445" s="38"/>
      <c r="I445" s="38"/>
      <c r="J445" s="38"/>
      <c r="K445" s="38"/>
      <c r="L445" s="38"/>
      <c r="M445" s="38"/>
      <c r="N445" s="38"/>
      <c r="O445" s="38"/>
      <c r="P445" s="38"/>
      <c r="Q445" s="38"/>
      <c r="R445" s="38"/>
      <c r="S445" s="38"/>
      <c r="T445" s="38"/>
      <c r="U445" s="38"/>
      <c r="V445" s="38"/>
      <c r="W445" s="38"/>
      <c r="X445" s="38"/>
      <c r="Y445" s="38"/>
    </row>
    <row r="446">
      <c r="A446" s="38"/>
      <c r="B446" s="143"/>
      <c r="C446" s="38"/>
      <c r="D446" s="38"/>
      <c r="E446" s="38"/>
      <c r="F446" s="38"/>
      <c r="G446" s="38"/>
      <c r="H446" s="38"/>
      <c r="I446" s="38"/>
      <c r="J446" s="38"/>
      <c r="K446" s="38"/>
      <c r="L446" s="38"/>
      <c r="M446" s="38"/>
      <c r="N446" s="38"/>
      <c r="O446" s="38"/>
      <c r="P446" s="38"/>
      <c r="Q446" s="38"/>
      <c r="R446" s="38"/>
      <c r="S446" s="38"/>
      <c r="T446" s="38"/>
      <c r="U446" s="38"/>
      <c r="V446" s="38"/>
      <c r="W446" s="38"/>
      <c r="X446" s="38"/>
      <c r="Y446" s="38"/>
    </row>
    <row r="447">
      <c r="A447" s="38"/>
      <c r="B447" s="143"/>
      <c r="C447" s="38"/>
      <c r="D447" s="38"/>
      <c r="E447" s="38"/>
      <c r="F447" s="38"/>
      <c r="G447" s="38"/>
      <c r="H447" s="38"/>
      <c r="I447" s="38"/>
      <c r="J447" s="38"/>
      <c r="K447" s="38"/>
      <c r="L447" s="38"/>
      <c r="M447" s="38"/>
      <c r="N447" s="38"/>
      <c r="O447" s="38"/>
      <c r="P447" s="38"/>
      <c r="Q447" s="38"/>
      <c r="R447" s="38"/>
      <c r="S447" s="38"/>
      <c r="T447" s="38"/>
      <c r="U447" s="38"/>
      <c r="V447" s="38"/>
      <c r="W447" s="38"/>
      <c r="X447" s="38"/>
      <c r="Y447" s="38"/>
    </row>
    <row r="448">
      <c r="A448" s="38"/>
      <c r="B448" s="143"/>
      <c r="C448" s="38"/>
      <c r="D448" s="38"/>
      <c r="E448" s="38"/>
      <c r="F448" s="38"/>
      <c r="G448" s="38"/>
      <c r="H448" s="38"/>
      <c r="I448" s="38"/>
      <c r="J448" s="38"/>
      <c r="K448" s="38"/>
      <c r="L448" s="38"/>
      <c r="M448" s="38"/>
      <c r="N448" s="38"/>
      <c r="O448" s="38"/>
      <c r="P448" s="38"/>
      <c r="Q448" s="38"/>
      <c r="R448" s="38"/>
      <c r="S448" s="38"/>
      <c r="T448" s="38"/>
      <c r="U448" s="38"/>
      <c r="V448" s="38"/>
      <c r="W448" s="38"/>
      <c r="X448" s="38"/>
      <c r="Y448" s="38"/>
    </row>
    <row r="449">
      <c r="A449" s="38"/>
      <c r="B449" s="143"/>
      <c r="C449" s="38"/>
      <c r="D449" s="38"/>
      <c r="E449" s="38"/>
      <c r="F449" s="38"/>
      <c r="G449" s="38"/>
      <c r="H449" s="38"/>
      <c r="I449" s="38"/>
      <c r="J449" s="38"/>
      <c r="K449" s="38"/>
      <c r="L449" s="38"/>
      <c r="M449" s="38"/>
      <c r="N449" s="38"/>
      <c r="O449" s="38"/>
      <c r="P449" s="38"/>
      <c r="Q449" s="38"/>
      <c r="R449" s="38"/>
      <c r="S449" s="38"/>
      <c r="T449" s="38"/>
      <c r="U449" s="38"/>
      <c r="V449" s="38"/>
      <c r="W449" s="38"/>
      <c r="X449" s="38"/>
      <c r="Y449" s="38"/>
    </row>
    <row r="450">
      <c r="A450" s="38"/>
      <c r="B450" s="143"/>
      <c r="C450" s="38"/>
      <c r="D450" s="38"/>
      <c r="E450" s="38"/>
      <c r="F450" s="38"/>
      <c r="G450" s="38"/>
      <c r="H450" s="38"/>
      <c r="I450" s="38"/>
      <c r="J450" s="38"/>
      <c r="K450" s="38"/>
      <c r="L450" s="38"/>
      <c r="M450" s="38"/>
      <c r="N450" s="38"/>
      <c r="O450" s="38"/>
      <c r="P450" s="38"/>
      <c r="Q450" s="38"/>
      <c r="R450" s="38"/>
      <c r="S450" s="38"/>
      <c r="T450" s="38"/>
      <c r="U450" s="38"/>
      <c r="V450" s="38"/>
      <c r="W450" s="38"/>
      <c r="X450" s="38"/>
      <c r="Y450" s="38"/>
    </row>
    <row r="451">
      <c r="A451" s="38"/>
      <c r="B451" s="143"/>
      <c r="C451" s="38"/>
      <c r="D451" s="38"/>
      <c r="E451" s="38"/>
      <c r="F451" s="38"/>
      <c r="G451" s="38"/>
      <c r="H451" s="38"/>
      <c r="I451" s="38"/>
      <c r="J451" s="38"/>
      <c r="K451" s="38"/>
      <c r="L451" s="38"/>
      <c r="M451" s="38"/>
      <c r="N451" s="38"/>
      <c r="O451" s="38"/>
      <c r="P451" s="38"/>
      <c r="Q451" s="38"/>
      <c r="R451" s="38"/>
      <c r="S451" s="38"/>
      <c r="T451" s="38"/>
      <c r="U451" s="38"/>
      <c r="V451" s="38"/>
      <c r="W451" s="38"/>
      <c r="X451" s="38"/>
      <c r="Y451" s="38"/>
    </row>
    <row r="452">
      <c r="A452" s="38"/>
      <c r="B452" s="143"/>
      <c r="C452" s="38"/>
      <c r="D452" s="38"/>
      <c r="E452" s="38"/>
      <c r="F452" s="38"/>
      <c r="G452" s="38"/>
      <c r="H452" s="38"/>
      <c r="I452" s="38"/>
      <c r="J452" s="38"/>
      <c r="K452" s="38"/>
      <c r="L452" s="38"/>
      <c r="M452" s="38"/>
      <c r="N452" s="38"/>
      <c r="O452" s="38"/>
      <c r="P452" s="38"/>
      <c r="Q452" s="38"/>
      <c r="R452" s="38"/>
      <c r="S452" s="38"/>
      <c r="T452" s="38"/>
      <c r="U452" s="38"/>
      <c r="V452" s="38"/>
      <c r="W452" s="38"/>
      <c r="X452" s="38"/>
      <c r="Y452" s="38"/>
    </row>
    <row r="453">
      <c r="A453" s="38"/>
      <c r="B453" s="143"/>
      <c r="C453" s="38"/>
      <c r="D453" s="38"/>
      <c r="E453" s="38"/>
      <c r="F453" s="38"/>
      <c r="G453" s="38"/>
      <c r="H453" s="38"/>
      <c r="I453" s="38"/>
      <c r="J453" s="38"/>
      <c r="K453" s="38"/>
      <c r="L453" s="38"/>
      <c r="M453" s="38"/>
      <c r="N453" s="38"/>
      <c r="O453" s="38"/>
      <c r="P453" s="38"/>
      <c r="Q453" s="38"/>
      <c r="R453" s="38"/>
      <c r="S453" s="38"/>
      <c r="T453" s="38"/>
      <c r="U453" s="38"/>
      <c r="V453" s="38"/>
      <c r="W453" s="38"/>
      <c r="X453" s="38"/>
      <c r="Y453" s="38"/>
    </row>
    <row r="454">
      <c r="A454" s="38"/>
      <c r="B454" s="143"/>
      <c r="C454" s="38"/>
      <c r="D454" s="38"/>
      <c r="E454" s="38"/>
      <c r="F454" s="38"/>
      <c r="G454" s="38"/>
      <c r="H454" s="38"/>
      <c r="I454" s="38"/>
      <c r="J454" s="38"/>
      <c r="K454" s="38"/>
      <c r="L454" s="38"/>
      <c r="M454" s="38"/>
      <c r="N454" s="38"/>
      <c r="O454" s="38"/>
      <c r="P454" s="38"/>
      <c r="Q454" s="38"/>
      <c r="R454" s="38"/>
      <c r="S454" s="38"/>
      <c r="T454" s="38"/>
      <c r="U454" s="38"/>
      <c r="V454" s="38"/>
      <c r="W454" s="38"/>
      <c r="X454" s="38"/>
      <c r="Y454" s="38"/>
    </row>
    <row r="455">
      <c r="A455" s="38"/>
      <c r="B455" s="143"/>
      <c r="C455" s="38"/>
      <c r="D455" s="38"/>
      <c r="E455" s="38"/>
      <c r="F455" s="38"/>
      <c r="G455" s="38"/>
      <c r="H455" s="38"/>
      <c r="I455" s="38"/>
      <c r="J455" s="38"/>
      <c r="K455" s="38"/>
      <c r="L455" s="38"/>
      <c r="M455" s="38"/>
      <c r="N455" s="38"/>
      <c r="O455" s="38"/>
      <c r="P455" s="38"/>
      <c r="Q455" s="38"/>
      <c r="R455" s="38"/>
      <c r="S455" s="38"/>
      <c r="T455" s="38"/>
      <c r="U455" s="38"/>
      <c r="V455" s="38"/>
      <c r="W455" s="38"/>
      <c r="X455" s="38"/>
      <c r="Y455" s="38"/>
    </row>
    <row r="456">
      <c r="A456" s="38"/>
      <c r="B456" s="143"/>
      <c r="C456" s="38"/>
      <c r="D456" s="38"/>
      <c r="E456" s="38"/>
      <c r="F456" s="38"/>
      <c r="G456" s="38"/>
      <c r="H456" s="38"/>
      <c r="I456" s="38"/>
      <c r="J456" s="38"/>
      <c r="K456" s="38"/>
      <c r="L456" s="38"/>
      <c r="M456" s="38"/>
      <c r="N456" s="38"/>
      <c r="O456" s="38"/>
      <c r="P456" s="38"/>
      <c r="Q456" s="38"/>
      <c r="R456" s="38"/>
      <c r="S456" s="38"/>
      <c r="T456" s="38"/>
      <c r="U456" s="38"/>
      <c r="V456" s="38"/>
      <c r="W456" s="38"/>
      <c r="X456" s="38"/>
      <c r="Y456" s="38"/>
    </row>
    <row r="457">
      <c r="A457" s="38"/>
      <c r="B457" s="143"/>
      <c r="C457" s="38"/>
      <c r="D457" s="38"/>
      <c r="E457" s="38"/>
      <c r="F457" s="38"/>
      <c r="G457" s="38"/>
      <c r="H457" s="38"/>
      <c r="I457" s="38"/>
      <c r="J457" s="38"/>
      <c r="K457" s="38"/>
      <c r="L457" s="38"/>
      <c r="M457" s="38"/>
      <c r="N457" s="38"/>
      <c r="O457" s="38"/>
      <c r="P457" s="38"/>
      <c r="Q457" s="38"/>
      <c r="R457" s="38"/>
      <c r="S457" s="38"/>
      <c r="T457" s="38"/>
      <c r="U457" s="38"/>
      <c r="V457" s="38"/>
      <c r="W457" s="38"/>
      <c r="X457" s="38"/>
      <c r="Y457" s="38"/>
    </row>
    <row r="458">
      <c r="A458" s="38"/>
      <c r="B458" s="143"/>
      <c r="C458" s="38"/>
      <c r="D458" s="38"/>
      <c r="E458" s="38"/>
      <c r="F458" s="38"/>
      <c r="G458" s="38"/>
      <c r="H458" s="38"/>
      <c r="I458" s="38"/>
      <c r="J458" s="38"/>
      <c r="K458" s="38"/>
      <c r="L458" s="38"/>
      <c r="M458" s="38"/>
      <c r="N458" s="38"/>
      <c r="O458" s="38"/>
      <c r="P458" s="38"/>
      <c r="Q458" s="38"/>
      <c r="R458" s="38"/>
      <c r="S458" s="38"/>
      <c r="T458" s="38"/>
      <c r="U458" s="38"/>
      <c r="V458" s="38"/>
      <c r="W458" s="38"/>
      <c r="X458" s="38"/>
      <c r="Y458" s="38"/>
    </row>
    <row r="459">
      <c r="A459" s="38"/>
      <c r="B459" s="143"/>
      <c r="C459" s="38"/>
      <c r="D459" s="38"/>
      <c r="E459" s="38"/>
      <c r="F459" s="38"/>
      <c r="G459" s="38"/>
      <c r="H459" s="38"/>
      <c r="I459" s="38"/>
      <c r="J459" s="38"/>
      <c r="K459" s="38"/>
      <c r="L459" s="38"/>
      <c r="M459" s="38"/>
      <c r="N459" s="38"/>
      <c r="O459" s="38"/>
      <c r="P459" s="38"/>
      <c r="Q459" s="38"/>
      <c r="R459" s="38"/>
      <c r="S459" s="38"/>
      <c r="T459" s="38"/>
      <c r="U459" s="38"/>
      <c r="V459" s="38"/>
      <c r="W459" s="38"/>
      <c r="X459" s="38"/>
      <c r="Y459" s="38"/>
    </row>
    <row r="460">
      <c r="A460" s="38"/>
      <c r="B460" s="143"/>
      <c r="C460" s="38"/>
      <c r="D460" s="38"/>
      <c r="E460" s="38"/>
      <c r="F460" s="38"/>
      <c r="G460" s="38"/>
      <c r="H460" s="38"/>
      <c r="I460" s="38"/>
      <c r="J460" s="38"/>
      <c r="K460" s="38"/>
      <c r="L460" s="38"/>
      <c r="M460" s="38"/>
      <c r="N460" s="38"/>
      <c r="O460" s="38"/>
      <c r="P460" s="38"/>
      <c r="Q460" s="38"/>
      <c r="R460" s="38"/>
      <c r="S460" s="38"/>
      <c r="T460" s="38"/>
      <c r="U460" s="38"/>
      <c r="V460" s="38"/>
      <c r="W460" s="38"/>
      <c r="X460" s="38"/>
      <c r="Y460" s="38"/>
    </row>
    <row r="461">
      <c r="A461" s="38"/>
      <c r="B461" s="143"/>
      <c r="C461" s="38"/>
      <c r="D461" s="38"/>
      <c r="E461" s="38"/>
      <c r="F461" s="38"/>
      <c r="G461" s="38"/>
      <c r="H461" s="38"/>
      <c r="I461" s="38"/>
      <c r="J461" s="38"/>
      <c r="K461" s="38"/>
      <c r="L461" s="38"/>
      <c r="M461" s="38"/>
      <c r="N461" s="38"/>
      <c r="O461" s="38"/>
      <c r="P461" s="38"/>
      <c r="Q461" s="38"/>
      <c r="R461" s="38"/>
      <c r="S461" s="38"/>
      <c r="T461" s="38"/>
      <c r="U461" s="38"/>
      <c r="V461" s="38"/>
      <c r="W461" s="38"/>
      <c r="X461" s="38"/>
      <c r="Y461" s="38"/>
    </row>
    <row r="462">
      <c r="A462" s="38"/>
      <c r="B462" s="143"/>
      <c r="C462" s="38"/>
      <c r="D462" s="38"/>
      <c r="E462" s="38"/>
      <c r="F462" s="38"/>
      <c r="G462" s="38"/>
      <c r="H462" s="38"/>
      <c r="I462" s="38"/>
      <c r="J462" s="38"/>
      <c r="K462" s="38"/>
      <c r="L462" s="38"/>
      <c r="M462" s="38"/>
      <c r="N462" s="38"/>
      <c r="O462" s="38"/>
      <c r="P462" s="38"/>
      <c r="Q462" s="38"/>
      <c r="R462" s="38"/>
      <c r="S462" s="38"/>
      <c r="T462" s="38"/>
      <c r="U462" s="38"/>
      <c r="V462" s="38"/>
      <c r="W462" s="38"/>
      <c r="X462" s="38"/>
      <c r="Y462" s="38"/>
    </row>
    <row r="463">
      <c r="A463" s="38"/>
      <c r="B463" s="143"/>
      <c r="C463" s="38"/>
      <c r="D463" s="38"/>
      <c r="E463" s="38"/>
      <c r="F463" s="38"/>
      <c r="G463" s="38"/>
      <c r="H463" s="38"/>
      <c r="I463" s="38"/>
      <c r="J463" s="38"/>
      <c r="K463" s="38"/>
      <c r="L463" s="38"/>
      <c r="M463" s="38"/>
      <c r="N463" s="38"/>
      <c r="O463" s="38"/>
      <c r="P463" s="38"/>
      <c r="Q463" s="38"/>
      <c r="R463" s="38"/>
      <c r="S463" s="38"/>
      <c r="T463" s="38"/>
      <c r="U463" s="38"/>
      <c r="V463" s="38"/>
      <c r="W463" s="38"/>
      <c r="X463" s="38"/>
      <c r="Y463" s="38"/>
    </row>
    <row r="464">
      <c r="A464" s="38"/>
      <c r="B464" s="143"/>
      <c r="C464" s="38"/>
      <c r="D464" s="38"/>
      <c r="E464" s="38"/>
      <c r="F464" s="38"/>
      <c r="G464" s="38"/>
      <c r="H464" s="38"/>
      <c r="I464" s="38"/>
      <c r="J464" s="38"/>
      <c r="K464" s="38"/>
      <c r="L464" s="38"/>
      <c r="M464" s="38"/>
      <c r="N464" s="38"/>
      <c r="O464" s="38"/>
      <c r="P464" s="38"/>
      <c r="Q464" s="38"/>
      <c r="R464" s="38"/>
      <c r="S464" s="38"/>
      <c r="T464" s="38"/>
      <c r="U464" s="38"/>
      <c r="V464" s="38"/>
      <c r="W464" s="38"/>
      <c r="X464" s="38"/>
      <c r="Y464" s="38"/>
    </row>
    <row r="465">
      <c r="A465" s="38"/>
      <c r="B465" s="143"/>
      <c r="C465" s="38"/>
      <c r="D465" s="38"/>
      <c r="E465" s="38"/>
      <c r="F465" s="38"/>
      <c r="G465" s="38"/>
      <c r="H465" s="38"/>
      <c r="I465" s="38"/>
      <c r="J465" s="38"/>
      <c r="K465" s="38"/>
      <c r="L465" s="38"/>
      <c r="M465" s="38"/>
      <c r="N465" s="38"/>
      <c r="O465" s="38"/>
      <c r="P465" s="38"/>
      <c r="Q465" s="38"/>
      <c r="R465" s="38"/>
      <c r="S465" s="38"/>
      <c r="T465" s="38"/>
      <c r="U465" s="38"/>
      <c r="V465" s="38"/>
      <c r="W465" s="38"/>
      <c r="X465" s="38"/>
      <c r="Y465" s="38"/>
    </row>
    <row r="466">
      <c r="A466" s="38"/>
      <c r="B466" s="143"/>
      <c r="C466" s="38"/>
      <c r="D466" s="38"/>
      <c r="E466" s="38"/>
      <c r="F466" s="38"/>
      <c r="G466" s="38"/>
      <c r="H466" s="38"/>
      <c r="I466" s="38"/>
      <c r="J466" s="38"/>
      <c r="K466" s="38"/>
      <c r="L466" s="38"/>
      <c r="M466" s="38"/>
      <c r="N466" s="38"/>
      <c r="O466" s="38"/>
      <c r="P466" s="38"/>
      <c r="Q466" s="38"/>
      <c r="R466" s="38"/>
      <c r="S466" s="38"/>
      <c r="T466" s="38"/>
      <c r="U466" s="38"/>
      <c r="V466" s="38"/>
      <c r="W466" s="38"/>
      <c r="X466" s="38"/>
      <c r="Y466" s="38"/>
    </row>
    <row r="467">
      <c r="A467" s="38"/>
      <c r="B467" s="143"/>
      <c r="C467" s="38"/>
      <c r="D467" s="38"/>
      <c r="E467" s="38"/>
      <c r="F467" s="38"/>
      <c r="G467" s="38"/>
      <c r="H467" s="38"/>
      <c r="I467" s="38"/>
      <c r="J467" s="38"/>
      <c r="K467" s="38"/>
      <c r="L467" s="38"/>
      <c r="M467" s="38"/>
      <c r="N467" s="38"/>
      <c r="O467" s="38"/>
      <c r="P467" s="38"/>
      <c r="Q467" s="38"/>
      <c r="R467" s="38"/>
      <c r="S467" s="38"/>
      <c r="T467" s="38"/>
      <c r="U467" s="38"/>
      <c r="V467" s="38"/>
      <c r="W467" s="38"/>
      <c r="X467" s="38"/>
      <c r="Y467" s="38"/>
    </row>
    <row r="468">
      <c r="A468" s="38"/>
      <c r="B468" s="143"/>
      <c r="C468" s="38"/>
      <c r="D468" s="38"/>
      <c r="E468" s="38"/>
      <c r="F468" s="38"/>
      <c r="G468" s="38"/>
      <c r="H468" s="38"/>
      <c r="I468" s="38"/>
      <c r="J468" s="38"/>
      <c r="K468" s="38"/>
      <c r="L468" s="38"/>
      <c r="M468" s="38"/>
      <c r="N468" s="38"/>
      <c r="O468" s="38"/>
      <c r="P468" s="38"/>
      <c r="Q468" s="38"/>
      <c r="R468" s="38"/>
      <c r="S468" s="38"/>
      <c r="T468" s="38"/>
      <c r="U468" s="38"/>
      <c r="V468" s="38"/>
      <c r="W468" s="38"/>
      <c r="X468" s="38"/>
      <c r="Y468" s="38"/>
    </row>
    <row r="469">
      <c r="A469" s="38"/>
      <c r="B469" s="143"/>
      <c r="C469" s="38"/>
      <c r="D469" s="38"/>
      <c r="E469" s="38"/>
      <c r="F469" s="38"/>
      <c r="G469" s="38"/>
      <c r="H469" s="38"/>
      <c r="I469" s="38"/>
      <c r="J469" s="38"/>
      <c r="K469" s="38"/>
      <c r="L469" s="38"/>
      <c r="M469" s="38"/>
      <c r="N469" s="38"/>
      <c r="O469" s="38"/>
      <c r="P469" s="38"/>
      <c r="Q469" s="38"/>
      <c r="R469" s="38"/>
      <c r="S469" s="38"/>
      <c r="T469" s="38"/>
      <c r="U469" s="38"/>
      <c r="V469" s="38"/>
      <c r="W469" s="38"/>
      <c r="X469" s="38"/>
      <c r="Y469" s="38"/>
    </row>
    <row r="470">
      <c r="A470" s="38"/>
      <c r="B470" s="143"/>
      <c r="C470" s="38"/>
      <c r="D470" s="38"/>
      <c r="E470" s="38"/>
      <c r="F470" s="38"/>
      <c r="G470" s="38"/>
      <c r="H470" s="38"/>
      <c r="I470" s="38"/>
      <c r="J470" s="38"/>
      <c r="K470" s="38"/>
      <c r="L470" s="38"/>
      <c r="M470" s="38"/>
      <c r="N470" s="38"/>
      <c r="O470" s="38"/>
      <c r="P470" s="38"/>
      <c r="Q470" s="38"/>
      <c r="R470" s="38"/>
      <c r="S470" s="38"/>
      <c r="T470" s="38"/>
      <c r="U470" s="38"/>
      <c r="V470" s="38"/>
      <c r="W470" s="38"/>
      <c r="X470" s="38"/>
      <c r="Y470" s="38"/>
    </row>
    <row r="471">
      <c r="A471" s="38"/>
      <c r="B471" s="143"/>
      <c r="C471" s="38"/>
      <c r="D471" s="38"/>
      <c r="E471" s="38"/>
      <c r="F471" s="38"/>
      <c r="G471" s="38"/>
      <c r="H471" s="38"/>
      <c r="I471" s="38"/>
      <c r="J471" s="38"/>
      <c r="K471" s="38"/>
      <c r="L471" s="38"/>
      <c r="M471" s="38"/>
      <c r="N471" s="38"/>
      <c r="O471" s="38"/>
      <c r="P471" s="38"/>
      <c r="Q471" s="38"/>
      <c r="R471" s="38"/>
      <c r="S471" s="38"/>
      <c r="T471" s="38"/>
      <c r="U471" s="38"/>
      <c r="V471" s="38"/>
      <c r="W471" s="38"/>
      <c r="X471" s="38"/>
      <c r="Y471" s="38"/>
    </row>
    <row r="472">
      <c r="A472" s="38"/>
      <c r="B472" s="143"/>
      <c r="C472" s="38"/>
      <c r="D472" s="38"/>
      <c r="E472" s="38"/>
      <c r="F472" s="38"/>
      <c r="G472" s="38"/>
      <c r="H472" s="38"/>
      <c r="I472" s="38"/>
      <c r="J472" s="38"/>
      <c r="K472" s="38"/>
      <c r="L472" s="38"/>
      <c r="M472" s="38"/>
      <c r="N472" s="38"/>
      <c r="O472" s="38"/>
      <c r="P472" s="38"/>
      <c r="Q472" s="38"/>
      <c r="R472" s="38"/>
      <c r="S472" s="38"/>
      <c r="T472" s="38"/>
      <c r="U472" s="38"/>
      <c r="V472" s="38"/>
      <c r="W472" s="38"/>
      <c r="X472" s="38"/>
      <c r="Y472" s="38"/>
    </row>
    <row r="473">
      <c r="A473" s="38"/>
      <c r="B473" s="143"/>
      <c r="C473" s="38"/>
      <c r="D473" s="38"/>
      <c r="E473" s="38"/>
      <c r="F473" s="38"/>
      <c r="G473" s="38"/>
      <c r="H473" s="38"/>
      <c r="I473" s="38"/>
      <c r="J473" s="38"/>
      <c r="K473" s="38"/>
      <c r="L473" s="38"/>
      <c r="M473" s="38"/>
      <c r="N473" s="38"/>
      <c r="O473" s="38"/>
      <c r="P473" s="38"/>
      <c r="Q473" s="38"/>
      <c r="R473" s="38"/>
      <c r="S473" s="38"/>
      <c r="T473" s="38"/>
      <c r="U473" s="38"/>
      <c r="V473" s="38"/>
      <c r="W473" s="38"/>
      <c r="X473" s="38"/>
      <c r="Y473" s="38"/>
    </row>
    <row r="474">
      <c r="A474" s="38"/>
      <c r="B474" s="143"/>
      <c r="C474" s="38"/>
      <c r="D474" s="38"/>
      <c r="E474" s="38"/>
      <c r="F474" s="38"/>
      <c r="G474" s="38"/>
      <c r="H474" s="38"/>
      <c r="I474" s="38"/>
      <c r="J474" s="38"/>
      <c r="K474" s="38"/>
      <c r="L474" s="38"/>
      <c r="M474" s="38"/>
      <c r="N474" s="38"/>
      <c r="O474" s="38"/>
      <c r="P474" s="38"/>
      <c r="Q474" s="38"/>
      <c r="R474" s="38"/>
      <c r="S474" s="38"/>
      <c r="T474" s="38"/>
      <c r="U474" s="38"/>
      <c r="V474" s="38"/>
      <c r="W474" s="38"/>
      <c r="X474" s="38"/>
      <c r="Y474" s="38"/>
    </row>
    <row r="475">
      <c r="A475" s="38"/>
      <c r="B475" s="143"/>
      <c r="C475" s="38"/>
      <c r="D475" s="38"/>
      <c r="E475" s="38"/>
      <c r="F475" s="38"/>
      <c r="G475" s="38"/>
      <c r="H475" s="38"/>
      <c r="I475" s="38"/>
      <c r="J475" s="38"/>
      <c r="K475" s="38"/>
      <c r="L475" s="38"/>
      <c r="M475" s="38"/>
      <c r="N475" s="38"/>
      <c r="O475" s="38"/>
      <c r="P475" s="38"/>
      <c r="Q475" s="38"/>
      <c r="R475" s="38"/>
      <c r="S475" s="38"/>
      <c r="T475" s="38"/>
      <c r="U475" s="38"/>
      <c r="V475" s="38"/>
      <c r="W475" s="38"/>
      <c r="X475" s="38"/>
      <c r="Y475" s="38"/>
    </row>
    <row r="476">
      <c r="A476" s="38"/>
      <c r="B476" s="143"/>
      <c r="C476" s="38"/>
      <c r="D476" s="38"/>
      <c r="E476" s="38"/>
      <c r="F476" s="38"/>
      <c r="G476" s="38"/>
      <c r="H476" s="38"/>
      <c r="I476" s="38"/>
      <c r="J476" s="38"/>
      <c r="K476" s="38"/>
      <c r="L476" s="38"/>
      <c r="M476" s="38"/>
      <c r="N476" s="38"/>
      <c r="O476" s="38"/>
      <c r="P476" s="38"/>
      <c r="Q476" s="38"/>
      <c r="R476" s="38"/>
      <c r="S476" s="38"/>
      <c r="T476" s="38"/>
      <c r="U476" s="38"/>
      <c r="V476" s="38"/>
      <c r="W476" s="38"/>
      <c r="X476" s="38"/>
      <c r="Y476" s="38"/>
    </row>
    <row r="477">
      <c r="A477" s="38"/>
      <c r="B477" s="143"/>
      <c r="C477" s="38"/>
      <c r="D477" s="38"/>
      <c r="E477" s="38"/>
      <c r="F477" s="38"/>
      <c r="G477" s="38"/>
      <c r="H477" s="38"/>
      <c r="I477" s="38"/>
      <c r="J477" s="38"/>
      <c r="K477" s="38"/>
      <c r="L477" s="38"/>
      <c r="M477" s="38"/>
      <c r="N477" s="38"/>
      <c r="O477" s="38"/>
      <c r="P477" s="38"/>
      <c r="Q477" s="38"/>
      <c r="R477" s="38"/>
      <c r="S477" s="38"/>
      <c r="T477" s="38"/>
      <c r="U477" s="38"/>
      <c r="V477" s="38"/>
      <c r="W477" s="38"/>
      <c r="X477" s="38"/>
      <c r="Y477" s="38"/>
    </row>
    <row r="478">
      <c r="A478" s="38"/>
      <c r="B478" s="143"/>
      <c r="C478" s="38"/>
      <c r="D478" s="38"/>
      <c r="E478" s="38"/>
      <c r="F478" s="38"/>
      <c r="G478" s="38"/>
      <c r="H478" s="38"/>
      <c r="I478" s="38"/>
      <c r="J478" s="38"/>
      <c r="K478" s="38"/>
      <c r="L478" s="38"/>
      <c r="M478" s="38"/>
      <c r="N478" s="38"/>
      <c r="O478" s="38"/>
      <c r="P478" s="38"/>
      <c r="Q478" s="38"/>
      <c r="R478" s="38"/>
      <c r="S478" s="38"/>
      <c r="T478" s="38"/>
      <c r="U478" s="38"/>
      <c r="V478" s="38"/>
      <c r="W478" s="38"/>
      <c r="X478" s="38"/>
      <c r="Y478" s="38"/>
    </row>
    <row r="479">
      <c r="A479" s="38"/>
      <c r="B479" s="143"/>
      <c r="C479" s="38"/>
      <c r="D479" s="38"/>
      <c r="E479" s="38"/>
      <c r="F479" s="38"/>
      <c r="G479" s="38"/>
      <c r="H479" s="38"/>
      <c r="I479" s="38"/>
      <c r="J479" s="38"/>
      <c r="K479" s="38"/>
      <c r="L479" s="38"/>
      <c r="M479" s="38"/>
      <c r="N479" s="38"/>
      <c r="O479" s="38"/>
      <c r="P479" s="38"/>
      <c r="Q479" s="38"/>
      <c r="R479" s="38"/>
      <c r="S479" s="38"/>
      <c r="T479" s="38"/>
      <c r="U479" s="38"/>
      <c r="V479" s="38"/>
      <c r="W479" s="38"/>
      <c r="X479" s="38"/>
      <c r="Y479" s="38"/>
    </row>
    <row r="480">
      <c r="A480" s="38"/>
      <c r="B480" s="143"/>
      <c r="C480" s="38"/>
      <c r="D480" s="38"/>
      <c r="E480" s="38"/>
      <c r="F480" s="38"/>
      <c r="G480" s="38"/>
      <c r="H480" s="38"/>
      <c r="I480" s="38"/>
      <c r="J480" s="38"/>
      <c r="K480" s="38"/>
      <c r="L480" s="38"/>
      <c r="M480" s="38"/>
      <c r="N480" s="38"/>
      <c r="O480" s="38"/>
      <c r="P480" s="38"/>
      <c r="Q480" s="38"/>
      <c r="R480" s="38"/>
      <c r="S480" s="38"/>
      <c r="T480" s="38"/>
      <c r="U480" s="38"/>
      <c r="V480" s="38"/>
      <c r="W480" s="38"/>
      <c r="X480" s="38"/>
      <c r="Y480" s="38"/>
    </row>
    <row r="481">
      <c r="A481" s="38"/>
      <c r="B481" s="143"/>
      <c r="C481" s="38"/>
      <c r="D481" s="38"/>
      <c r="E481" s="38"/>
      <c r="F481" s="38"/>
      <c r="G481" s="38"/>
      <c r="H481" s="38"/>
      <c r="I481" s="38"/>
      <c r="J481" s="38"/>
      <c r="K481" s="38"/>
      <c r="L481" s="38"/>
      <c r="M481" s="38"/>
      <c r="N481" s="38"/>
      <c r="O481" s="38"/>
      <c r="P481" s="38"/>
      <c r="Q481" s="38"/>
      <c r="R481" s="38"/>
      <c r="S481" s="38"/>
      <c r="T481" s="38"/>
      <c r="U481" s="38"/>
      <c r="V481" s="38"/>
      <c r="W481" s="38"/>
      <c r="X481" s="38"/>
      <c r="Y481" s="38"/>
    </row>
    <row r="482">
      <c r="A482" s="38"/>
      <c r="B482" s="143"/>
      <c r="C482" s="38"/>
      <c r="D482" s="38"/>
      <c r="E482" s="38"/>
      <c r="F482" s="38"/>
      <c r="G482" s="38"/>
      <c r="H482" s="38"/>
      <c r="I482" s="38"/>
      <c r="J482" s="38"/>
      <c r="K482" s="38"/>
      <c r="L482" s="38"/>
      <c r="M482" s="38"/>
      <c r="N482" s="38"/>
      <c r="O482" s="38"/>
      <c r="P482" s="38"/>
      <c r="Q482" s="38"/>
      <c r="R482" s="38"/>
      <c r="S482" s="38"/>
      <c r="T482" s="38"/>
      <c r="U482" s="38"/>
      <c r="V482" s="38"/>
      <c r="W482" s="38"/>
      <c r="X482" s="38"/>
      <c r="Y482" s="38"/>
    </row>
    <row r="483">
      <c r="A483" s="38"/>
      <c r="B483" s="143"/>
      <c r="C483" s="38"/>
      <c r="D483" s="38"/>
      <c r="E483" s="38"/>
      <c r="F483" s="38"/>
      <c r="G483" s="38"/>
      <c r="H483" s="38"/>
      <c r="I483" s="38"/>
      <c r="J483" s="38"/>
      <c r="K483" s="38"/>
      <c r="L483" s="38"/>
      <c r="M483" s="38"/>
      <c r="N483" s="38"/>
      <c r="O483" s="38"/>
      <c r="P483" s="38"/>
      <c r="Q483" s="38"/>
      <c r="R483" s="38"/>
      <c r="S483" s="38"/>
      <c r="T483" s="38"/>
      <c r="U483" s="38"/>
      <c r="V483" s="38"/>
      <c r="W483" s="38"/>
      <c r="X483" s="38"/>
      <c r="Y483" s="38"/>
    </row>
    <row r="484">
      <c r="A484" s="38"/>
      <c r="B484" s="143"/>
      <c r="C484" s="38"/>
      <c r="D484" s="38"/>
      <c r="E484" s="38"/>
      <c r="F484" s="38"/>
      <c r="G484" s="38"/>
      <c r="H484" s="38"/>
      <c r="I484" s="38"/>
      <c r="J484" s="38"/>
      <c r="K484" s="38"/>
      <c r="L484" s="38"/>
      <c r="M484" s="38"/>
      <c r="N484" s="38"/>
      <c r="O484" s="38"/>
      <c r="P484" s="38"/>
      <c r="Q484" s="38"/>
      <c r="R484" s="38"/>
      <c r="S484" s="38"/>
      <c r="T484" s="38"/>
      <c r="U484" s="38"/>
      <c r="V484" s="38"/>
      <c r="W484" s="38"/>
      <c r="X484" s="38"/>
      <c r="Y484" s="38"/>
    </row>
    <row r="485">
      <c r="A485" s="38"/>
      <c r="B485" s="143"/>
      <c r="C485" s="38"/>
      <c r="D485" s="38"/>
      <c r="E485" s="38"/>
      <c r="F485" s="38"/>
      <c r="G485" s="38"/>
      <c r="H485" s="38"/>
      <c r="I485" s="38"/>
      <c r="J485" s="38"/>
      <c r="K485" s="38"/>
      <c r="L485" s="38"/>
      <c r="M485" s="38"/>
      <c r="N485" s="38"/>
      <c r="O485" s="38"/>
      <c r="P485" s="38"/>
      <c r="Q485" s="38"/>
      <c r="R485" s="38"/>
      <c r="S485" s="38"/>
      <c r="T485" s="38"/>
      <c r="U485" s="38"/>
      <c r="V485" s="38"/>
      <c r="W485" s="38"/>
      <c r="X485" s="38"/>
      <c r="Y485" s="38"/>
    </row>
    <row r="486">
      <c r="A486" s="38"/>
      <c r="B486" s="143"/>
      <c r="C486" s="38"/>
      <c r="D486" s="38"/>
      <c r="E486" s="38"/>
      <c r="F486" s="38"/>
      <c r="G486" s="38"/>
      <c r="H486" s="38"/>
      <c r="I486" s="38"/>
      <c r="J486" s="38"/>
      <c r="K486" s="38"/>
      <c r="L486" s="38"/>
      <c r="M486" s="38"/>
      <c r="N486" s="38"/>
      <c r="O486" s="38"/>
      <c r="P486" s="38"/>
      <c r="Q486" s="38"/>
      <c r="R486" s="38"/>
      <c r="S486" s="38"/>
      <c r="T486" s="38"/>
      <c r="U486" s="38"/>
      <c r="V486" s="38"/>
      <c r="W486" s="38"/>
      <c r="X486" s="38"/>
      <c r="Y486" s="38"/>
    </row>
    <row r="487">
      <c r="A487" s="38"/>
      <c r="B487" s="143"/>
      <c r="C487" s="38"/>
      <c r="D487" s="38"/>
      <c r="E487" s="38"/>
      <c r="F487" s="38"/>
      <c r="G487" s="38"/>
      <c r="H487" s="38"/>
      <c r="I487" s="38"/>
      <c r="J487" s="38"/>
      <c r="K487" s="38"/>
      <c r="L487" s="38"/>
      <c r="M487" s="38"/>
      <c r="N487" s="38"/>
      <c r="O487" s="38"/>
      <c r="P487" s="38"/>
      <c r="Q487" s="38"/>
      <c r="R487" s="38"/>
      <c r="S487" s="38"/>
      <c r="T487" s="38"/>
      <c r="U487" s="38"/>
      <c r="V487" s="38"/>
      <c r="W487" s="38"/>
      <c r="X487" s="38"/>
      <c r="Y487" s="38"/>
    </row>
    <row r="488">
      <c r="A488" s="38"/>
      <c r="B488" s="143"/>
      <c r="C488" s="38"/>
      <c r="D488" s="38"/>
      <c r="E488" s="38"/>
      <c r="F488" s="38"/>
      <c r="G488" s="38"/>
      <c r="H488" s="38"/>
      <c r="I488" s="38"/>
      <c r="J488" s="38"/>
      <c r="K488" s="38"/>
      <c r="L488" s="38"/>
      <c r="M488" s="38"/>
      <c r="N488" s="38"/>
      <c r="O488" s="38"/>
      <c r="P488" s="38"/>
      <c r="Q488" s="38"/>
      <c r="R488" s="38"/>
      <c r="S488" s="38"/>
      <c r="T488" s="38"/>
      <c r="U488" s="38"/>
      <c r="V488" s="38"/>
      <c r="W488" s="38"/>
      <c r="X488" s="38"/>
      <c r="Y488" s="38"/>
    </row>
    <row r="489">
      <c r="A489" s="38"/>
      <c r="B489" s="143"/>
      <c r="C489" s="38"/>
      <c r="D489" s="38"/>
      <c r="E489" s="38"/>
      <c r="F489" s="38"/>
      <c r="G489" s="38"/>
      <c r="H489" s="38"/>
      <c r="I489" s="38"/>
      <c r="J489" s="38"/>
      <c r="K489" s="38"/>
      <c r="L489" s="38"/>
      <c r="M489" s="38"/>
      <c r="N489" s="38"/>
      <c r="O489" s="38"/>
      <c r="P489" s="38"/>
      <c r="Q489" s="38"/>
      <c r="R489" s="38"/>
      <c r="S489" s="38"/>
      <c r="T489" s="38"/>
      <c r="U489" s="38"/>
      <c r="V489" s="38"/>
      <c r="W489" s="38"/>
      <c r="X489" s="38"/>
      <c r="Y489" s="38"/>
    </row>
    <row r="490">
      <c r="A490" s="38"/>
      <c r="B490" s="143"/>
      <c r="C490" s="38"/>
      <c r="D490" s="38"/>
      <c r="E490" s="38"/>
      <c r="F490" s="38"/>
      <c r="G490" s="38"/>
      <c r="H490" s="38"/>
      <c r="I490" s="38"/>
      <c r="J490" s="38"/>
      <c r="K490" s="38"/>
      <c r="L490" s="38"/>
      <c r="M490" s="38"/>
      <c r="N490" s="38"/>
      <c r="O490" s="38"/>
      <c r="P490" s="38"/>
      <c r="Q490" s="38"/>
      <c r="R490" s="38"/>
      <c r="S490" s="38"/>
      <c r="T490" s="38"/>
      <c r="U490" s="38"/>
      <c r="V490" s="38"/>
      <c r="W490" s="38"/>
      <c r="X490" s="38"/>
      <c r="Y490" s="38"/>
    </row>
    <row r="491">
      <c r="A491" s="38"/>
      <c r="B491" s="143"/>
      <c r="C491" s="38"/>
      <c r="D491" s="38"/>
      <c r="E491" s="38"/>
      <c r="F491" s="38"/>
      <c r="G491" s="38"/>
      <c r="H491" s="38"/>
      <c r="I491" s="38"/>
      <c r="J491" s="38"/>
      <c r="K491" s="38"/>
      <c r="L491" s="38"/>
      <c r="M491" s="38"/>
      <c r="N491" s="38"/>
      <c r="O491" s="38"/>
      <c r="P491" s="38"/>
      <c r="Q491" s="38"/>
      <c r="R491" s="38"/>
      <c r="S491" s="38"/>
      <c r="T491" s="38"/>
      <c r="U491" s="38"/>
      <c r="V491" s="38"/>
      <c r="W491" s="38"/>
      <c r="X491" s="38"/>
      <c r="Y491" s="38"/>
    </row>
    <row r="492">
      <c r="A492" s="38"/>
      <c r="B492" s="143"/>
      <c r="C492" s="38"/>
      <c r="D492" s="38"/>
      <c r="E492" s="38"/>
      <c r="F492" s="38"/>
      <c r="G492" s="38"/>
      <c r="H492" s="38"/>
      <c r="I492" s="38"/>
      <c r="J492" s="38"/>
      <c r="K492" s="38"/>
      <c r="L492" s="38"/>
      <c r="M492" s="38"/>
      <c r="N492" s="38"/>
      <c r="O492" s="38"/>
      <c r="P492" s="38"/>
      <c r="Q492" s="38"/>
      <c r="R492" s="38"/>
      <c r="S492" s="38"/>
      <c r="T492" s="38"/>
      <c r="U492" s="38"/>
      <c r="V492" s="38"/>
      <c r="W492" s="38"/>
      <c r="X492" s="38"/>
      <c r="Y492" s="38"/>
    </row>
    <row r="493">
      <c r="A493" s="38"/>
      <c r="B493" s="143"/>
      <c r="C493" s="38"/>
      <c r="D493" s="38"/>
      <c r="E493" s="38"/>
      <c r="F493" s="38"/>
      <c r="G493" s="38"/>
      <c r="H493" s="38"/>
      <c r="I493" s="38"/>
      <c r="J493" s="38"/>
      <c r="K493" s="38"/>
      <c r="L493" s="38"/>
      <c r="M493" s="38"/>
      <c r="N493" s="38"/>
      <c r="O493" s="38"/>
      <c r="P493" s="38"/>
      <c r="Q493" s="38"/>
      <c r="R493" s="38"/>
      <c r="S493" s="38"/>
      <c r="T493" s="38"/>
      <c r="U493" s="38"/>
      <c r="V493" s="38"/>
      <c r="W493" s="38"/>
      <c r="X493" s="38"/>
      <c r="Y493" s="38"/>
    </row>
    <row r="494">
      <c r="A494" s="38"/>
      <c r="B494" s="143"/>
      <c r="C494" s="38"/>
      <c r="D494" s="38"/>
      <c r="E494" s="38"/>
      <c r="F494" s="38"/>
      <c r="G494" s="38"/>
      <c r="H494" s="38"/>
      <c r="I494" s="38"/>
      <c r="J494" s="38"/>
      <c r="K494" s="38"/>
      <c r="L494" s="38"/>
      <c r="M494" s="38"/>
      <c r="N494" s="38"/>
      <c r="O494" s="38"/>
      <c r="P494" s="38"/>
      <c r="Q494" s="38"/>
      <c r="R494" s="38"/>
      <c r="S494" s="38"/>
      <c r="T494" s="38"/>
      <c r="U494" s="38"/>
      <c r="V494" s="38"/>
      <c r="W494" s="38"/>
      <c r="X494" s="38"/>
      <c r="Y494" s="38"/>
    </row>
    <row r="495">
      <c r="A495" s="38"/>
      <c r="B495" s="143"/>
      <c r="C495" s="38"/>
      <c r="D495" s="38"/>
      <c r="E495" s="38"/>
      <c r="F495" s="38"/>
      <c r="G495" s="38"/>
      <c r="H495" s="38"/>
      <c r="I495" s="38"/>
      <c r="J495" s="38"/>
      <c r="K495" s="38"/>
      <c r="L495" s="38"/>
      <c r="M495" s="38"/>
      <c r="N495" s="38"/>
      <c r="O495" s="38"/>
      <c r="P495" s="38"/>
      <c r="Q495" s="38"/>
      <c r="R495" s="38"/>
      <c r="S495" s="38"/>
      <c r="T495" s="38"/>
      <c r="U495" s="38"/>
      <c r="V495" s="38"/>
      <c r="W495" s="38"/>
      <c r="X495" s="38"/>
      <c r="Y495" s="38"/>
    </row>
    <row r="496">
      <c r="A496" s="38"/>
      <c r="B496" s="143"/>
      <c r="C496" s="38"/>
      <c r="D496" s="38"/>
      <c r="E496" s="38"/>
      <c r="F496" s="38"/>
      <c r="G496" s="38"/>
      <c r="H496" s="38"/>
      <c r="I496" s="38"/>
      <c r="J496" s="38"/>
      <c r="K496" s="38"/>
      <c r="L496" s="38"/>
      <c r="M496" s="38"/>
      <c r="N496" s="38"/>
      <c r="O496" s="38"/>
      <c r="P496" s="38"/>
      <c r="Q496" s="38"/>
      <c r="R496" s="38"/>
      <c r="S496" s="38"/>
      <c r="T496" s="38"/>
      <c r="U496" s="38"/>
      <c r="V496" s="38"/>
      <c r="W496" s="38"/>
      <c r="X496" s="38"/>
      <c r="Y496" s="38"/>
    </row>
    <row r="497">
      <c r="A497" s="38"/>
      <c r="B497" s="143"/>
      <c r="C497" s="38"/>
      <c r="D497" s="38"/>
      <c r="E497" s="38"/>
      <c r="F497" s="38"/>
      <c r="G497" s="38"/>
      <c r="H497" s="38"/>
      <c r="I497" s="38"/>
      <c r="J497" s="38"/>
      <c r="K497" s="38"/>
      <c r="L497" s="38"/>
      <c r="M497" s="38"/>
      <c r="N497" s="38"/>
      <c r="O497" s="38"/>
      <c r="P497" s="38"/>
      <c r="Q497" s="38"/>
      <c r="R497" s="38"/>
      <c r="S497" s="38"/>
      <c r="T497" s="38"/>
      <c r="U497" s="38"/>
      <c r="V497" s="38"/>
      <c r="W497" s="38"/>
      <c r="X497" s="38"/>
      <c r="Y497" s="38"/>
    </row>
    <row r="498">
      <c r="A498" s="38"/>
      <c r="B498" s="143"/>
      <c r="C498" s="38"/>
      <c r="D498" s="38"/>
      <c r="E498" s="38"/>
      <c r="F498" s="38"/>
      <c r="G498" s="38"/>
      <c r="H498" s="38"/>
      <c r="I498" s="38"/>
      <c r="J498" s="38"/>
      <c r="K498" s="38"/>
      <c r="L498" s="38"/>
      <c r="M498" s="38"/>
      <c r="N498" s="38"/>
      <c r="O498" s="38"/>
      <c r="P498" s="38"/>
      <c r="Q498" s="38"/>
      <c r="R498" s="38"/>
      <c r="S498" s="38"/>
      <c r="T498" s="38"/>
      <c r="U498" s="38"/>
      <c r="V498" s="38"/>
      <c r="W498" s="38"/>
      <c r="X498" s="38"/>
      <c r="Y498" s="38"/>
    </row>
    <row r="499">
      <c r="A499" s="38"/>
      <c r="B499" s="143"/>
      <c r="C499" s="38"/>
      <c r="D499" s="38"/>
      <c r="E499" s="38"/>
      <c r="F499" s="38"/>
      <c r="G499" s="38"/>
      <c r="H499" s="38"/>
      <c r="I499" s="38"/>
      <c r="J499" s="38"/>
      <c r="K499" s="38"/>
      <c r="L499" s="38"/>
      <c r="M499" s="38"/>
      <c r="N499" s="38"/>
      <c r="O499" s="38"/>
      <c r="P499" s="38"/>
      <c r="Q499" s="38"/>
      <c r="R499" s="38"/>
      <c r="S499" s="38"/>
      <c r="T499" s="38"/>
      <c r="U499" s="38"/>
      <c r="V499" s="38"/>
      <c r="W499" s="38"/>
      <c r="X499" s="38"/>
      <c r="Y499" s="38"/>
    </row>
    <row r="500">
      <c r="A500" s="38"/>
      <c r="B500" s="143"/>
      <c r="C500" s="38"/>
      <c r="D500" s="38"/>
      <c r="E500" s="38"/>
      <c r="F500" s="38"/>
      <c r="G500" s="38"/>
      <c r="H500" s="38"/>
      <c r="I500" s="38"/>
      <c r="J500" s="38"/>
      <c r="K500" s="38"/>
      <c r="L500" s="38"/>
      <c r="M500" s="38"/>
      <c r="N500" s="38"/>
      <c r="O500" s="38"/>
      <c r="P500" s="38"/>
      <c r="Q500" s="38"/>
      <c r="R500" s="38"/>
      <c r="S500" s="38"/>
      <c r="T500" s="38"/>
      <c r="U500" s="38"/>
      <c r="V500" s="38"/>
      <c r="W500" s="38"/>
      <c r="X500" s="38"/>
      <c r="Y500" s="38"/>
    </row>
    <row r="501">
      <c r="A501" s="38"/>
      <c r="B501" s="143"/>
      <c r="C501" s="38"/>
      <c r="D501" s="38"/>
      <c r="E501" s="38"/>
      <c r="F501" s="38"/>
      <c r="G501" s="38"/>
      <c r="H501" s="38"/>
      <c r="I501" s="38"/>
      <c r="J501" s="38"/>
      <c r="K501" s="38"/>
      <c r="L501" s="38"/>
      <c r="M501" s="38"/>
      <c r="N501" s="38"/>
      <c r="O501" s="38"/>
      <c r="P501" s="38"/>
      <c r="Q501" s="38"/>
      <c r="R501" s="38"/>
      <c r="S501" s="38"/>
      <c r="T501" s="38"/>
      <c r="U501" s="38"/>
      <c r="V501" s="38"/>
      <c r="W501" s="38"/>
      <c r="X501" s="38"/>
      <c r="Y501" s="38"/>
    </row>
    <row r="502">
      <c r="A502" s="38"/>
      <c r="B502" s="143"/>
      <c r="C502" s="38"/>
      <c r="D502" s="38"/>
      <c r="E502" s="38"/>
      <c r="F502" s="38"/>
      <c r="G502" s="38"/>
      <c r="H502" s="38"/>
      <c r="I502" s="38"/>
      <c r="J502" s="38"/>
      <c r="K502" s="38"/>
      <c r="L502" s="38"/>
      <c r="M502" s="38"/>
      <c r="N502" s="38"/>
      <c r="O502" s="38"/>
      <c r="P502" s="38"/>
      <c r="Q502" s="38"/>
      <c r="R502" s="38"/>
      <c r="S502" s="38"/>
      <c r="T502" s="38"/>
      <c r="U502" s="38"/>
      <c r="V502" s="38"/>
      <c r="W502" s="38"/>
      <c r="X502" s="38"/>
      <c r="Y502" s="38"/>
    </row>
    <row r="503">
      <c r="A503" s="38"/>
      <c r="B503" s="143"/>
      <c r="C503" s="38"/>
      <c r="D503" s="38"/>
      <c r="E503" s="38"/>
      <c r="F503" s="38"/>
      <c r="G503" s="38"/>
      <c r="H503" s="38"/>
      <c r="I503" s="38"/>
      <c r="J503" s="38"/>
      <c r="K503" s="38"/>
      <c r="L503" s="38"/>
      <c r="M503" s="38"/>
      <c r="N503" s="38"/>
      <c r="O503" s="38"/>
      <c r="P503" s="38"/>
      <c r="Q503" s="38"/>
      <c r="R503" s="38"/>
      <c r="S503" s="38"/>
      <c r="T503" s="38"/>
      <c r="U503" s="38"/>
      <c r="V503" s="38"/>
      <c r="W503" s="38"/>
      <c r="X503" s="38"/>
      <c r="Y503" s="38"/>
    </row>
    <row r="504">
      <c r="A504" s="38"/>
      <c r="B504" s="143"/>
      <c r="C504" s="38"/>
      <c r="D504" s="38"/>
      <c r="E504" s="38"/>
      <c r="F504" s="38"/>
      <c r="G504" s="38"/>
      <c r="H504" s="38"/>
      <c r="I504" s="38"/>
      <c r="J504" s="38"/>
      <c r="K504" s="38"/>
      <c r="L504" s="38"/>
      <c r="M504" s="38"/>
      <c r="N504" s="38"/>
      <c r="O504" s="38"/>
      <c r="P504" s="38"/>
      <c r="Q504" s="38"/>
      <c r="R504" s="38"/>
      <c r="S504" s="38"/>
      <c r="T504" s="38"/>
      <c r="U504" s="38"/>
      <c r="V504" s="38"/>
      <c r="W504" s="38"/>
      <c r="X504" s="38"/>
      <c r="Y504" s="38"/>
    </row>
    <row r="505">
      <c r="A505" s="38"/>
      <c r="B505" s="143"/>
      <c r="C505" s="38"/>
      <c r="D505" s="38"/>
      <c r="E505" s="38"/>
      <c r="F505" s="38"/>
      <c r="G505" s="38"/>
      <c r="H505" s="38"/>
      <c r="I505" s="38"/>
      <c r="J505" s="38"/>
      <c r="K505" s="38"/>
      <c r="L505" s="38"/>
      <c r="M505" s="38"/>
      <c r="N505" s="38"/>
      <c r="O505" s="38"/>
      <c r="P505" s="38"/>
      <c r="Q505" s="38"/>
      <c r="R505" s="38"/>
      <c r="S505" s="38"/>
      <c r="T505" s="38"/>
      <c r="U505" s="38"/>
      <c r="V505" s="38"/>
      <c r="W505" s="38"/>
      <c r="X505" s="38"/>
      <c r="Y505" s="38"/>
    </row>
    <row r="506">
      <c r="A506" s="38"/>
      <c r="B506" s="143"/>
      <c r="C506" s="38"/>
      <c r="D506" s="38"/>
      <c r="E506" s="38"/>
      <c r="F506" s="38"/>
      <c r="G506" s="38"/>
      <c r="H506" s="38"/>
      <c r="I506" s="38"/>
      <c r="J506" s="38"/>
      <c r="K506" s="38"/>
      <c r="L506" s="38"/>
      <c r="M506" s="38"/>
      <c r="N506" s="38"/>
      <c r="O506" s="38"/>
      <c r="P506" s="38"/>
      <c r="Q506" s="38"/>
      <c r="R506" s="38"/>
      <c r="S506" s="38"/>
      <c r="T506" s="38"/>
      <c r="U506" s="38"/>
      <c r="V506" s="38"/>
      <c r="W506" s="38"/>
      <c r="X506" s="38"/>
      <c r="Y506" s="38"/>
    </row>
    <row r="507">
      <c r="A507" s="38"/>
      <c r="B507" s="143"/>
      <c r="C507" s="38"/>
      <c r="D507" s="38"/>
      <c r="E507" s="38"/>
      <c r="F507" s="38"/>
      <c r="G507" s="38"/>
      <c r="H507" s="38"/>
      <c r="I507" s="38"/>
      <c r="J507" s="38"/>
      <c r="K507" s="38"/>
      <c r="L507" s="38"/>
      <c r="M507" s="38"/>
      <c r="N507" s="38"/>
      <c r="O507" s="38"/>
      <c r="P507" s="38"/>
      <c r="Q507" s="38"/>
      <c r="R507" s="38"/>
      <c r="S507" s="38"/>
      <c r="T507" s="38"/>
      <c r="U507" s="38"/>
      <c r="V507" s="38"/>
      <c r="W507" s="38"/>
      <c r="X507" s="38"/>
      <c r="Y507" s="38"/>
    </row>
    <row r="508">
      <c r="A508" s="38"/>
      <c r="B508" s="143"/>
      <c r="C508" s="38"/>
      <c r="D508" s="38"/>
      <c r="E508" s="38"/>
      <c r="F508" s="38"/>
      <c r="G508" s="38"/>
      <c r="H508" s="38"/>
      <c r="I508" s="38"/>
      <c r="J508" s="38"/>
      <c r="K508" s="38"/>
      <c r="L508" s="38"/>
      <c r="M508" s="38"/>
      <c r="N508" s="38"/>
      <c r="O508" s="38"/>
      <c r="P508" s="38"/>
      <c r="Q508" s="38"/>
      <c r="R508" s="38"/>
      <c r="S508" s="38"/>
      <c r="T508" s="38"/>
      <c r="U508" s="38"/>
      <c r="V508" s="38"/>
      <c r="W508" s="38"/>
      <c r="X508" s="38"/>
      <c r="Y508" s="38"/>
    </row>
    <row r="509">
      <c r="A509" s="38"/>
      <c r="B509" s="143"/>
      <c r="C509" s="38"/>
      <c r="D509" s="38"/>
      <c r="E509" s="38"/>
      <c r="F509" s="38"/>
      <c r="G509" s="38"/>
      <c r="H509" s="38"/>
      <c r="I509" s="38"/>
      <c r="J509" s="38"/>
      <c r="K509" s="38"/>
      <c r="L509" s="38"/>
      <c r="M509" s="38"/>
      <c r="N509" s="38"/>
      <c r="O509" s="38"/>
      <c r="P509" s="38"/>
      <c r="Q509" s="38"/>
      <c r="R509" s="38"/>
      <c r="S509" s="38"/>
      <c r="T509" s="38"/>
      <c r="U509" s="38"/>
      <c r="V509" s="38"/>
      <c r="W509" s="38"/>
      <c r="X509" s="38"/>
      <c r="Y509" s="38"/>
    </row>
    <row r="510">
      <c r="A510" s="38"/>
      <c r="B510" s="143"/>
      <c r="C510" s="38"/>
      <c r="D510" s="38"/>
      <c r="E510" s="38"/>
      <c r="F510" s="38"/>
      <c r="G510" s="38"/>
      <c r="H510" s="38"/>
      <c r="I510" s="38"/>
      <c r="J510" s="38"/>
      <c r="K510" s="38"/>
      <c r="L510" s="38"/>
      <c r="M510" s="38"/>
      <c r="N510" s="38"/>
      <c r="O510" s="38"/>
      <c r="P510" s="38"/>
      <c r="Q510" s="38"/>
      <c r="R510" s="38"/>
      <c r="S510" s="38"/>
      <c r="T510" s="38"/>
      <c r="U510" s="38"/>
      <c r="V510" s="38"/>
      <c r="W510" s="38"/>
      <c r="X510" s="38"/>
      <c r="Y510" s="38"/>
    </row>
    <row r="511">
      <c r="A511" s="38"/>
      <c r="B511" s="143"/>
      <c r="C511" s="38"/>
      <c r="D511" s="38"/>
      <c r="E511" s="38"/>
      <c r="F511" s="38"/>
      <c r="G511" s="38"/>
      <c r="H511" s="38"/>
      <c r="I511" s="38"/>
      <c r="J511" s="38"/>
      <c r="K511" s="38"/>
      <c r="L511" s="38"/>
      <c r="M511" s="38"/>
      <c r="N511" s="38"/>
      <c r="O511" s="38"/>
      <c r="P511" s="38"/>
      <c r="Q511" s="38"/>
      <c r="R511" s="38"/>
      <c r="S511" s="38"/>
      <c r="T511" s="38"/>
      <c r="U511" s="38"/>
      <c r="V511" s="38"/>
      <c r="W511" s="38"/>
      <c r="X511" s="38"/>
      <c r="Y511" s="38"/>
    </row>
    <row r="512">
      <c r="A512" s="38"/>
      <c r="B512" s="143"/>
      <c r="C512" s="38"/>
      <c r="D512" s="38"/>
      <c r="E512" s="38"/>
      <c r="F512" s="38"/>
      <c r="G512" s="38"/>
      <c r="H512" s="38"/>
      <c r="I512" s="38"/>
      <c r="J512" s="38"/>
      <c r="K512" s="38"/>
      <c r="L512" s="38"/>
      <c r="M512" s="38"/>
      <c r="N512" s="38"/>
      <c r="O512" s="38"/>
      <c r="P512" s="38"/>
      <c r="Q512" s="38"/>
      <c r="R512" s="38"/>
      <c r="S512" s="38"/>
      <c r="T512" s="38"/>
      <c r="U512" s="38"/>
      <c r="V512" s="38"/>
      <c r="W512" s="38"/>
      <c r="X512" s="38"/>
      <c r="Y512" s="38"/>
    </row>
    <row r="513">
      <c r="A513" s="38"/>
      <c r="B513" s="143"/>
      <c r="C513" s="38"/>
      <c r="D513" s="38"/>
      <c r="E513" s="38"/>
      <c r="F513" s="38"/>
      <c r="G513" s="38"/>
      <c r="H513" s="38"/>
      <c r="I513" s="38"/>
      <c r="J513" s="38"/>
      <c r="K513" s="38"/>
      <c r="L513" s="38"/>
      <c r="M513" s="38"/>
      <c r="N513" s="38"/>
      <c r="O513" s="38"/>
      <c r="P513" s="38"/>
      <c r="Q513" s="38"/>
      <c r="R513" s="38"/>
      <c r="S513" s="38"/>
      <c r="T513" s="38"/>
      <c r="U513" s="38"/>
      <c r="V513" s="38"/>
      <c r="W513" s="38"/>
      <c r="X513" s="38"/>
      <c r="Y513" s="38"/>
    </row>
    <row r="514">
      <c r="A514" s="38"/>
      <c r="B514" s="143"/>
      <c r="C514" s="38"/>
      <c r="D514" s="38"/>
      <c r="E514" s="38"/>
      <c r="F514" s="38"/>
      <c r="G514" s="38"/>
      <c r="H514" s="38"/>
      <c r="I514" s="38"/>
      <c r="J514" s="38"/>
      <c r="K514" s="38"/>
      <c r="L514" s="38"/>
      <c r="M514" s="38"/>
      <c r="N514" s="38"/>
      <c r="O514" s="38"/>
      <c r="P514" s="38"/>
      <c r="Q514" s="38"/>
      <c r="R514" s="38"/>
      <c r="S514" s="38"/>
      <c r="T514" s="38"/>
      <c r="U514" s="38"/>
      <c r="V514" s="38"/>
      <c r="W514" s="38"/>
      <c r="X514" s="38"/>
      <c r="Y514" s="38"/>
    </row>
    <row r="515">
      <c r="A515" s="38"/>
      <c r="B515" s="143"/>
      <c r="C515" s="38"/>
      <c r="D515" s="38"/>
      <c r="E515" s="38"/>
      <c r="F515" s="38"/>
      <c r="G515" s="38"/>
      <c r="H515" s="38"/>
      <c r="I515" s="38"/>
      <c r="J515" s="38"/>
      <c r="K515" s="38"/>
      <c r="L515" s="38"/>
      <c r="M515" s="38"/>
      <c r="N515" s="38"/>
      <c r="O515" s="38"/>
      <c r="P515" s="38"/>
      <c r="Q515" s="38"/>
      <c r="R515" s="38"/>
      <c r="S515" s="38"/>
      <c r="T515" s="38"/>
      <c r="U515" s="38"/>
      <c r="V515" s="38"/>
      <c r="W515" s="38"/>
      <c r="X515" s="38"/>
      <c r="Y515" s="38"/>
    </row>
    <row r="516">
      <c r="A516" s="38"/>
      <c r="B516" s="143"/>
      <c r="C516" s="38"/>
      <c r="D516" s="38"/>
      <c r="E516" s="38"/>
      <c r="F516" s="38"/>
      <c r="G516" s="38"/>
      <c r="H516" s="38"/>
      <c r="I516" s="38"/>
      <c r="J516" s="38"/>
      <c r="K516" s="38"/>
      <c r="L516" s="38"/>
      <c r="M516" s="38"/>
      <c r="N516" s="38"/>
      <c r="O516" s="38"/>
      <c r="P516" s="38"/>
      <c r="Q516" s="38"/>
      <c r="R516" s="38"/>
      <c r="S516" s="38"/>
      <c r="T516" s="38"/>
      <c r="U516" s="38"/>
      <c r="V516" s="38"/>
      <c r="W516" s="38"/>
      <c r="X516" s="38"/>
      <c r="Y516" s="38"/>
    </row>
    <row r="517">
      <c r="A517" s="38"/>
      <c r="B517" s="143"/>
      <c r="C517" s="38"/>
      <c r="D517" s="38"/>
      <c r="E517" s="38"/>
      <c r="F517" s="38"/>
      <c r="G517" s="38"/>
      <c r="H517" s="38"/>
      <c r="I517" s="38"/>
      <c r="J517" s="38"/>
      <c r="K517" s="38"/>
      <c r="L517" s="38"/>
      <c r="M517" s="38"/>
      <c r="N517" s="38"/>
      <c r="O517" s="38"/>
      <c r="P517" s="38"/>
      <c r="Q517" s="38"/>
      <c r="R517" s="38"/>
      <c r="S517" s="38"/>
      <c r="T517" s="38"/>
      <c r="U517" s="38"/>
      <c r="V517" s="38"/>
      <c r="W517" s="38"/>
      <c r="X517" s="38"/>
      <c r="Y517" s="38"/>
    </row>
    <row r="518">
      <c r="A518" s="38"/>
      <c r="B518" s="143"/>
      <c r="C518" s="38"/>
      <c r="D518" s="38"/>
      <c r="E518" s="38"/>
      <c r="F518" s="38"/>
      <c r="G518" s="38"/>
      <c r="H518" s="38"/>
      <c r="I518" s="38"/>
      <c r="J518" s="38"/>
      <c r="K518" s="38"/>
      <c r="L518" s="38"/>
      <c r="M518" s="38"/>
      <c r="N518" s="38"/>
      <c r="O518" s="38"/>
      <c r="P518" s="38"/>
      <c r="Q518" s="38"/>
      <c r="R518" s="38"/>
      <c r="S518" s="38"/>
      <c r="T518" s="38"/>
      <c r="U518" s="38"/>
      <c r="V518" s="38"/>
      <c r="W518" s="38"/>
      <c r="X518" s="38"/>
      <c r="Y518" s="38"/>
    </row>
    <row r="519">
      <c r="A519" s="38"/>
      <c r="B519" s="143"/>
      <c r="C519" s="38"/>
      <c r="D519" s="38"/>
      <c r="E519" s="38"/>
      <c r="F519" s="38"/>
      <c r="G519" s="38"/>
      <c r="H519" s="38"/>
      <c r="I519" s="38"/>
      <c r="J519" s="38"/>
      <c r="K519" s="38"/>
      <c r="L519" s="38"/>
      <c r="M519" s="38"/>
      <c r="N519" s="38"/>
      <c r="O519" s="38"/>
      <c r="P519" s="38"/>
      <c r="Q519" s="38"/>
      <c r="R519" s="38"/>
      <c r="S519" s="38"/>
      <c r="T519" s="38"/>
      <c r="U519" s="38"/>
      <c r="V519" s="38"/>
      <c r="W519" s="38"/>
      <c r="X519" s="38"/>
      <c r="Y519" s="38"/>
    </row>
    <row r="520">
      <c r="A520" s="38"/>
      <c r="B520" s="143"/>
      <c r="C520" s="38"/>
      <c r="D520" s="38"/>
      <c r="E520" s="38"/>
      <c r="F520" s="38"/>
      <c r="G520" s="38"/>
      <c r="H520" s="38"/>
      <c r="I520" s="38"/>
      <c r="J520" s="38"/>
      <c r="K520" s="38"/>
      <c r="L520" s="38"/>
      <c r="M520" s="38"/>
      <c r="N520" s="38"/>
      <c r="O520" s="38"/>
      <c r="P520" s="38"/>
      <c r="Q520" s="38"/>
      <c r="R520" s="38"/>
      <c r="S520" s="38"/>
      <c r="T520" s="38"/>
      <c r="U520" s="38"/>
      <c r="V520" s="38"/>
      <c r="W520" s="38"/>
      <c r="X520" s="38"/>
      <c r="Y520" s="38"/>
    </row>
    <row r="521">
      <c r="A521" s="38"/>
      <c r="B521" s="143"/>
      <c r="C521" s="38"/>
      <c r="D521" s="38"/>
      <c r="E521" s="38"/>
      <c r="F521" s="38"/>
      <c r="G521" s="38"/>
      <c r="H521" s="38"/>
      <c r="I521" s="38"/>
      <c r="J521" s="38"/>
      <c r="K521" s="38"/>
      <c r="L521" s="38"/>
      <c r="M521" s="38"/>
      <c r="N521" s="38"/>
      <c r="O521" s="38"/>
      <c r="P521" s="38"/>
      <c r="Q521" s="38"/>
      <c r="R521" s="38"/>
      <c r="S521" s="38"/>
      <c r="T521" s="38"/>
      <c r="U521" s="38"/>
      <c r="V521" s="38"/>
      <c r="W521" s="38"/>
      <c r="X521" s="38"/>
      <c r="Y521" s="38"/>
    </row>
    <row r="522">
      <c r="A522" s="38"/>
      <c r="B522" s="143"/>
      <c r="C522" s="38"/>
      <c r="D522" s="38"/>
      <c r="E522" s="38"/>
      <c r="F522" s="38"/>
      <c r="G522" s="38"/>
      <c r="H522" s="38"/>
      <c r="I522" s="38"/>
      <c r="J522" s="38"/>
      <c r="K522" s="38"/>
      <c r="L522" s="38"/>
      <c r="M522" s="38"/>
      <c r="N522" s="38"/>
      <c r="O522" s="38"/>
      <c r="P522" s="38"/>
      <c r="Q522" s="38"/>
      <c r="R522" s="38"/>
      <c r="S522" s="38"/>
      <c r="T522" s="38"/>
      <c r="U522" s="38"/>
      <c r="V522" s="38"/>
      <c r="W522" s="38"/>
      <c r="X522" s="38"/>
      <c r="Y522" s="38"/>
    </row>
    <row r="523">
      <c r="A523" s="38"/>
      <c r="B523" s="143"/>
      <c r="C523" s="38"/>
      <c r="D523" s="38"/>
      <c r="E523" s="38"/>
      <c r="F523" s="38"/>
      <c r="G523" s="38"/>
      <c r="H523" s="38"/>
      <c r="I523" s="38"/>
      <c r="J523" s="38"/>
      <c r="K523" s="38"/>
      <c r="L523" s="38"/>
      <c r="M523" s="38"/>
      <c r="N523" s="38"/>
      <c r="O523" s="38"/>
      <c r="P523" s="38"/>
      <c r="Q523" s="38"/>
      <c r="R523" s="38"/>
      <c r="S523" s="38"/>
      <c r="T523" s="38"/>
      <c r="U523" s="38"/>
      <c r="V523" s="38"/>
      <c r="W523" s="38"/>
      <c r="X523" s="38"/>
      <c r="Y523" s="38"/>
    </row>
    <row r="524">
      <c r="A524" s="38"/>
      <c r="B524" s="143"/>
      <c r="C524" s="38"/>
      <c r="D524" s="38"/>
      <c r="E524" s="38"/>
      <c r="F524" s="38"/>
      <c r="G524" s="38"/>
      <c r="H524" s="38"/>
      <c r="I524" s="38"/>
      <c r="J524" s="38"/>
      <c r="K524" s="38"/>
      <c r="L524" s="38"/>
      <c r="M524" s="38"/>
      <c r="N524" s="38"/>
      <c r="O524" s="38"/>
      <c r="P524" s="38"/>
      <c r="Q524" s="38"/>
      <c r="R524" s="38"/>
      <c r="S524" s="38"/>
      <c r="T524" s="38"/>
      <c r="U524" s="38"/>
      <c r="V524" s="38"/>
      <c r="W524" s="38"/>
      <c r="X524" s="38"/>
      <c r="Y524" s="38"/>
    </row>
    <row r="525">
      <c r="A525" s="38"/>
      <c r="B525" s="143"/>
      <c r="C525" s="38"/>
      <c r="D525" s="38"/>
      <c r="E525" s="38"/>
      <c r="F525" s="38"/>
      <c r="G525" s="38"/>
      <c r="H525" s="38"/>
      <c r="I525" s="38"/>
      <c r="J525" s="38"/>
      <c r="K525" s="38"/>
      <c r="L525" s="38"/>
      <c r="M525" s="38"/>
      <c r="N525" s="38"/>
      <c r="O525" s="38"/>
      <c r="P525" s="38"/>
      <c r="Q525" s="38"/>
      <c r="R525" s="38"/>
      <c r="S525" s="38"/>
      <c r="T525" s="38"/>
      <c r="U525" s="38"/>
      <c r="V525" s="38"/>
      <c r="W525" s="38"/>
      <c r="X525" s="38"/>
      <c r="Y525" s="38"/>
    </row>
    <row r="526">
      <c r="A526" s="38"/>
      <c r="B526" s="143"/>
      <c r="C526" s="38"/>
      <c r="D526" s="38"/>
      <c r="E526" s="38"/>
      <c r="F526" s="38"/>
      <c r="G526" s="38"/>
      <c r="H526" s="38"/>
      <c r="I526" s="38"/>
      <c r="J526" s="38"/>
      <c r="K526" s="38"/>
      <c r="L526" s="38"/>
      <c r="M526" s="38"/>
      <c r="N526" s="38"/>
      <c r="O526" s="38"/>
      <c r="P526" s="38"/>
      <c r="Q526" s="38"/>
      <c r="R526" s="38"/>
      <c r="S526" s="38"/>
      <c r="T526" s="38"/>
      <c r="U526" s="38"/>
      <c r="V526" s="38"/>
      <c r="W526" s="38"/>
      <c r="X526" s="38"/>
      <c r="Y526" s="38"/>
    </row>
    <row r="527">
      <c r="A527" s="38"/>
      <c r="B527" s="143"/>
      <c r="C527" s="38"/>
      <c r="D527" s="38"/>
      <c r="E527" s="38"/>
      <c r="F527" s="38"/>
      <c r="G527" s="38"/>
      <c r="H527" s="38"/>
      <c r="I527" s="38"/>
      <c r="J527" s="38"/>
      <c r="K527" s="38"/>
      <c r="L527" s="38"/>
      <c r="M527" s="38"/>
      <c r="N527" s="38"/>
      <c r="O527" s="38"/>
      <c r="P527" s="38"/>
      <c r="Q527" s="38"/>
      <c r="R527" s="38"/>
      <c r="S527" s="38"/>
      <c r="T527" s="38"/>
      <c r="U527" s="38"/>
      <c r="V527" s="38"/>
      <c r="W527" s="38"/>
      <c r="X527" s="38"/>
      <c r="Y527" s="38"/>
    </row>
    <row r="528">
      <c r="A528" s="38"/>
      <c r="B528" s="143"/>
      <c r="C528" s="38"/>
      <c r="D528" s="38"/>
      <c r="E528" s="38"/>
      <c r="F528" s="38"/>
      <c r="G528" s="38"/>
      <c r="H528" s="38"/>
      <c r="I528" s="38"/>
      <c r="J528" s="38"/>
      <c r="K528" s="38"/>
      <c r="L528" s="38"/>
      <c r="M528" s="38"/>
      <c r="N528" s="38"/>
      <c r="O528" s="38"/>
      <c r="P528" s="38"/>
      <c r="Q528" s="38"/>
      <c r="R528" s="38"/>
      <c r="S528" s="38"/>
      <c r="T528" s="38"/>
      <c r="U528" s="38"/>
      <c r="V528" s="38"/>
      <c r="W528" s="38"/>
      <c r="X528" s="38"/>
      <c r="Y528" s="38"/>
    </row>
    <row r="529">
      <c r="A529" s="38"/>
      <c r="B529" s="143"/>
      <c r="C529" s="38"/>
      <c r="D529" s="38"/>
      <c r="E529" s="38"/>
      <c r="F529" s="38"/>
      <c r="G529" s="38"/>
      <c r="H529" s="38"/>
      <c r="I529" s="38"/>
      <c r="J529" s="38"/>
      <c r="K529" s="38"/>
      <c r="L529" s="38"/>
      <c r="M529" s="38"/>
      <c r="N529" s="38"/>
      <c r="O529" s="38"/>
      <c r="P529" s="38"/>
      <c r="Q529" s="38"/>
      <c r="R529" s="38"/>
      <c r="S529" s="38"/>
      <c r="T529" s="38"/>
      <c r="U529" s="38"/>
      <c r="V529" s="38"/>
      <c r="W529" s="38"/>
      <c r="X529" s="38"/>
      <c r="Y529" s="38"/>
    </row>
    <row r="530">
      <c r="A530" s="38"/>
      <c r="B530" s="143"/>
      <c r="C530" s="38"/>
      <c r="D530" s="38"/>
      <c r="E530" s="38"/>
      <c r="F530" s="38"/>
      <c r="G530" s="38"/>
      <c r="H530" s="38"/>
      <c r="I530" s="38"/>
      <c r="J530" s="38"/>
      <c r="K530" s="38"/>
      <c r="L530" s="38"/>
      <c r="M530" s="38"/>
      <c r="N530" s="38"/>
      <c r="O530" s="38"/>
      <c r="P530" s="38"/>
      <c r="Q530" s="38"/>
      <c r="R530" s="38"/>
      <c r="S530" s="38"/>
      <c r="T530" s="38"/>
      <c r="U530" s="38"/>
      <c r="V530" s="38"/>
      <c r="W530" s="38"/>
      <c r="X530" s="38"/>
      <c r="Y530" s="38"/>
    </row>
    <row r="531">
      <c r="A531" s="38"/>
      <c r="B531" s="143"/>
      <c r="C531" s="38"/>
      <c r="D531" s="38"/>
      <c r="E531" s="38"/>
      <c r="F531" s="38"/>
      <c r="G531" s="38"/>
      <c r="H531" s="38"/>
      <c r="I531" s="38"/>
      <c r="J531" s="38"/>
      <c r="K531" s="38"/>
      <c r="L531" s="38"/>
      <c r="M531" s="38"/>
      <c r="N531" s="38"/>
      <c r="O531" s="38"/>
      <c r="P531" s="38"/>
      <c r="Q531" s="38"/>
      <c r="R531" s="38"/>
      <c r="S531" s="38"/>
      <c r="T531" s="38"/>
      <c r="U531" s="38"/>
      <c r="V531" s="38"/>
      <c r="W531" s="38"/>
      <c r="X531" s="38"/>
      <c r="Y531" s="38"/>
    </row>
    <row r="532">
      <c r="A532" s="38"/>
      <c r="B532" s="143"/>
      <c r="C532" s="38"/>
      <c r="D532" s="38"/>
      <c r="E532" s="38"/>
      <c r="F532" s="38"/>
      <c r="G532" s="38"/>
      <c r="H532" s="38"/>
      <c r="I532" s="38"/>
      <c r="J532" s="38"/>
      <c r="K532" s="38"/>
      <c r="L532" s="38"/>
      <c r="M532" s="38"/>
      <c r="N532" s="38"/>
      <c r="O532" s="38"/>
      <c r="P532" s="38"/>
      <c r="Q532" s="38"/>
      <c r="R532" s="38"/>
      <c r="S532" s="38"/>
      <c r="T532" s="38"/>
      <c r="U532" s="38"/>
      <c r="V532" s="38"/>
      <c r="W532" s="38"/>
      <c r="X532" s="38"/>
      <c r="Y532" s="38"/>
    </row>
    <row r="533">
      <c r="A533" s="38"/>
      <c r="B533" s="143"/>
      <c r="C533" s="38"/>
      <c r="D533" s="38"/>
      <c r="E533" s="38"/>
      <c r="F533" s="38"/>
      <c r="G533" s="38"/>
      <c r="H533" s="38"/>
      <c r="I533" s="38"/>
      <c r="J533" s="38"/>
      <c r="K533" s="38"/>
      <c r="L533" s="38"/>
      <c r="M533" s="38"/>
      <c r="N533" s="38"/>
      <c r="O533" s="38"/>
      <c r="P533" s="38"/>
      <c r="Q533" s="38"/>
      <c r="R533" s="38"/>
      <c r="S533" s="38"/>
      <c r="T533" s="38"/>
      <c r="U533" s="38"/>
      <c r="V533" s="38"/>
      <c r="W533" s="38"/>
      <c r="X533" s="38"/>
      <c r="Y533" s="38"/>
    </row>
    <row r="534">
      <c r="A534" s="38"/>
      <c r="B534" s="143"/>
      <c r="C534" s="38"/>
      <c r="D534" s="38"/>
      <c r="E534" s="38"/>
      <c r="F534" s="38"/>
      <c r="G534" s="38"/>
      <c r="H534" s="38"/>
      <c r="I534" s="38"/>
      <c r="J534" s="38"/>
      <c r="K534" s="38"/>
      <c r="L534" s="38"/>
      <c r="M534" s="38"/>
      <c r="N534" s="38"/>
      <c r="O534" s="38"/>
      <c r="P534" s="38"/>
      <c r="Q534" s="38"/>
      <c r="R534" s="38"/>
      <c r="S534" s="38"/>
      <c r="T534" s="38"/>
      <c r="U534" s="38"/>
      <c r="V534" s="38"/>
      <c r="W534" s="38"/>
      <c r="X534" s="38"/>
      <c r="Y534" s="38"/>
    </row>
    <row r="535">
      <c r="A535" s="38"/>
      <c r="B535" s="143"/>
      <c r="C535" s="38"/>
      <c r="D535" s="38"/>
      <c r="E535" s="38"/>
      <c r="F535" s="38"/>
      <c r="G535" s="38"/>
      <c r="H535" s="38"/>
      <c r="I535" s="38"/>
      <c r="J535" s="38"/>
      <c r="K535" s="38"/>
      <c r="L535" s="38"/>
      <c r="M535" s="38"/>
      <c r="N535" s="38"/>
      <c r="O535" s="38"/>
      <c r="P535" s="38"/>
      <c r="Q535" s="38"/>
      <c r="R535" s="38"/>
      <c r="S535" s="38"/>
      <c r="T535" s="38"/>
      <c r="U535" s="38"/>
      <c r="V535" s="38"/>
      <c r="W535" s="38"/>
      <c r="X535" s="38"/>
      <c r="Y535" s="38"/>
    </row>
    <row r="536">
      <c r="A536" s="38"/>
      <c r="B536" s="143"/>
      <c r="C536" s="38"/>
      <c r="D536" s="38"/>
      <c r="E536" s="38"/>
      <c r="F536" s="38"/>
      <c r="G536" s="38"/>
      <c r="H536" s="38"/>
      <c r="I536" s="38"/>
      <c r="J536" s="38"/>
      <c r="K536" s="38"/>
      <c r="L536" s="38"/>
      <c r="M536" s="38"/>
      <c r="N536" s="38"/>
      <c r="O536" s="38"/>
      <c r="P536" s="38"/>
      <c r="Q536" s="38"/>
      <c r="R536" s="38"/>
      <c r="S536" s="38"/>
      <c r="T536" s="38"/>
      <c r="U536" s="38"/>
      <c r="V536" s="38"/>
      <c r="W536" s="38"/>
      <c r="X536" s="38"/>
      <c r="Y536" s="38"/>
    </row>
    <row r="537">
      <c r="A537" s="38"/>
      <c r="B537" s="143"/>
      <c r="C537" s="38"/>
      <c r="D537" s="38"/>
      <c r="E537" s="38"/>
      <c r="F537" s="38"/>
      <c r="G537" s="38"/>
      <c r="H537" s="38"/>
      <c r="I537" s="38"/>
      <c r="J537" s="38"/>
      <c r="K537" s="38"/>
      <c r="L537" s="38"/>
      <c r="M537" s="38"/>
      <c r="N537" s="38"/>
      <c r="O537" s="38"/>
      <c r="P537" s="38"/>
      <c r="Q537" s="38"/>
      <c r="R537" s="38"/>
      <c r="S537" s="38"/>
      <c r="T537" s="38"/>
      <c r="U537" s="38"/>
      <c r="V537" s="38"/>
      <c r="W537" s="38"/>
      <c r="X537" s="38"/>
      <c r="Y537" s="38"/>
    </row>
    <row r="538">
      <c r="A538" s="38"/>
      <c r="B538" s="143"/>
      <c r="C538" s="38"/>
      <c r="D538" s="38"/>
      <c r="E538" s="38"/>
      <c r="F538" s="38"/>
      <c r="G538" s="38"/>
      <c r="H538" s="38"/>
      <c r="I538" s="38"/>
      <c r="J538" s="38"/>
      <c r="K538" s="38"/>
      <c r="L538" s="38"/>
      <c r="M538" s="38"/>
      <c r="N538" s="38"/>
      <c r="O538" s="38"/>
      <c r="P538" s="38"/>
      <c r="Q538" s="38"/>
      <c r="R538" s="38"/>
      <c r="S538" s="38"/>
      <c r="T538" s="38"/>
      <c r="U538" s="38"/>
      <c r="V538" s="38"/>
      <c r="W538" s="38"/>
      <c r="X538" s="38"/>
      <c r="Y538" s="38"/>
    </row>
    <row r="539">
      <c r="A539" s="38"/>
      <c r="B539" s="143"/>
      <c r="C539" s="38"/>
      <c r="D539" s="38"/>
      <c r="E539" s="38"/>
      <c r="F539" s="38"/>
      <c r="G539" s="38"/>
      <c r="H539" s="38"/>
      <c r="I539" s="38"/>
      <c r="J539" s="38"/>
      <c r="K539" s="38"/>
      <c r="L539" s="38"/>
      <c r="M539" s="38"/>
      <c r="N539" s="38"/>
      <c r="O539" s="38"/>
      <c r="P539" s="38"/>
      <c r="Q539" s="38"/>
      <c r="R539" s="38"/>
      <c r="S539" s="38"/>
      <c r="T539" s="38"/>
      <c r="U539" s="38"/>
      <c r="V539" s="38"/>
      <c r="W539" s="38"/>
      <c r="X539" s="38"/>
      <c r="Y539" s="38"/>
    </row>
    <row r="540">
      <c r="A540" s="38"/>
      <c r="B540" s="143"/>
      <c r="C540" s="38"/>
      <c r="D540" s="38"/>
      <c r="E540" s="38"/>
      <c r="F540" s="38"/>
      <c r="G540" s="38"/>
      <c r="H540" s="38"/>
      <c r="I540" s="38"/>
      <c r="J540" s="38"/>
      <c r="K540" s="38"/>
      <c r="L540" s="38"/>
      <c r="M540" s="38"/>
      <c r="N540" s="38"/>
      <c r="O540" s="38"/>
      <c r="P540" s="38"/>
      <c r="Q540" s="38"/>
      <c r="R540" s="38"/>
      <c r="S540" s="38"/>
      <c r="T540" s="38"/>
      <c r="U540" s="38"/>
      <c r="V540" s="38"/>
      <c r="W540" s="38"/>
      <c r="X540" s="38"/>
      <c r="Y540" s="38"/>
    </row>
    <row r="541">
      <c r="A541" s="38"/>
      <c r="B541" s="143"/>
      <c r="C541" s="38"/>
      <c r="D541" s="38"/>
      <c r="E541" s="38"/>
      <c r="F541" s="38"/>
      <c r="G541" s="38"/>
      <c r="H541" s="38"/>
      <c r="I541" s="38"/>
      <c r="J541" s="38"/>
      <c r="K541" s="38"/>
      <c r="L541" s="38"/>
      <c r="M541" s="38"/>
      <c r="N541" s="38"/>
      <c r="O541" s="38"/>
      <c r="P541" s="38"/>
      <c r="Q541" s="38"/>
      <c r="R541" s="38"/>
      <c r="S541" s="38"/>
      <c r="T541" s="38"/>
      <c r="U541" s="38"/>
      <c r="V541" s="38"/>
      <c r="W541" s="38"/>
      <c r="X541" s="38"/>
      <c r="Y541" s="38"/>
    </row>
    <row r="542">
      <c r="A542" s="38"/>
      <c r="B542" s="143"/>
      <c r="C542" s="38"/>
      <c r="D542" s="38"/>
      <c r="E542" s="38"/>
      <c r="F542" s="38"/>
      <c r="G542" s="38"/>
      <c r="H542" s="38"/>
      <c r="I542" s="38"/>
      <c r="J542" s="38"/>
      <c r="K542" s="38"/>
      <c r="L542" s="38"/>
      <c r="M542" s="38"/>
      <c r="N542" s="38"/>
      <c r="O542" s="38"/>
      <c r="P542" s="38"/>
      <c r="Q542" s="38"/>
      <c r="R542" s="38"/>
      <c r="S542" s="38"/>
      <c r="T542" s="38"/>
      <c r="U542" s="38"/>
      <c r="V542" s="38"/>
      <c r="W542" s="38"/>
      <c r="X542" s="38"/>
      <c r="Y542" s="38"/>
    </row>
    <row r="543">
      <c r="A543" s="38"/>
      <c r="B543" s="143"/>
      <c r="C543" s="38"/>
      <c r="D543" s="38"/>
      <c r="E543" s="38"/>
      <c r="F543" s="38"/>
      <c r="G543" s="38"/>
      <c r="H543" s="38"/>
      <c r="I543" s="38"/>
      <c r="J543" s="38"/>
      <c r="K543" s="38"/>
      <c r="L543" s="38"/>
      <c r="M543" s="38"/>
      <c r="N543" s="38"/>
      <c r="O543" s="38"/>
      <c r="P543" s="38"/>
      <c r="Q543" s="38"/>
      <c r="R543" s="38"/>
      <c r="S543" s="38"/>
      <c r="T543" s="38"/>
      <c r="U543" s="38"/>
      <c r="V543" s="38"/>
      <c r="W543" s="38"/>
      <c r="X543" s="38"/>
      <c r="Y543" s="38"/>
    </row>
    <row r="544">
      <c r="A544" s="38"/>
      <c r="B544" s="143"/>
      <c r="C544" s="38"/>
      <c r="D544" s="38"/>
      <c r="E544" s="38"/>
      <c r="F544" s="38"/>
      <c r="G544" s="38"/>
      <c r="H544" s="38"/>
      <c r="I544" s="38"/>
      <c r="J544" s="38"/>
      <c r="K544" s="38"/>
      <c r="L544" s="38"/>
      <c r="M544" s="38"/>
      <c r="N544" s="38"/>
      <c r="O544" s="38"/>
      <c r="P544" s="38"/>
      <c r="Q544" s="38"/>
      <c r="R544" s="38"/>
      <c r="S544" s="38"/>
      <c r="T544" s="38"/>
      <c r="U544" s="38"/>
      <c r="V544" s="38"/>
      <c r="W544" s="38"/>
      <c r="X544" s="38"/>
      <c r="Y544" s="38"/>
    </row>
    <row r="545">
      <c r="A545" s="38"/>
      <c r="B545" s="143"/>
      <c r="C545" s="38"/>
      <c r="D545" s="38"/>
      <c r="E545" s="38"/>
      <c r="F545" s="38"/>
      <c r="G545" s="38"/>
      <c r="H545" s="38"/>
      <c r="I545" s="38"/>
      <c r="J545" s="38"/>
      <c r="K545" s="38"/>
      <c r="L545" s="38"/>
      <c r="M545" s="38"/>
      <c r="N545" s="38"/>
      <c r="O545" s="38"/>
      <c r="P545" s="38"/>
      <c r="Q545" s="38"/>
      <c r="R545" s="38"/>
      <c r="S545" s="38"/>
      <c r="T545" s="38"/>
      <c r="U545" s="38"/>
      <c r="V545" s="38"/>
      <c r="W545" s="38"/>
      <c r="X545" s="38"/>
      <c r="Y545" s="38"/>
    </row>
    <row r="546">
      <c r="A546" s="38"/>
      <c r="B546" s="143"/>
      <c r="C546" s="38"/>
      <c r="D546" s="38"/>
      <c r="E546" s="38"/>
      <c r="F546" s="38"/>
      <c r="G546" s="38"/>
      <c r="H546" s="38"/>
      <c r="I546" s="38"/>
      <c r="J546" s="38"/>
      <c r="K546" s="38"/>
      <c r="L546" s="38"/>
      <c r="M546" s="38"/>
      <c r="N546" s="38"/>
      <c r="O546" s="38"/>
      <c r="P546" s="38"/>
      <c r="Q546" s="38"/>
      <c r="R546" s="38"/>
      <c r="S546" s="38"/>
      <c r="T546" s="38"/>
      <c r="U546" s="38"/>
      <c r="V546" s="38"/>
      <c r="W546" s="38"/>
      <c r="X546" s="38"/>
      <c r="Y546" s="38"/>
    </row>
    <row r="547">
      <c r="A547" s="38"/>
      <c r="B547" s="143"/>
      <c r="C547" s="38"/>
      <c r="D547" s="38"/>
      <c r="E547" s="38"/>
      <c r="F547" s="38"/>
      <c r="G547" s="38"/>
      <c r="H547" s="38"/>
      <c r="I547" s="38"/>
      <c r="J547" s="38"/>
      <c r="K547" s="38"/>
      <c r="L547" s="38"/>
      <c r="M547" s="38"/>
      <c r="N547" s="38"/>
      <c r="O547" s="38"/>
      <c r="P547" s="38"/>
      <c r="Q547" s="38"/>
      <c r="R547" s="38"/>
      <c r="S547" s="38"/>
      <c r="T547" s="38"/>
      <c r="U547" s="38"/>
      <c r="V547" s="38"/>
      <c r="W547" s="38"/>
      <c r="X547" s="38"/>
      <c r="Y547" s="38"/>
    </row>
    <row r="548">
      <c r="A548" s="38"/>
      <c r="B548" s="143"/>
      <c r="C548" s="38"/>
      <c r="D548" s="38"/>
      <c r="E548" s="38"/>
      <c r="F548" s="38"/>
      <c r="G548" s="38"/>
      <c r="H548" s="38"/>
      <c r="I548" s="38"/>
      <c r="J548" s="38"/>
      <c r="K548" s="38"/>
      <c r="L548" s="38"/>
      <c r="M548" s="38"/>
      <c r="N548" s="38"/>
      <c r="O548" s="38"/>
      <c r="P548" s="38"/>
      <c r="Q548" s="38"/>
      <c r="R548" s="38"/>
      <c r="S548" s="38"/>
      <c r="T548" s="38"/>
      <c r="U548" s="38"/>
      <c r="V548" s="38"/>
      <c r="W548" s="38"/>
      <c r="X548" s="38"/>
      <c r="Y548" s="38"/>
    </row>
    <row r="549">
      <c r="A549" s="38"/>
      <c r="B549" s="143"/>
      <c r="C549" s="38"/>
      <c r="D549" s="38"/>
      <c r="E549" s="38"/>
      <c r="F549" s="38"/>
      <c r="G549" s="38"/>
      <c r="H549" s="38"/>
      <c r="I549" s="38"/>
      <c r="J549" s="38"/>
      <c r="K549" s="38"/>
      <c r="L549" s="38"/>
      <c r="M549" s="38"/>
      <c r="N549" s="38"/>
      <c r="O549" s="38"/>
      <c r="P549" s="38"/>
      <c r="Q549" s="38"/>
      <c r="R549" s="38"/>
      <c r="S549" s="38"/>
      <c r="T549" s="38"/>
      <c r="U549" s="38"/>
      <c r="V549" s="38"/>
      <c r="W549" s="38"/>
      <c r="X549" s="38"/>
      <c r="Y549" s="38"/>
    </row>
    <row r="550">
      <c r="A550" s="38"/>
      <c r="B550" s="143"/>
      <c r="C550" s="38"/>
      <c r="D550" s="38"/>
      <c r="E550" s="38"/>
      <c r="F550" s="38"/>
      <c r="G550" s="38"/>
      <c r="H550" s="38"/>
      <c r="I550" s="38"/>
      <c r="J550" s="38"/>
      <c r="K550" s="38"/>
      <c r="L550" s="38"/>
      <c r="M550" s="38"/>
      <c r="N550" s="38"/>
      <c r="O550" s="38"/>
      <c r="P550" s="38"/>
      <c r="Q550" s="38"/>
      <c r="R550" s="38"/>
      <c r="S550" s="38"/>
      <c r="T550" s="38"/>
      <c r="U550" s="38"/>
      <c r="V550" s="38"/>
      <c r="W550" s="38"/>
      <c r="X550" s="38"/>
      <c r="Y550" s="38"/>
    </row>
    <row r="551">
      <c r="A551" s="38"/>
      <c r="B551" s="143"/>
      <c r="C551" s="38"/>
      <c r="D551" s="38"/>
      <c r="E551" s="38"/>
      <c r="F551" s="38"/>
      <c r="G551" s="38"/>
      <c r="H551" s="38"/>
      <c r="I551" s="38"/>
      <c r="J551" s="38"/>
      <c r="K551" s="38"/>
      <c r="L551" s="38"/>
      <c r="M551" s="38"/>
      <c r="N551" s="38"/>
      <c r="O551" s="38"/>
      <c r="P551" s="38"/>
      <c r="Q551" s="38"/>
      <c r="R551" s="38"/>
      <c r="S551" s="38"/>
      <c r="T551" s="38"/>
      <c r="U551" s="38"/>
      <c r="V551" s="38"/>
      <c r="W551" s="38"/>
      <c r="X551" s="38"/>
      <c r="Y551" s="38"/>
    </row>
    <row r="552">
      <c r="A552" s="38"/>
      <c r="B552" s="143"/>
      <c r="C552" s="38"/>
      <c r="D552" s="38"/>
      <c r="E552" s="38"/>
      <c r="F552" s="38"/>
      <c r="G552" s="38"/>
      <c r="H552" s="38"/>
      <c r="I552" s="38"/>
      <c r="J552" s="38"/>
      <c r="K552" s="38"/>
      <c r="L552" s="38"/>
      <c r="M552" s="38"/>
      <c r="N552" s="38"/>
      <c r="O552" s="38"/>
      <c r="P552" s="38"/>
      <c r="Q552" s="38"/>
      <c r="R552" s="38"/>
      <c r="S552" s="38"/>
      <c r="T552" s="38"/>
      <c r="U552" s="38"/>
      <c r="V552" s="38"/>
      <c r="W552" s="38"/>
      <c r="X552" s="38"/>
      <c r="Y552" s="38"/>
    </row>
    <row r="553">
      <c r="A553" s="38"/>
      <c r="B553" s="143"/>
      <c r="C553" s="38"/>
      <c r="D553" s="38"/>
      <c r="E553" s="38"/>
      <c r="F553" s="38"/>
      <c r="G553" s="38"/>
      <c r="H553" s="38"/>
      <c r="I553" s="38"/>
      <c r="J553" s="38"/>
      <c r="K553" s="38"/>
      <c r="L553" s="38"/>
      <c r="M553" s="38"/>
      <c r="N553" s="38"/>
      <c r="O553" s="38"/>
      <c r="P553" s="38"/>
      <c r="Q553" s="38"/>
      <c r="R553" s="38"/>
      <c r="S553" s="38"/>
      <c r="T553" s="38"/>
      <c r="U553" s="38"/>
      <c r="V553" s="38"/>
      <c r="W553" s="38"/>
      <c r="X553" s="38"/>
      <c r="Y553" s="38"/>
    </row>
    <row r="554">
      <c r="A554" s="38"/>
      <c r="B554" s="143"/>
      <c r="C554" s="38"/>
      <c r="D554" s="38"/>
      <c r="E554" s="38"/>
      <c r="F554" s="38"/>
      <c r="G554" s="38"/>
      <c r="H554" s="38"/>
      <c r="I554" s="38"/>
      <c r="J554" s="38"/>
      <c r="K554" s="38"/>
      <c r="L554" s="38"/>
      <c r="M554" s="38"/>
      <c r="N554" s="38"/>
      <c r="O554" s="38"/>
      <c r="P554" s="38"/>
      <c r="Q554" s="38"/>
      <c r="R554" s="38"/>
      <c r="S554" s="38"/>
      <c r="T554" s="38"/>
      <c r="U554" s="38"/>
      <c r="V554" s="38"/>
      <c r="W554" s="38"/>
      <c r="X554" s="38"/>
      <c r="Y554" s="38"/>
    </row>
    <row r="555">
      <c r="A555" s="38"/>
      <c r="B555" s="143"/>
      <c r="C555" s="38"/>
      <c r="D555" s="38"/>
      <c r="E555" s="38"/>
      <c r="F555" s="38"/>
      <c r="G555" s="38"/>
      <c r="H555" s="38"/>
      <c r="I555" s="38"/>
      <c r="J555" s="38"/>
      <c r="K555" s="38"/>
      <c r="L555" s="38"/>
      <c r="M555" s="38"/>
      <c r="N555" s="38"/>
      <c r="O555" s="38"/>
      <c r="P555" s="38"/>
      <c r="Q555" s="38"/>
      <c r="R555" s="38"/>
      <c r="S555" s="38"/>
      <c r="T555" s="38"/>
      <c r="U555" s="38"/>
      <c r="V555" s="38"/>
      <c r="W555" s="38"/>
      <c r="X555" s="38"/>
      <c r="Y555" s="38"/>
    </row>
    <row r="556">
      <c r="A556" s="38"/>
      <c r="B556" s="143"/>
      <c r="C556" s="38"/>
      <c r="D556" s="38"/>
      <c r="E556" s="38"/>
      <c r="F556" s="38"/>
      <c r="G556" s="38"/>
      <c r="H556" s="38"/>
      <c r="I556" s="38"/>
      <c r="J556" s="38"/>
      <c r="K556" s="38"/>
      <c r="L556" s="38"/>
      <c r="M556" s="38"/>
      <c r="N556" s="38"/>
      <c r="O556" s="38"/>
      <c r="P556" s="38"/>
      <c r="Q556" s="38"/>
      <c r="R556" s="38"/>
      <c r="S556" s="38"/>
      <c r="T556" s="38"/>
      <c r="U556" s="38"/>
      <c r="V556" s="38"/>
      <c r="W556" s="38"/>
      <c r="X556" s="38"/>
      <c r="Y556" s="38"/>
    </row>
    <row r="557">
      <c r="A557" s="38"/>
      <c r="B557" s="143"/>
      <c r="C557" s="38"/>
      <c r="D557" s="38"/>
      <c r="E557" s="38"/>
      <c r="F557" s="38"/>
      <c r="G557" s="38"/>
      <c r="H557" s="38"/>
      <c r="I557" s="38"/>
      <c r="J557" s="38"/>
      <c r="K557" s="38"/>
      <c r="L557" s="38"/>
      <c r="M557" s="38"/>
      <c r="N557" s="38"/>
      <c r="O557" s="38"/>
      <c r="P557" s="38"/>
      <c r="Q557" s="38"/>
      <c r="R557" s="38"/>
      <c r="S557" s="38"/>
      <c r="T557" s="38"/>
      <c r="U557" s="38"/>
      <c r="V557" s="38"/>
      <c r="W557" s="38"/>
      <c r="X557" s="38"/>
      <c r="Y557" s="38"/>
    </row>
    <row r="558">
      <c r="A558" s="38"/>
      <c r="B558" s="143"/>
      <c r="C558" s="38"/>
      <c r="D558" s="38"/>
      <c r="E558" s="38"/>
      <c r="F558" s="38"/>
      <c r="G558" s="38"/>
      <c r="H558" s="38"/>
      <c r="I558" s="38"/>
      <c r="J558" s="38"/>
      <c r="K558" s="38"/>
      <c r="L558" s="38"/>
      <c r="M558" s="38"/>
      <c r="N558" s="38"/>
      <c r="O558" s="38"/>
      <c r="P558" s="38"/>
      <c r="Q558" s="38"/>
      <c r="R558" s="38"/>
      <c r="S558" s="38"/>
      <c r="T558" s="38"/>
      <c r="U558" s="38"/>
      <c r="V558" s="38"/>
      <c r="W558" s="38"/>
      <c r="X558" s="38"/>
      <c r="Y558" s="38"/>
    </row>
    <row r="559">
      <c r="A559" s="38"/>
      <c r="B559" s="143"/>
      <c r="C559" s="38"/>
      <c r="D559" s="38"/>
      <c r="E559" s="38"/>
      <c r="F559" s="38"/>
      <c r="G559" s="38"/>
      <c r="H559" s="38"/>
      <c r="I559" s="38"/>
      <c r="J559" s="38"/>
      <c r="K559" s="38"/>
      <c r="L559" s="38"/>
      <c r="M559" s="38"/>
      <c r="N559" s="38"/>
      <c r="O559" s="38"/>
      <c r="P559" s="38"/>
      <c r="Q559" s="38"/>
      <c r="R559" s="38"/>
      <c r="S559" s="38"/>
      <c r="T559" s="38"/>
      <c r="U559" s="38"/>
      <c r="V559" s="38"/>
      <c r="W559" s="38"/>
      <c r="X559" s="38"/>
      <c r="Y559" s="38"/>
    </row>
    <row r="560">
      <c r="A560" s="38"/>
      <c r="B560" s="143"/>
      <c r="C560" s="38"/>
      <c r="D560" s="38"/>
      <c r="E560" s="38"/>
      <c r="F560" s="38"/>
      <c r="G560" s="38"/>
      <c r="H560" s="38"/>
      <c r="I560" s="38"/>
      <c r="J560" s="38"/>
      <c r="K560" s="38"/>
      <c r="L560" s="38"/>
      <c r="M560" s="38"/>
      <c r="N560" s="38"/>
      <c r="O560" s="38"/>
      <c r="P560" s="38"/>
      <c r="Q560" s="38"/>
      <c r="R560" s="38"/>
      <c r="S560" s="38"/>
      <c r="T560" s="38"/>
      <c r="U560" s="38"/>
      <c r="V560" s="38"/>
      <c r="W560" s="38"/>
      <c r="X560" s="38"/>
      <c r="Y560" s="38"/>
    </row>
    <row r="561">
      <c r="A561" s="38"/>
      <c r="B561" s="143"/>
      <c r="C561" s="38"/>
      <c r="D561" s="38"/>
      <c r="E561" s="38"/>
      <c r="F561" s="38"/>
      <c r="G561" s="38"/>
      <c r="H561" s="38"/>
      <c r="I561" s="38"/>
      <c r="J561" s="38"/>
      <c r="K561" s="38"/>
      <c r="L561" s="38"/>
      <c r="M561" s="38"/>
      <c r="N561" s="38"/>
      <c r="O561" s="38"/>
      <c r="P561" s="38"/>
      <c r="Q561" s="38"/>
      <c r="R561" s="38"/>
      <c r="S561" s="38"/>
      <c r="T561" s="38"/>
      <c r="U561" s="38"/>
      <c r="V561" s="38"/>
      <c r="W561" s="38"/>
      <c r="X561" s="38"/>
      <c r="Y561" s="38"/>
    </row>
    <row r="562">
      <c r="A562" s="38"/>
      <c r="B562" s="143"/>
      <c r="C562" s="38"/>
      <c r="D562" s="38"/>
      <c r="E562" s="38"/>
      <c r="F562" s="38"/>
      <c r="G562" s="38"/>
      <c r="H562" s="38"/>
      <c r="I562" s="38"/>
      <c r="J562" s="38"/>
      <c r="K562" s="38"/>
      <c r="L562" s="38"/>
      <c r="M562" s="38"/>
      <c r="N562" s="38"/>
      <c r="O562" s="38"/>
      <c r="P562" s="38"/>
      <c r="Q562" s="38"/>
      <c r="R562" s="38"/>
      <c r="S562" s="38"/>
      <c r="T562" s="38"/>
      <c r="U562" s="38"/>
      <c r="V562" s="38"/>
      <c r="W562" s="38"/>
      <c r="X562" s="38"/>
      <c r="Y562" s="38"/>
    </row>
    <row r="563">
      <c r="A563" s="38"/>
      <c r="B563" s="143"/>
      <c r="C563" s="38"/>
      <c r="D563" s="38"/>
      <c r="E563" s="38"/>
      <c r="F563" s="38"/>
      <c r="G563" s="38"/>
      <c r="H563" s="38"/>
      <c r="I563" s="38"/>
      <c r="J563" s="38"/>
      <c r="K563" s="38"/>
      <c r="L563" s="38"/>
      <c r="M563" s="38"/>
      <c r="N563" s="38"/>
      <c r="O563" s="38"/>
      <c r="P563" s="38"/>
      <c r="Q563" s="38"/>
      <c r="R563" s="38"/>
      <c r="S563" s="38"/>
      <c r="T563" s="38"/>
      <c r="U563" s="38"/>
      <c r="V563" s="38"/>
      <c r="W563" s="38"/>
      <c r="X563" s="38"/>
      <c r="Y563" s="38"/>
    </row>
    <row r="564">
      <c r="A564" s="38"/>
      <c r="B564" s="143"/>
      <c r="C564" s="38"/>
      <c r="D564" s="38"/>
      <c r="E564" s="38"/>
      <c r="F564" s="38"/>
      <c r="G564" s="38"/>
      <c r="H564" s="38"/>
      <c r="I564" s="38"/>
      <c r="J564" s="38"/>
      <c r="K564" s="38"/>
      <c r="L564" s="38"/>
      <c r="M564" s="38"/>
      <c r="N564" s="38"/>
      <c r="O564" s="38"/>
      <c r="P564" s="38"/>
      <c r="Q564" s="38"/>
      <c r="R564" s="38"/>
      <c r="S564" s="38"/>
      <c r="T564" s="38"/>
      <c r="U564" s="38"/>
      <c r="V564" s="38"/>
      <c r="W564" s="38"/>
      <c r="X564" s="38"/>
      <c r="Y564" s="38"/>
    </row>
    <row r="565">
      <c r="A565" s="38"/>
      <c r="B565" s="143"/>
      <c r="C565" s="38"/>
      <c r="D565" s="38"/>
      <c r="E565" s="38"/>
      <c r="F565" s="38"/>
      <c r="G565" s="38"/>
      <c r="H565" s="38"/>
      <c r="I565" s="38"/>
      <c r="J565" s="38"/>
      <c r="K565" s="38"/>
      <c r="L565" s="38"/>
      <c r="M565" s="38"/>
      <c r="N565" s="38"/>
      <c r="O565" s="38"/>
      <c r="P565" s="38"/>
      <c r="Q565" s="38"/>
      <c r="R565" s="38"/>
      <c r="S565" s="38"/>
      <c r="T565" s="38"/>
      <c r="U565" s="38"/>
      <c r="V565" s="38"/>
      <c r="W565" s="38"/>
      <c r="X565" s="38"/>
      <c r="Y565" s="38"/>
    </row>
    <row r="566">
      <c r="A566" s="38"/>
      <c r="B566" s="143"/>
      <c r="C566" s="38"/>
      <c r="D566" s="38"/>
      <c r="E566" s="38"/>
      <c r="F566" s="38"/>
      <c r="G566" s="38"/>
      <c r="H566" s="38"/>
      <c r="I566" s="38"/>
      <c r="J566" s="38"/>
      <c r="K566" s="38"/>
      <c r="L566" s="38"/>
      <c r="M566" s="38"/>
      <c r="N566" s="38"/>
      <c r="O566" s="38"/>
      <c r="P566" s="38"/>
      <c r="Q566" s="38"/>
      <c r="R566" s="38"/>
      <c r="S566" s="38"/>
      <c r="T566" s="38"/>
      <c r="U566" s="38"/>
      <c r="V566" s="38"/>
      <c r="W566" s="38"/>
      <c r="X566" s="38"/>
      <c r="Y566" s="38"/>
    </row>
    <row r="567">
      <c r="A567" s="38"/>
      <c r="B567" s="143"/>
      <c r="C567" s="38"/>
      <c r="D567" s="38"/>
      <c r="E567" s="38"/>
      <c r="F567" s="38"/>
      <c r="G567" s="38"/>
      <c r="H567" s="38"/>
      <c r="I567" s="38"/>
      <c r="J567" s="38"/>
      <c r="K567" s="38"/>
      <c r="L567" s="38"/>
      <c r="M567" s="38"/>
      <c r="N567" s="38"/>
      <c r="O567" s="38"/>
      <c r="P567" s="38"/>
      <c r="Q567" s="38"/>
      <c r="R567" s="38"/>
      <c r="S567" s="38"/>
      <c r="T567" s="38"/>
      <c r="U567" s="38"/>
      <c r="V567" s="38"/>
      <c r="W567" s="38"/>
      <c r="X567" s="38"/>
      <c r="Y567" s="38"/>
    </row>
    <row r="568">
      <c r="A568" s="38"/>
      <c r="B568" s="143"/>
      <c r="C568" s="38"/>
      <c r="D568" s="38"/>
      <c r="E568" s="38"/>
      <c r="F568" s="38"/>
      <c r="G568" s="38"/>
      <c r="H568" s="38"/>
      <c r="I568" s="38"/>
      <c r="J568" s="38"/>
      <c r="K568" s="38"/>
      <c r="L568" s="38"/>
      <c r="M568" s="38"/>
      <c r="N568" s="38"/>
      <c r="O568" s="38"/>
      <c r="P568" s="38"/>
      <c r="Q568" s="38"/>
      <c r="R568" s="38"/>
      <c r="S568" s="38"/>
      <c r="T568" s="38"/>
      <c r="U568" s="38"/>
      <c r="V568" s="38"/>
      <c r="W568" s="38"/>
      <c r="X568" s="38"/>
      <c r="Y568" s="38"/>
    </row>
    <row r="569">
      <c r="A569" s="38"/>
      <c r="B569" s="143"/>
      <c r="C569" s="38"/>
      <c r="D569" s="38"/>
      <c r="E569" s="38"/>
      <c r="F569" s="38"/>
      <c r="G569" s="38"/>
      <c r="H569" s="38"/>
      <c r="I569" s="38"/>
      <c r="J569" s="38"/>
      <c r="K569" s="38"/>
      <c r="L569" s="38"/>
      <c r="M569" s="38"/>
      <c r="N569" s="38"/>
      <c r="O569" s="38"/>
      <c r="P569" s="38"/>
      <c r="Q569" s="38"/>
      <c r="R569" s="38"/>
      <c r="S569" s="38"/>
      <c r="T569" s="38"/>
      <c r="U569" s="38"/>
      <c r="V569" s="38"/>
      <c r="W569" s="38"/>
      <c r="X569" s="38"/>
      <c r="Y569" s="38"/>
    </row>
    <row r="570">
      <c r="A570" s="38"/>
      <c r="B570" s="143"/>
      <c r="C570" s="38"/>
      <c r="D570" s="38"/>
      <c r="E570" s="38"/>
      <c r="F570" s="38"/>
      <c r="G570" s="38"/>
      <c r="H570" s="38"/>
      <c r="I570" s="38"/>
      <c r="J570" s="38"/>
      <c r="K570" s="38"/>
      <c r="L570" s="38"/>
      <c r="M570" s="38"/>
      <c r="N570" s="38"/>
      <c r="O570" s="38"/>
      <c r="P570" s="38"/>
      <c r="Q570" s="38"/>
      <c r="R570" s="38"/>
      <c r="S570" s="38"/>
      <c r="T570" s="38"/>
      <c r="U570" s="38"/>
      <c r="V570" s="38"/>
      <c r="W570" s="38"/>
      <c r="X570" s="38"/>
      <c r="Y570" s="38"/>
    </row>
    <row r="571">
      <c r="A571" s="38"/>
      <c r="B571" s="143"/>
      <c r="C571" s="38"/>
      <c r="D571" s="38"/>
      <c r="E571" s="38"/>
      <c r="F571" s="38"/>
      <c r="G571" s="38"/>
      <c r="H571" s="38"/>
      <c r="I571" s="38"/>
      <c r="J571" s="38"/>
      <c r="K571" s="38"/>
      <c r="L571" s="38"/>
      <c r="M571" s="38"/>
      <c r="N571" s="38"/>
      <c r="O571" s="38"/>
      <c r="P571" s="38"/>
      <c r="Q571" s="38"/>
      <c r="R571" s="38"/>
      <c r="S571" s="38"/>
      <c r="T571" s="38"/>
      <c r="U571" s="38"/>
      <c r="V571" s="38"/>
      <c r="W571" s="38"/>
      <c r="X571" s="38"/>
      <c r="Y571" s="38"/>
    </row>
    <row r="572">
      <c r="A572" s="38"/>
      <c r="B572" s="143"/>
      <c r="C572" s="38"/>
      <c r="D572" s="38"/>
      <c r="E572" s="38"/>
      <c r="F572" s="38"/>
      <c r="G572" s="38"/>
      <c r="H572" s="38"/>
      <c r="I572" s="38"/>
      <c r="J572" s="38"/>
      <c r="K572" s="38"/>
      <c r="L572" s="38"/>
      <c r="M572" s="38"/>
      <c r="N572" s="38"/>
      <c r="O572" s="38"/>
      <c r="P572" s="38"/>
      <c r="Q572" s="38"/>
      <c r="R572" s="38"/>
      <c r="S572" s="38"/>
      <c r="T572" s="38"/>
      <c r="U572" s="38"/>
      <c r="V572" s="38"/>
      <c r="W572" s="38"/>
      <c r="X572" s="38"/>
      <c r="Y572" s="38"/>
    </row>
    <row r="573">
      <c r="A573" s="38"/>
      <c r="B573" s="143"/>
      <c r="C573" s="38"/>
      <c r="D573" s="38"/>
      <c r="E573" s="38"/>
      <c r="F573" s="38"/>
      <c r="G573" s="38"/>
      <c r="H573" s="38"/>
      <c r="I573" s="38"/>
      <c r="J573" s="38"/>
      <c r="K573" s="38"/>
      <c r="L573" s="38"/>
      <c r="M573" s="38"/>
      <c r="N573" s="38"/>
      <c r="O573" s="38"/>
      <c r="P573" s="38"/>
      <c r="Q573" s="38"/>
      <c r="R573" s="38"/>
      <c r="S573" s="38"/>
      <c r="T573" s="38"/>
      <c r="U573" s="38"/>
      <c r="V573" s="38"/>
      <c r="W573" s="38"/>
      <c r="X573" s="38"/>
      <c r="Y573" s="38"/>
    </row>
    <row r="574">
      <c r="A574" s="38"/>
      <c r="B574" s="143"/>
      <c r="C574" s="38"/>
      <c r="D574" s="38"/>
      <c r="E574" s="38"/>
      <c r="F574" s="38"/>
      <c r="G574" s="38"/>
      <c r="H574" s="38"/>
      <c r="I574" s="38"/>
      <c r="J574" s="38"/>
      <c r="K574" s="38"/>
      <c r="L574" s="38"/>
      <c r="M574" s="38"/>
      <c r="N574" s="38"/>
      <c r="O574" s="38"/>
      <c r="P574" s="38"/>
      <c r="Q574" s="38"/>
      <c r="R574" s="38"/>
      <c r="S574" s="38"/>
      <c r="T574" s="38"/>
      <c r="U574" s="38"/>
      <c r="V574" s="38"/>
      <c r="W574" s="38"/>
      <c r="X574" s="38"/>
      <c r="Y574" s="38"/>
    </row>
    <row r="575">
      <c r="A575" s="38"/>
      <c r="B575" s="143"/>
      <c r="C575" s="38"/>
      <c r="D575" s="38"/>
      <c r="E575" s="38"/>
      <c r="F575" s="38"/>
      <c r="G575" s="38"/>
      <c r="H575" s="38"/>
      <c r="I575" s="38"/>
      <c r="J575" s="38"/>
      <c r="K575" s="38"/>
      <c r="L575" s="38"/>
      <c r="M575" s="38"/>
      <c r="N575" s="38"/>
      <c r="O575" s="38"/>
      <c r="P575" s="38"/>
      <c r="Q575" s="38"/>
      <c r="R575" s="38"/>
      <c r="S575" s="38"/>
      <c r="T575" s="38"/>
      <c r="U575" s="38"/>
      <c r="V575" s="38"/>
      <c r="W575" s="38"/>
      <c r="X575" s="38"/>
      <c r="Y575" s="38"/>
    </row>
    <row r="576">
      <c r="A576" s="38"/>
      <c r="B576" s="143"/>
      <c r="C576" s="38"/>
      <c r="D576" s="38"/>
      <c r="E576" s="38"/>
      <c r="F576" s="38"/>
      <c r="G576" s="38"/>
      <c r="H576" s="38"/>
      <c r="I576" s="38"/>
      <c r="J576" s="38"/>
      <c r="K576" s="38"/>
      <c r="L576" s="38"/>
      <c r="M576" s="38"/>
      <c r="N576" s="38"/>
      <c r="O576" s="38"/>
      <c r="P576" s="38"/>
      <c r="Q576" s="38"/>
      <c r="R576" s="38"/>
      <c r="S576" s="38"/>
      <c r="T576" s="38"/>
      <c r="U576" s="38"/>
      <c r="V576" s="38"/>
      <c r="W576" s="38"/>
      <c r="X576" s="38"/>
      <c r="Y576" s="38"/>
    </row>
    <row r="577">
      <c r="A577" s="38"/>
      <c r="B577" s="143"/>
      <c r="C577" s="38"/>
      <c r="D577" s="38"/>
      <c r="E577" s="38"/>
      <c r="F577" s="38"/>
      <c r="G577" s="38"/>
      <c r="H577" s="38"/>
      <c r="I577" s="38"/>
      <c r="J577" s="38"/>
      <c r="K577" s="38"/>
      <c r="L577" s="38"/>
      <c r="M577" s="38"/>
      <c r="N577" s="38"/>
      <c r="O577" s="38"/>
      <c r="P577" s="38"/>
      <c r="Q577" s="38"/>
      <c r="R577" s="38"/>
      <c r="S577" s="38"/>
      <c r="T577" s="38"/>
      <c r="U577" s="38"/>
      <c r="V577" s="38"/>
      <c r="W577" s="38"/>
      <c r="X577" s="38"/>
      <c r="Y577" s="38"/>
    </row>
    <row r="578">
      <c r="A578" s="38"/>
      <c r="B578" s="143"/>
      <c r="C578" s="38"/>
      <c r="D578" s="38"/>
      <c r="E578" s="38"/>
      <c r="F578" s="38"/>
      <c r="G578" s="38"/>
      <c r="H578" s="38"/>
      <c r="I578" s="38"/>
      <c r="J578" s="38"/>
      <c r="K578" s="38"/>
      <c r="L578" s="38"/>
      <c r="M578" s="38"/>
      <c r="N578" s="38"/>
      <c r="O578" s="38"/>
      <c r="P578" s="38"/>
      <c r="Q578" s="38"/>
      <c r="R578" s="38"/>
      <c r="S578" s="38"/>
      <c r="T578" s="38"/>
      <c r="U578" s="38"/>
      <c r="V578" s="38"/>
      <c r="W578" s="38"/>
      <c r="X578" s="38"/>
      <c r="Y578" s="38"/>
    </row>
    <row r="579">
      <c r="A579" s="38"/>
      <c r="B579" s="143"/>
      <c r="C579" s="38"/>
      <c r="D579" s="38"/>
      <c r="E579" s="38"/>
      <c r="F579" s="38"/>
      <c r="G579" s="38"/>
      <c r="H579" s="38"/>
      <c r="I579" s="38"/>
      <c r="J579" s="38"/>
      <c r="K579" s="38"/>
      <c r="L579" s="38"/>
      <c r="M579" s="38"/>
      <c r="N579" s="38"/>
      <c r="O579" s="38"/>
      <c r="P579" s="38"/>
      <c r="Q579" s="38"/>
      <c r="R579" s="38"/>
      <c r="S579" s="38"/>
      <c r="T579" s="38"/>
      <c r="U579" s="38"/>
      <c r="V579" s="38"/>
      <c r="W579" s="38"/>
      <c r="X579" s="38"/>
      <c r="Y579" s="38"/>
    </row>
    <row r="580">
      <c r="A580" s="38"/>
      <c r="B580" s="143"/>
      <c r="C580" s="38"/>
      <c r="D580" s="38"/>
      <c r="E580" s="38"/>
      <c r="F580" s="38"/>
      <c r="G580" s="38"/>
      <c r="H580" s="38"/>
      <c r="I580" s="38"/>
      <c r="J580" s="38"/>
      <c r="K580" s="38"/>
      <c r="L580" s="38"/>
      <c r="M580" s="38"/>
      <c r="N580" s="38"/>
      <c r="O580" s="38"/>
      <c r="P580" s="38"/>
      <c r="Q580" s="38"/>
      <c r="R580" s="38"/>
      <c r="S580" s="38"/>
      <c r="T580" s="38"/>
      <c r="U580" s="38"/>
      <c r="V580" s="38"/>
      <c r="W580" s="38"/>
      <c r="X580" s="38"/>
      <c r="Y580" s="38"/>
    </row>
    <row r="581">
      <c r="A581" s="38"/>
      <c r="B581" s="143"/>
      <c r="C581" s="38"/>
      <c r="D581" s="38"/>
      <c r="E581" s="38"/>
      <c r="F581" s="38"/>
      <c r="G581" s="38"/>
      <c r="H581" s="38"/>
      <c r="I581" s="38"/>
      <c r="J581" s="38"/>
      <c r="K581" s="38"/>
      <c r="L581" s="38"/>
      <c r="M581" s="38"/>
      <c r="N581" s="38"/>
      <c r="O581" s="38"/>
      <c r="P581" s="38"/>
      <c r="Q581" s="38"/>
      <c r="R581" s="38"/>
      <c r="S581" s="38"/>
      <c r="T581" s="38"/>
      <c r="U581" s="38"/>
      <c r="V581" s="38"/>
      <c r="W581" s="38"/>
      <c r="X581" s="38"/>
      <c r="Y581" s="38"/>
    </row>
    <row r="582">
      <c r="A582" s="38"/>
      <c r="B582" s="143"/>
      <c r="C582" s="38"/>
      <c r="D582" s="38"/>
      <c r="E582" s="38"/>
      <c r="F582" s="38"/>
      <c r="G582" s="38"/>
      <c r="H582" s="38"/>
      <c r="I582" s="38"/>
      <c r="J582" s="38"/>
      <c r="K582" s="38"/>
      <c r="L582" s="38"/>
      <c r="M582" s="38"/>
      <c r="N582" s="38"/>
      <c r="O582" s="38"/>
      <c r="P582" s="38"/>
      <c r="Q582" s="38"/>
      <c r="R582" s="38"/>
      <c r="S582" s="38"/>
      <c r="T582" s="38"/>
      <c r="U582" s="38"/>
      <c r="V582" s="38"/>
      <c r="W582" s="38"/>
      <c r="X582" s="38"/>
      <c r="Y582" s="38"/>
    </row>
    <row r="583">
      <c r="A583" s="38"/>
      <c r="B583" s="143"/>
      <c r="C583" s="38"/>
      <c r="D583" s="38"/>
      <c r="E583" s="38"/>
      <c r="F583" s="38"/>
      <c r="G583" s="38"/>
      <c r="H583" s="38"/>
      <c r="I583" s="38"/>
      <c r="J583" s="38"/>
      <c r="K583" s="38"/>
      <c r="L583" s="38"/>
      <c r="M583" s="38"/>
      <c r="N583" s="38"/>
      <c r="O583" s="38"/>
      <c r="P583" s="38"/>
      <c r="Q583" s="38"/>
      <c r="R583" s="38"/>
      <c r="S583" s="38"/>
      <c r="T583" s="38"/>
      <c r="U583" s="38"/>
      <c r="V583" s="38"/>
      <c r="W583" s="38"/>
      <c r="X583" s="38"/>
      <c r="Y583" s="38"/>
    </row>
    <row r="584">
      <c r="A584" s="38"/>
      <c r="B584" s="143"/>
      <c r="C584" s="38"/>
      <c r="D584" s="38"/>
      <c r="E584" s="38"/>
      <c r="F584" s="38"/>
      <c r="G584" s="38"/>
      <c r="H584" s="38"/>
      <c r="I584" s="38"/>
      <c r="J584" s="38"/>
      <c r="K584" s="38"/>
      <c r="L584" s="38"/>
      <c r="M584" s="38"/>
      <c r="N584" s="38"/>
      <c r="O584" s="38"/>
      <c r="P584" s="38"/>
      <c r="Q584" s="38"/>
      <c r="R584" s="38"/>
      <c r="S584" s="38"/>
      <c r="T584" s="38"/>
      <c r="U584" s="38"/>
      <c r="V584" s="38"/>
      <c r="W584" s="38"/>
      <c r="X584" s="38"/>
      <c r="Y584" s="38"/>
    </row>
    <row r="585">
      <c r="A585" s="38"/>
      <c r="B585" s="143"/>
      <c r="C585" s="38"/>
      <c r="D585" s="38"/>
      <c r="E585" s="38"/>
      <c r="F585" s="38"/>
      <c r="G585" s="38"/>
      <c r="H585" s="38"/>
      <c r="I585" s="38"/>
      <c r="J585" s="38"/>
      <c r="K585" s="38"/>
      <c r="L585" s="38"/>
      <c r="M585" s="38"/>
      <c r="N585" s="38"/>
      <c r="O585" s="38"/>
      <c r="P585" s="38"/>
      <c r="Q585" s="38"/>
      <c r="R585" s="38"/>
      <c r="S585" s="38"/>
      <c r="T585" s="38"/>
      <c r="U585" s="38"/>
      <c r="V585" s="38"/>
      <c r="W585" s="38"/>
      <c r="X585" s="38"/>
      <c r="Y585" s="38"/>
    </row>
    <row r="586">
      <c r="A586" s="38"/>
      <c r="B586" s="143"/>
      <c r="C586" s="38"/>
      <c r="D586" s="38"/>
      <c r="E586" s="38"/>
      <c r="F586" s="38"/>
      <c r="G586" s="38"/>
      <c r="H586" s="38"/>
      <c r="I586" s="38"/>
      <c r="J586" s="38"/>
      <c r="K586" s="38"/>
      <c r="L586" s="38"/>
      <c r="M586" s="38"/>
      <c r="N586" s="38"/>
      <c r="O586" s="38"/>
      <c r="P586" s="38"/>
      <c r="Q586" s="38"/>
      <c r="R586" s="38"/>
      <c r="S586" s="38"/>
      <c r="T586" s="38"/>
      <c r="U586" s="38"/>
      <c r="V586" s="38"/>
      <c r="W586" s="38"/>
      <c r="X586" s="38"/>
      <c r="Y586" s="38"/>
    </row>
    <row r="587">
      <c r="A587" s="38"/>
      <c r="B587" s="143"/>
      <c r="C587" s="38"/>
      <c r="D587" s="38"/>
      <c r="E587" s="38"/>
      <c r="F587" s="38"/>
      <c r="G587" s="38"/>
      <c r="H587" s="38"/>
      <c r="I587" s="38"/>
      <c r="J587" s="38"/>
      <c r="K587" s="38"/>
      <c r="L587" s="38"/>
      <c r="M587" s="38"/>
      <c r="N587" s="38"/>
      <c r="O587" s="38"/>
      <c r="P587" s="38"/>
      <c r="Q587" s="38"/>
      <c r="R587" s="38"/>
      <c r="S587" s="38"/>
      <c r="T587" s="38"/>
      <c r="U587" s="38"/>
      <c r="V587" s="38"/>
      <c r="W587" s="38"/>
      <c r="X587" s="38"/>
      <c r="Y587" s="38"/>
    </row>
    <row r="588">
      <c r="A588" s="38"/>
      <c r="B588" s="143"/>
      <c r="C588" s="38"/>
      <c r="D588" s="38"/>
      <c r="E588" s="38"/>
      <c r="F588" s="38"/>
      <c r="G588" s="38"/>
      <c r="H588" s="38"/>
      <c r="I588" s="38"/>
      <c r="J588" s="38"/>
      <c r="K588" s="38"/>
      <c r="L588" s="38"/>
      <c r="M588" s="38"/>
      <c r="N588" s="38"/>
      <c r="O588" s="38"/>
      <c r="P588" s="38"/>
      <c r="Q588" s="38"/>
      <c r="R588" s="38"/>
      <c r="S588" s="38"/>
      <c r="T588" s="38"/>
      <c r="U588" s="38"/>
      <c r="V588" s="38"/>
      <c r="W588" s="38"/>
      <c r="X588" s="38"/>
      <c r="Y588" s="38"/>
    </row>
    <row r="589">
      <c r="A589" s="38"/>
      <c r="B589" s="143"/>
      <c r="C589" s="38"/>
      <c r="D589" s="38"/>
      <c r="E589" s="38"/>
      <c r="F589" s="38"/>
      <c r="G589" s="38"/>
      <c r="H589" s="38"/>
      <c r="I589" s="38"/>
      <c r="J589" s="38"/>
      <c r="K589" s="38"/>
      <c r="L589" s="38"/>
      <c r="M589" s="38"/>
      <c r="N589" s="38"/>
      <c r="O589" s="38"/>
      <c r="P589" s="38"/>
      <c r="Q589" s="38"/>
      <c r="R589" s="38"/>
      <c r="S589" s="38"/>
      <c r="T589" s="38"/>
      <c r="U589" s="38"/>
      <c r="V589" s="38"/>
      <c r="W589" s="38"/>
      <c r="X589" s="38"/>
      <c r="Y589" s="38"/>
    </row>
    <row r="590">
      <c r="A590" s="38"/>
      <c r="B590" s="143"/>
      <c r="C590" s="38"/>
      <c r="D590" s="38"/>
      <c r="E590" s="38"/>
      <c r="F590" s="38"/>
      <c r="G590" s="38"/>
      <c r="H590" s="38"/>
      <c r="I590" s="38"/>
      <c r="J590" s="38"/>
      <c r="K590" s="38"/>
      <c r="L590" s="38"/>
      <c r="M590" s="38"/>
      <c r="N590" s="38"/>
      <c r="O590" s="38"/>
      <c r="P590" s="38"/>
      <c r="Q590" s="38"/>
      <c r="R590" s="38"/>
      <c r="S590" s="38"/>
      <c r="T590" s="38"/>
      <c r="U590" s="38"/>
      <c r="V590" s="38"/>
      <c r="W590" s="38"/>
      <c r="X590" s="38"/>
      <c r="Y590" s="38"/>
    </row>
    <row r="591">
      <c r="A591" s="38"/>
      <c r="B591" s="143"/>
      <c r="C591" s="38"/>
      <c r="D591" s="38"/>
      <c r="E591" s="38"/>
      <c r="F591" s="38"/>
      <c r="G591" s="38"/>
      <c r="H591" s="38"/>
      <c r="I591" s="38"/>
      <c r="J591" s="38"/>
      <c r="K591" s="38"/>
      <c r="L591" s="38"/>
      <c r="M591" s="38"/>
      <c r="N591" s="38"/>
      <c r="O591" s="38"/>
      <c r="P591" s="38"/>
      <c r="Q591" s="38"/>
      <c r="R591" s="38"/>
      <c r="S591" s="38"/>
      <c r="T591" s="38"/>
      <c r="U591" s="38"/>
      <c r="V591" s="38"/>
      <c r="W591" s="38"/>
      <c r="X591" s="38"/>
      <c r="Y591" s="38"/>
    </row>
    <row r="592">
      <c r="A592" s="38"/>
      <c r="B592" s="143"/>
      <c r="C592" s="38"/>
      <c r="D592" s="38"/>
      <c r="E592" s="38"/>
      <c r="F592" s="38"/>
      <c r="G592" s="38"/>
      <c r="H592" s="38"/>
      <c r="I592" s="38"/>
      <c r="J592" s="38"/>
      <c r="K592" s="38"/>
      <c r="L592" s="38"/>
      <c r="M592" s="38"/>
      <c r="N592" s="38"/>
      <c r="O592" s="38"/>
      <c r="P592" s="38"/>
      <c r="Q592" s="38"/>
      <c r="R592" s="38"/>
      <c r="S592" s="38"/>
      <c r="T592" s="38"/>
      <c r="U592" s="38"/>
      <c r="V592" s="38"/>
      <c r="W592" s="38"/>
      <c r="X592" s="38"/>
      <c r="Y592" s="38"/>
    </row>
    <row r="593">
      <c r="A593" s="38"/>
      <c r="B593" s="143"/>
      <c r="C593" s="38"/>
      <c r="D593" s="38"/>
      <c r="E593" s="38"/>
      <c r="F593" s="38"/>
      <c r="G593" s="38"/>
      <c r="H593" s="38"/>
      <c r="I593" s="38"/>
      <c r="J593" s="38"/>
      <c r="K593" s="38"/>
      <c r="L593" s="38"/>
      <c r="M593" s="38"/>
      <c r="N593" s="38"/>
      <c r="O593" s="38"/>
      <c r="P593" s="38"/>
      <c r="Q593" s="38"/>
      <c r="R593" s="38"/>
      <c r="S593" s="38"/>
      <c r="T593" s="38"/>
      <c r="U593" s="38"/>
      <c r="V593" s="38"/>
      <c r="W593" s="38"/>
      <c r="X593" s="38"/>
      <c r="Y593" s="38"/>
    </row>
    <row r="594">
      <c r="A594" s="38"/>
      <c r="B594" s="143"/>
      <c r="C594" s="38"/>
      <c r="D594" s="38"/>
      <c r="E594" s="38"/>
      <c r="F594" s="38"/>
      <c r="G594" s="38"/>
      <c r="H594" s="38"/>
      <c r="I594" s="38"/>
      <c r="J594" s="38"/>
      <c r="K594" s="38"/>
      <c r="L594" s="38"/>
      <c r="M594" s="38"/>
      <c r="N594" s="38"/>
      <c r="O594" s="38"/>
      <c r="P594" s="38"/>
      <c r="Q594" s="38"/>
      <c r="R594" s="38"/>
      <c r="S594" s="38"/>
      <c r="T594" s="38"/>
      <c r="U594" s="38"/>
      <c r="V594" s="38"/>
      <c r="W594" s="38"/>
      <c r="X594" s="38"/>
      <c r="Y594" s="38"/>
    </row>
    <row r="595">
      <c r="A595" s="38"/>
      <c r="B595" s="143"/>
      <c r="C595" s="38"/>
      <c r="D595" s="38"/>
      <c r="E595" s="38"/>
      <c r="F595" s="38"/>
      <c r="G595" s="38"/>
      <c r="H595" s="38"/>
      <c r="I595" s="38"/>
      <c r="J595" s="38"/>
      <c r="K595" s="38"/>
      <c r="L595" s="38"/>
      <c r="M595" s="38"/>
      <c r="N595" s="38"/>
      <c r="O595" s="38"/>
      <c r="P595" s="38"/>
      <c r="Q595" s="38"/>
      <c r="R595" s="38"/>
      <c r="S595" s="38"/>
      <c r="T595" s="38"/>
      <c r="U595" s="38"/>
      <c r="V595" s="38"/>
      <c r="W595" s="38"/>
      <c r="X595" s="38"/>
      <c r="Y595" s="38"/>
    </row>
    <row r="596">
      <c r="A596" s="38"/>
      <c r="B596" s="143"/>
      <c r="C596" s="38"/>
      <c r="D596" s="38"/>
      <c r="E596" s="38"/>
      <c r="F596" s="38"/>
      <c r="G596" s="38"/>
      <c r="H596" s="38"/>
      <c r="I596" s="38"/>
      <c r="J596" s="38"/>
      <c r="K596" s="38"/>
      <c r="L596" s="38"/>
      <c r="M596" s="38"/>
      <c r="N596" s="38"/>
      <c r="O596" s="38"/>
      <c r="P596" s="38"/>
      <c r="Q596" s="38"/>
      <c r="R596" s="38"/>
      <c r="S596" s="38"/>
      <c r="T596" s="38"/>
      <c r="U596" s="38"/>
      <c r="V596" s="38"/>
      <c r="W596" s="38"/>
      <c r="X596" s="38"/>
      <c r="Y596" s="38"/>
    </row>
    <row r="597">
      <c r="A597" s="38"/>
      <c r="B597" s="143"/>
      <c r="C597" s="38"/>
      <c r="D597" s="38"/>
      <c r="E597" s="38"/>
      <c r="F597" s="38"/>
      <c r="G597" s="38"/>
      <c r="H597" s="38"/>
      <c r="I597" s="38"/>
      <c r="J597" s="38"/>
      <c r="K597" s="38"/>
      <c r="L597" s="38"/>
      <c r="M597" s="38"/>
      <c r="N597" s="38"/>
      <c r="O597" s="38"/>
      <c r="P597" s="38"/>
      <c r="Q597" s="38"/>
      <c r="R597" s="38"/>
      <c r="S597" s="38"/>
      <c r="T597" s="38"/>
      <c r="U597" s="38"/>
      <c r="V597" s="38"/>
      <c r="W597" s="38"/>
      <c r="X597" s="38"/>
      <c r="Y597" s="38"/>
    </row>
    <row r="598">
      <c r="A598" s="38"/>
      <c r="B598" s="143"/>
      <c r="C598" s="38"/>
      <c r="D598" s="38"/>
      <c r="E598" s="38"/>
      <c r="F598" s="38"/>
      <c r="G598" s="38"/>
      <c r="H598" s="38"/>
      <c r="I598" s="38"/>
      <c r="J598" s="38"/>
      <c r="K598" s="38"/>
      <c r="L598" s="38"/>
      <c r="M598" s="38"/>
      <c r="N598" s="38"/>
      <c r="O598" s="38"/>
      <c r="P598" s="38"/>
      <c r="Q598" s="38"/>
      <c r="R598" s="38"/>
      <c r="S598" s="38"/>
      <c r="T598" s="38"/>
      <c r="U598" s="38"/>
      <c r="V598" s="38"/>
      <c r="W598" s="38"/>
      <c r="X598" s="38"/>
      <c r="Y598" s="38"/>
    </row>
    <row r="599">
      <c r="A599" s="38"/>
      <c r="B599" s="143"/>
      <c r="C599" s="38"/>
      <c r="D599" s="38"/>
      <c r="E599" s="38"/>
      <c r="F599" s="38"/>
      <c r="G599" s="38"/>
      <c r="H599" s="38"/>
      <c r="I599" s="38"/>
      <c r="J599" s="38"/>
      <c r="K599" s="38"/>
      <c r="L599" s="38"/>
      <c r="M599" s="38"/>
      <c r="N599" s="38"/>
      <c r="O599" s="38"/>
      <c r="P599" s="38"/>
      <c r="Q599" s="38"/>
      <c r="R599" s="38"/>
      <c r="S599" s="38"/>
      <c r="T599" s="38"/>
      <c r="U599" s="38"/>
      <c r="V599" s="38"/>
      <c r="W599" s="38"/>
      <c r="X599" s="38"/>
      <c r="Y599" s="38"/>
    </row>
    <row r="600">
      <c r="A600" s="38"/>
      <c r="B600" s="143"/>
      <c r="C600" s="38"/>
      <c r="D600" s="38"/>
      <c r="E600" s="38"/>
      <c r="F600" s="38"/>
      <c r="G600" s="38"/>
      <c r="H600" s="38"/>
      <c r="I600" s="38"/>
      <c r="J600" s="38"/>
      <c r="K600" s="38"/>
      <c r="L600" s="38"/>
      <c r="M600" s="38"/>
      <c r="N600" s="38"/>
      <c r="O600" s="38"/>
      <c r="P600" s="38"/>
      <c r="Q600" s="38"/>
      <c r="R600" s="38"/>
      <c r="S600" s="38"/>
      <c r="T600" s="38"/>
      <c r="U600" s="38"/>
      <c r="V600" s="38"/>
      <c r="W600" s="38"/>
      <c r="X600" s="38"/>
      <c r="Y600" s="38"/>
    </row>
    <row r="601">
      <c r="A601" s="38"/>
      <c r="B601" s="143"/>
      <c r="C601" s="38"/>
      <c r="D601" s="38"/>
      <c r="E601" s="38"/>
      <c r="F601" s="38"/>
      <c r="G601" s="38"/>
      <c r="H601" s="38"/>
      <c r="I601" s="38"/>
      <c r="J601" s="38"/>
      <c r="K601" s="38"/>
      <c r="L601" s="38"/>
      <c r="M601" s="38"/>
      <c r="N601" s="38"/>
      <c r="O601" s="38"/>
      <c r="P601" s="38"/>
      <c r="Q601" s="38"/>
      <c r="R601" s="38"/>
      <c r="S601" s="38"/>
      <c r="T601" s="38"/>
      <c r="U601" s="38"/>
      <c r="V601" s="38"/>
      <c r="W601" s="38"/>
      <c r="X601" s="38"/>
      <c r="Y601" s="38"/>
    </row>
    <row r="602">
      <c r="A602" s="38"/>
      <c r="B602" s="143"/>
      <c r="C602" s="38"/>
      <c r="D602" s="38"/>
      <c r="E602" s="38"/>
      <c r="F602" s="38"/>
      <c r="G602" s="38"/>
      <c r="H602" s="38"/>
      <c r="I602" s="38"/>
      <c r="J602" s="38"/>
      <c r="K602" s="38"/>
      <c r="L602" s="38"/>
      <c r="M602" s="38"/>
      <c r="N602" s="38"/>
      <c r="O602" s="38"/>
      <c r="P602" s="38"/>
      <c r="Q602" s="38"/>
      <c r="R602" s="38"/>
      <c r="S602" s="38"/>
      <c r="T602" s="38"/>
      <c r="U602" s="38"/>
      <c r="V602" s="38"/>
      <c r="W602" s="38"/>
      <c r="X602" s="38"/>
      <c r="Y602" s="38"/>
    </row>
    <row r="603">
      <c r="A603" s="38"/>
      <c r="B603" s="143"/>
      <c r="C603" s="38"/>
      <c r="D603" s="38"/>
      <c r="E603" s="38"/>
      <c r="F603" s="38"/>
      <c r="G603" s="38"/>
      <c r="H603" s="38"/>
      <c r="I603" s="38"/>
      <c r="J603" s="38"/>
      <c r="K603" s="38"/>
      <c r="L603" s="38"/>
      <c r="M603" s="38"/>
      <c r="N603" s="38"/>
      <c r="O603" s="38"/>
      <c r="P603" s="38"/>
      <c r="Q603" s="38"/>
      <c r="R603" s="38"/>
      <c r="S603" s="38"/>
      <c r="T603" s="38"/>
      <c r="U603" s="38"/>
      <c r="V603" s="38"/>
      <c r="W603" s="38"/>
      <c r="X603" s="38"/>
      <c r="Y603" s="38"/>
    </row>
    <row r="604">
      <c r="A604" s="38"/>
      <c r="B604" s="143"/>
      <c r="C604" s="38"/>
      <c r="D604" s="38"/>
      <c r="E604" s="38"/>
      <c r="F604" s="38"/>
      <c r="G604" s="38"/>
      <c r="H604" s="38"/>
      <c r="I604" s="38"/>
      <c r="J604" s="38"/>
      <c r="K604" s="38"/>
      <c r="L604" s="38"/>
      <c r="M604" s="38"/>
      <c r="N604" s="38"/>
      <c r="O604" s="38"/>
      <c r="P604" s="38"/>
      <c r="Q604" s="38"/>
      <c r="R604" s="38"/>
      <c r="S604" s="38"/>
      <c r="T604" s="38"/>
      <c r="U604" s="38"/>
      <c r="V604" s="38"/>
      <c r="W604" s="38"/>
      <c r="X604" s="38"/>
      <c r="Y604" s="38"/>
    </row>
    <row r="605">
      <c r="A605" s="38"/>
      <c r="B605" s="143"/>
      <c r="C605" s="38"/>
      <c r="D605" s="38"/>
      <c r="E605" s="38"/>
      <c r="F605" s="38"/>
      <c r="G605" s="38"/>
      <c r="H605" s="38"/>
      <c r="I605" s="38"/>
      <c r="J605" s="38"/>
      <c r="K605" s="38"/>
      <c r="L605" s="38"/>
      <c r="M605" s="38"/>
      <c r="N605" s="38"/>
      <c r="O605" s="38"/>
      <c r="P605" s="38"/>
      <c r="Q605" s="38"/>
      <c r="R605" s="38"/>
      <c r="S605" s="38"/>
      <c r="T605" s="38"/>
      <c r="U605" s="38"/>
      <c r="V605" s="38"/>
      <c r="W605" s="38"/>
      <c r="X605" s="38"/>
      <c r="Y605" s="38"/>
    </row>
    <row r="606">
      <c r="A606" s="38"/>
      <c r="B606" s="143"/>
      <c r="C606" s="38"/>
      <c r="D606" s="38"/>
      <c r="E606" s="38"/>
      <c r="F606" s="38"/>
      <c r="G606" s="38"/>
      <c r="H606" s="38"/>
      <c r="I606" s="38"/>
      <c r="J606" s="38"/>
      <c r="K606" s="38"/>
      <c r="L606" s="38"/>
      <c r="M606" s="38"/>
      <c r="N606" s="38"/>
      <c r="O606" s="38"/>
      <c r="P606" s="38"/>
      <c r="Q606" s="38"/>
      <c r="R606" s="38"/>
      <c r="S606" s="38"/>
      <c r="T606" s="38"/>
      <c r="U606" s="38"/>
      <c r="V606" s="38"/>
      <c r="W606" s="38"/>
      <c r="X606" s="38"/>
      <c r="Y606" s="38"/>
    </row>
    <row r="607">
      <c r="A607" s="38"/>
      <c r="B607" s="143"/>
      <c r="C607" s="38"/>
      <c r="D607" s="38"/>
      <c r="E607" s="38"/>
      <c r="F607" s="38"/>
      <c r="G607" s="38"/>
      <c r="H607" s="38"/>
      <c r="I607" s="38"/>
      <c r="J607" s="38"/>
      <c r="K607" s="38"/>
      <c r="L607" s="38"/>
      <c r="M607" s="38"/>
      <c r="N607" s="38"/>
      <c r="O607" s="38"/>
      <c r="P607" s="38"/>
      <c r="Q607" s="38"/>
      <c r="R607" s="38"/>
      <c r="S607" s="38"/>
      <c r="T607" s="38"/>
      <c r="U607" s="38"/>
      <c r="V607" s="38"/>
      <c r="W607" s="38"/>
      <c r="X607" s="38"/>
      <c r="Y607" s="38"/>
    </row>
    <row r="608">
      <c r="A608" s="38"/>
      <c r="B608" s="143"/>
      <c r="C608" s="38"/>
      <c r="D608" s="38"/>
      <c r="E608" s="38"/>
      <c r="F608" s="38"/>
      <c r="G608" s="38"/>
      <c r="H608" s="38"/>
      <c r="I608" s="38"/>
      <c r="J608" s="38"/>
      <c r="K608" s="38"/>
      <c r="L608" s="38"/>
      <c r="M608" s="38"/>
      <c r="N608" s="38"/>
      <c r="O608" s="38"/>
      <c r="P608" s="38"/>
      <c r="Q608" s="38"/>
      <c r="R608" s="38"/>
      <c r="S608" s="38"/>
      <c r="T608" s="38"/>
      <c r="U608" s="38"/>
      <c r="V608" s="38"/>
      <c r="W608" s="38"/>
      <c r="X608" s="38"/>
      <c r="Y608" s="38"/>
    </row>
    <row r="609">
      <c r="A609" s="38"/>
      <c r="B609" s="143"/>
      <c r="C609" s="38"/>
      <c r="D609" s="38"/>
      <c r="E609" s="38"/>
      <c r="F609" s="38"/>
      <c r="G609" s="38"/>
      <c r="H609" s="38"/>
      <c r="I609" s="38"/>
      <c r="J609" s="38"/>
      <c r="K609" s="38"/>
      <c r="L609" s="38"/>
      <c r="M609" s="38"/>
      <c r="N609" s="38"/>
      <c r="O609" s="38"/>
      <c r="P609" s="38"/>
      <c r="Q609" s="38"/>
      <c r="R609" s="38"/>
      <c r="S609" s="38"/>
      <c r="T609" s="38"/>
      <c r="U609" s="38"/>
      <c r="V609" s="38"/>
      <c r="W609" s="38"/>
      <c r="X609" s="38"/>
      <c r="Y609" s="38"/>
    </row>
    <row r="610">
      <c r="A610" s="38"/>
      <c r="B610" s="143"/>
      <c r="C610" s="38"/>
      <c r="D610" s="38"/>
      <c r="E610" s="38"/>
      <c r="F610" s="38"/>
      <c r="G610" s="38"/>
      <c r="H610" s="38"/>
      <c r="I610" s="38"/>
      <c r="J610" s="38"/>
      <c r="K610" s="38"/>
      <c r="L610" s="38"/>
      <c r="M610" s="38"/>
      <c r="N610" s="38"/>
      <c r="O610" s="38"/>
      <c r="P610" s="38"/>
      <c r="Q610" s="38"/>
      <c r="R610" s="38"/>
      <c r="S610" s="38"/>
      <c r="T610" s="38"/>
      <c r="U610" s="38"/>
      <c r="V610" s="38"/>
      <c r="W610" s="38"/>
      <c r="X610" s="38"/>
      <c r="Y610" s="38"/>
    </row>
    <row r="611">
      <c r="A611" s="38"/>
      <c r="B611" s="143"/>
      <c r="C611" s="38"/>
      <c r="D611" s="38"/>
      <c r="E611" s="38"/>
      <c r="F611" s="38"/>
      <c r="G611" s="38"/>
      <c r="H611" s="38"/>
      <c r="I611" s="38"/>
      <c r="J611" s="38"/>
      <c r="K611" s="38"/>
      <c r="L611" s="38"/>
      <c r="M611" s="38"/>
      <c r="N611" s="38"/>
      <c r="O611" s="38"/>
      <c r="P611" s="38"/>
      <c r="Q611" s="38"/>
      <c r="R611" s="38"/>
      <c r="S611" s="38"/>
      <c r="T611" s="38"/>
      <c r="U611" s="38"/>
      <c r="V611" s="38"/>
      <c r="W611" s="38"/>
      <c r="X611" s="38"/>
      <c r="Y611" s="38"/>
    </row>
    <row r="612">
      <c r="A612" s="38"/>
      <c r="B612" s="143"/>
      <c r="C612" s="38"/>
      <c r="D612" s="38"/>
      <c r="E612" s="38"/>
      <c r="F612" s="38"/>
      <c r="G612" s="38"/>
      <c r="H612" s="38"/>
      <c r="I612" s="38"/>
      <c r="J612" s="38"/>
      <c r="K612" s="38"/>
      <c r="L612" s="38"/>
      <c r="M612" s="38"/>
      <c r="N612" s="38"/>
      <c r="O612" s="38"/>
      <c r="P612" s="38"/>
      <c r="Q612" s="38"/>
      <c r="R612" s="38"/>
      <c r="S612" s="38"/>
      <c r="T612" s="38"/>
      <c r="U612" s="38"/>
      <c r="V612" s="38"/>
      <c r="W612" s="38"/>
      <c r="X612" s="38"/>
      <c r="Y612" s="38"/>
    </row>
    <row r="613">
      <c r="A613" s="38"/>
      <c r="B613" s="143"/>
      <c r="C613" s="38"/>
      <c r="D613" s="38"/>
      <c r="E613" s="38"/>
      <c r="F613" s="38"/>
      <c r="G613" s="38"/>
      <c r="H613" s="38"/>
      <c r="I613" s="38"/>
      <c r="J613" s="38"/>
      <c r="K613" s="38"/>
      <c r="L613" s="38"/>
      <c r="M613" s="38"/>
      <c r="N613" s="38"/>
      <c r="O613" s="38"/>
      <c r="P613" s="38"/>
      <c r="Q613" s="38"/>
      <c r="R613" s="38"/>
      <c r="S613" s="38"/>
      <c r="T613" s="38"/>
      <c r="U613" s="38"/>
      <c r="V613" s="38"/>
      <c r="W613" s="38"/>
      <c r="X613" s="38"/>
      <c r="Y613" s="38"/>
    </row>
    <row r="614">
      <c r="A614" s="38"/>
      <c r="B614" s="143"/>
      <c r="C614" s="38"/>
      <c r="D614" s="38"/>
      <c r="E614" s="38"/>
      <c r="F614" s="38"/>
      <c r="G614" s="38"/>
      <c r="H614" s="38"/>
      <c r="I614" s="38"/>
      <c r="J614" s="38"/>
      <c r="K614" s="38"/>
      <c r="L614" s="38"/>
      <c r="M614" s="38"/>
      <c r="N614" s="38"/>
      <c r="O614" s="38"/>
      <c r="P614" s="38"/>
      <c r="Q614" s="38"/>
      <c r="R614" s="38"/>
      <c r="S614" s="38"/>
      <c r="T614" s="38"/>
      <c r="U614" s="38"/>
      <c r="V614" s="38"/>
      <c r="W614" s="38"/>
      <c r="X614" s="38"/>
      <c r="Y614" s="38"/>
    </row>
    <row r="615">
      <c r="A615" s="38"/>
      <c r="B615" s="143"/>
      <c r="C615" s="38"/>
      <c r="D615" s="38"/>
      <c r="E615" s="38"/>
      <c r="F615" s="38"/>
      <c r="G615" s="38"/>
      <c r="H615" s="38"/>
      <c r="I615" s="38"/>
      <c r="J615" s="38"/>
      <c r="K615" s="38"/>
      <c r="L615" s="38"/>
      <c r="M615" s="38"/>
      <c r="N615" s="38"/>
      <c r="O615" s="38"/>
      <c r="P615" s="38"/>
      <c r="Q615" s="38"/>
      <c r="R615" s="38"/>
      <c r="S615" s="38"/>
      <c r="T615" s="38"/>
      <c r="U615" s="38"/>
      <c r="V615" s="38"/>
      <c r="W615" s="38"/>
      <c r="X615" s="38"/>
      <c r="Y615" s="38"/>
    </row>
    <row r="616">
      <c r="A616" s="38"/>
      <c r="B616" s="143"/>
      <c r="C616" s="38"/>
      <c r="D616" s="38"/>
      <c r="E616" s="38"/>
      <c r="F616" s="38"/>
      <c r="G616" s="38"/>
      <c r="H616" s="38"/>
      <c r="I616" s="38"/>
      <c r="J616" s="38"/>
      <c r="K616" s="38"/>
      <c r="L616" s="38"/>
      <c r="M616" s="38"/>
      <c r="N616" s="38"/>
      <c r="O616" s="38"/>
      <c r="P616" s="38"/>
      <c r="Q616" s="38"/>
      <c r="R616" s="38"/>
      <c r="S616" s="38"/>
      <c r="T616" s="38"/>
      <c r="U616" s="38"/>
      <c r="V616" s="38"/>
      <c r="W616" s="38"/>
      <c r="X616" s="38"/>
      <c r="Y616" s="38"/>
    </row>
    <row r="617">
      <c r="A617" s="38"/>
      <c r="B617" s="143"/>
      <c r="C617" s="38"/>
      <c r="D617" s="38"/>
      <c r="E617" s="38"/>
      <c r="F617" s="38"/>
      <c r="G617" s="38"/>
      <c r="H617" s="38"/>
      <c r="I617" s="38"/>
      <c r="J617" s="38"/>
      <c r="K617" s="38"/>
      <c r="L617" s="38"/>
      <c r="M617" s="38"/>
      <c r="N617" s="38"/>
      <c r="O617" s="38"/>
      <c r="P617" s="38"/>
      <c r="Q617" s="38"/>
      <c r="R617" s="38"/>
      <c r="S617" s="38"/>
      <c r="T617" s="38"/>
      <c r="U617" s="38"/>
      <c r="V617" s="38"/>
      <c r="W617" s="38"/>
      <c r="X617" s="38"/>
      <c r="Y617" s="38"/>
    </row>
    <row r="618">
      <c r="A618" s="38"/>
      <c r="B618" s="143"/>
      <c r="C618" s="38"/>
      <c r="D618" s="38"/>
      <c r="E618" s="38"/>
      <c r="F618" s="38"/>
      <c r="G618" s="38"/>
      <c r="H618" s="38"/>
      <c r="I618" s="38"/>
      <c r="J618" s="38"/>
      <c r="K618" s="38"/>
      <c r="L618" s="38"/>
      <c r="M618" s="38"/>
      <c r="N618" s="38"/>
      <c r="O618" s="38"/>
      <c r="P618" s="38"/>
      <c r="Q618" s="38"/>
      <c r="R618" s="38"/>
      <c r="S618" s="38"/>
      <c r="T618" s="38"/>
      <c r="U618" s="38"/>
      <c r="V618" s="38"/>
      <c r="W618" s="38"/>
      <c r="X618" s="38"/>
      <c r="Y618" s="38"/>
    </row>
    <row r="619">
      <c r="A619" s="38"/>
      <c r="B619" s="143"/>
      <c r="C619" s="38"/>
      <c r="D619" s="38"/>
      <c r="E619" s="38"/>
      <c r="F619" s="38"/>
      <c r="G619" s="38"/>
      <c r="H619" s="38"/>
      <c r="I619" s="38"/>
      <c r="J619" s="38"/>
      <c r="K619" s="38"/>
      <c r="L619" s="38"/>
      <c r="M619" s="38"/>
      <c r="N619" s="38"/>
      <c r="O619" s="38"/>
      <c r="P619" s="38"/>
      <c r="Q619" s="38"/>
      <c r="R619" s="38"/>
      <c r="S619" s="38"/>
      <c r="T619" s="38"/>
      <c r="U619" s="38"/>
      <c r="V619" s="38"/>
      <c r="W619" s="38"/>
      <c r="X619" s="38"/>
      <c r="Y619" s="38"/>
    </row>
    <row r="620">
      <c r="A620" s="38"/>
      <c r="B620" s="143"/>
      <c r="C620" s="38"/>
      <c r="D620" s="38"/>
      <c r="E620" s="38"/>
      <c r="F620" s="38"/>
      <c r="G620" s="38"/>
      <c r="H620" s="38"/>
      <c r="I620" s="38"/>
      <c r="J620" s="38"/>
      <c r="K620" s="38"/>
      <c r="L620" s="38"/>
      <c r="M620" s="38"/>
      <c r="N620" s="38"/>
      <c r="O620" s="38"/>
      <c r="P620" s="38"/>
      <c r="Q620" s="38"/>
      <c r="R620" s="38"/>
      <c r="S620" s="38"/>
      <c r="T620" s="38"/>
      <c r="U620" s="38"/>
      <c r="V620" s="38"/>
      <c r="W620" s="38"/>
      <c r="X620" s="38"/>
      <c r="Y620" s="38"/>
    </row>
    <row r="621">
      <c r="A621" s="38"/>
      <c r="B621" s="143"/>
      <c r="C621" s="38"/>
      <c r="D621" s="38"/>
      <c r="E621" s="38"/>
      <c r="F621" s="38"/>
      <c r="G621" s="38"/>
      <c r="H621" s="38"/>
      <c r="I621" s="38"/>
      <c r="J621" s="38"/>
      <c r="K621" s="38"/>
      <c r="L621" s="38"/>
      <c r="M621" s="38"/>
      <c r="N621" s="38"/>
      <c r="O621" s="38"/>
      <c r="P621" s="38"/>
      <c r="Q621" s="38"/>
      <c r="R621" s="38"/>
      <c r="S621" s="38"/>
      <c r="T621" s="38"/>
      <c r="U621" s="38"/>
      <c r="V621" s="38"/>
      <c r="W621" s="38"/>
      <c r="X621" s="38"/>
      <c r="Y621" s="38"/>
    </row>
    <row r="622">
      <c r="A622" s="38"/>
      <c r="B622" s="143"/>
      <c r="C622" s="38"/>
      <c r="D622" s="38"/>
      <c r="E622" s="38"/>
      <c r="F622" s="38"/>
      <c r="G622" s="38"/>
      <c r="H622" s="38"/>
      <c r="I622" s="38"/>
      <c r="J622" s="38"/>
      <c r="K622" s="38"/>
      <c r="L622" s="38"/>
      <c r="M622" s="38"/>
      <c r="N622" s="38"/>
      <c r="O622" s="38"/>
      <c r="P622" s="38"/>
      <c r="Q622" s="38"/>
      <c r="R622" s="38"/>
      <c r="S622" s="38"/>
      <c r="T622" s="38"/>
      <c r="U622" s="38"/>
      <c r="V622" s="38"/>
      <c r="W622" s="38"/>
      <c r="X622" s="38"/>
      <c r="Y622" s="38"/>
    </row>
    <row r="623">
      <c r="A623" s="38"/>
      <c r="B623" s="143"/>
      <c r="C623" s="38"/>
      <c r="D623" s="38"/>
      <c r="E623" s="38"/>
      <c r="F623" s="38"/>
      <c r="G623" s="38"/>
      <c r="H623" s="38"/>
      <c r="I623" s="38"/>
      <c r="J623" s="38"/>
      <c r="K623" s="38"/>
      <c r="L623" s="38"/>
      <c r="M623" s="38"/>
      <c r="N623" s="38"/>
      <c r="O623" s="38"/>
      <c r="P623" s="38"/>
      <c r="Q623" s="38"/>
      <c r="R623" s="38"/>
      <c r="S623" s="38"/>
      <c r="T623" s="38"/>
      <c r="U623" s="38"/>
      <c r="V623" s="38"/>
      <c r="W623" s="38"/>
      <c r="X623" s="38"/>
      <c r="Y623" s="38"/>
    </row>
    <row r="624">
      <c r="A624" s="38"/>
      <c r="B624" s="143"/>
      <c r="C624" s="38"/>
      <c r="D624" s="38"/>
      <c r="E624" s="38"/>
      <c r="F624" s="38"/>
      <c r="G624" s="38"/>
      <c r="H624" s="38"/>
      <c r="I624" s="38"/>
      <c r="J624" s="38"/>
      <c r="K624" s="38"/>
      <c r="L624" s="38"/>
      <c r="M624" s="38"/>
      <c r="N624" s="38"/>
      <c r="O624" s="38"/>
      <c r="P624" s="38"/>
      <c r="Q624" s="38"/>
      <c r="R624" s="38"/>
      <c r="S624" s="38"/>
      <c r="T624" s="38"/>
      <c r="U624" s="38"/>
      <c r="V624" s="38"/>
      <c r="W624" s="38"/>
      <c r="X624" s="38"/>
      <c r="Y624" s="38"/>
    </row>
    <row r="625">
      <c r="A625" s="38"/>
      <c r="B625" s="143"/>
      <c r="C625" s="38"/>
      <c r="D625" s="38"/>
      <c r="E625" s="38"/>
      <c r="F625" s="38"/>
      <c r="G625" s="38"/>
      <c r="H625" s="38"/>
      <c r="I625" s="38"/>
      <c r="J625" s="38"/>
      <c r="K625" s="38"/>
      <c r="L625" s="38"/>
      <c r="M625" s="38"/>
      <c r="N625" s="38"/>
      <c r="O625" s="38"/>
      <c r="P625" s="38"/>
      <c r="Q625" s="38"/>
      <c r="R625" s="38"/>
      <c r="S625" s="38"/>
      <c r="T625" s="38"/>
      <c r="U625" s="38"/>
      <c r="V625" s="38"/>
      <c r="W625" s="38"/>
      <c r="X625" s="38"/>
      <c r="Y625" s="38"/>
    </row>
    <row r="626">
      <c r="A626" s="38"/>
      <c r="B626" s="143"/>
      <c r="C626" s="38"/>
      <c r="D626" s="38"/>
      <c r="E626" s="38"/>
      <c r="F626" s="38"/>
      <c r="G626" s="38"/>
      <c r="H626" s="38"/>
      <c r="I626" s="38"/>
      <c r="J626" s="38"/>
      <c r="K626" s="38"/>
      <c r="L626" s="38"/>
      <c r="M626" s="38"/>
      <c r="N626" s="38"/>
      <c r="O626" s="38"/>
      <c r="P626" s="38"/>
      <c r="Q626" s="38"/>
      <c r="R626" s="38"/>
      <c r="S626" s="38"/>
      <c r="T626" s="38"/>
      <c r="U626" s="38"/>
      <c r="V626" s="38"/>
      <c r="W626" s="38"/>
      <c r="X626" s="38"/>
      <c r="Y626" s="38"/>
    </row>
    <row r="627">
      <c r="A627" s="38"/>
      <c r="B627" s="143"/>
      <c r="C627" s="38"/>
      <c r="D627" s="38"/>
      <c r="E627" s="38"/>
      <c r="F627" s="38"/>
      <c r="G627" s="38"/>
      <c r="H627" s="38"/>
      <c r="I627" s="38"/>
      <c r="J627" s="38"/>
      <c r="K627" s="38"/>
      <c r="L627" s="38"/>
      <c r="M627" s="38"/>
      <c r="N627" s="38"/>
      <c r="O627" s="38"/>
      <c r="P627" s="38"/>
      <c r="Q627" s="38"/>
      <c r="R627" s="38"/>
      <c r="S627" s="38"/>
      <c r="T627" s="38"/>
      <c r="U627" s="38"/>
      <c r="V627" s="38"/>
      <c r="W627" s="38"/>
      <c r="X627" s="38"/>
      <c r="Y627" s="38"/>
    </row>
    <row r="628">
      <c r="A628" s="38"/>
      <c r="B628" s="143"/>
      <c r="C628" s="38"/>
      <c r="D628" s="38"/>
      <c r="E628" s="38"/>
      <c r="F628" s="38"/>
      <c r="G628" s="38"/>
      <c r="H628" s="38"/>
      <c r="I628" s="38"/>
      <c r="J628" s="38"/>
      <c r="K628" s="38"/>
      <c r="L628" s="38"/>
      <c r="M628" s="38"/>
      <c r="N628" s="38"/>
      <c r="O628" s="38"/>
      <c r="P628" s="38"/>
      <c r="Q628" s="38"/>
      <c r="R628" s="38"/>
      <c r="S628" s="38"/>
      <c r="T628" s="38"/>
      <c r="U628" s="38"/>
      <c r="V628" s="38"/>
      <c r="W628" s="38"/>
      <c r="X628" s="38"/>
      <c r="Y628" s="38"/>
    </row>
    <row r="629">
      <c r="A629" s="38"/>
      <c r="B629" s="143"/>
      <c r="C629" s="38"/>
      <c r="D629" s="38"/>
      <c r="E629" s="38"/>
      <c r="F629" s="38"/>
      <c r="G629" s="38"/>
      <c r="H629" s="38"/>
      <c r="I629" s="38"/>
      <c r="J629" s="38"/>
      <c r="K629" s="38"/>
      <c r="L629" s="38"/>
      <c r="M629" s="38"/>
      <c r="N629" s="38"/>
      <c r="O629" s="38"/>
      <c r="P629" s="38"/>
      <c r="Q629" s="38"/>
      <c r="R629" s="38"/>
      <c r="S629" s="38"/>
      <c r="T629" s="38"/>
      <c r="U629" s="38"/>
      <c r="V629" s="38"/>
      <c r="W629" s="38"/>
      <c r="X629" s="38"/>
      <c r="Y629" s="38"/>
    </row>
    <row r="630">
      <c r="A630" s="38"/>
      <c r="B630" s="143"/>
      <c r="C630" s="38"/>
      <c r="D630" s="38"/>
      <c r="E630" s="38"/>
      <c r="F630" s="38"/>
      <c r="G630" s="38"/>
      <c r="H630" s="38"/>
      <c r="I630" s="38"/>
      <c r="J630" s="38"/>
      <c r="K630" s="38"/>
      <c r="L630" s="38"/>
      <c r="M630" s="38"/>
      <c r="N630" s="38"/>
      <c r="O630" s="38"/>
      <c r="P630" s="38"/>
      <c r="Q630" s="38"/>
      <c r="R630" s="38"/>
      <c r="S630" s="38"/>
      <c r="T630" s="38"/>
      <c r="U630" s="38"/>
      <c r="V630" s="38"/>
      <c r="W630" s="38"/>
      <c r="X630" s="38"/>
      <c r="Y630" s="38"/>
    </row>
    <row r="631">
      <c r="A631" s="38"/>
      <c r="B631" s="143"/>
      <c r="C631" s="38"/>
      <c r="D631" s="38"/>
      <c r="E631" s="38"/>
      <c r="F631" s="38"/>
      <c r="G631" s="38"/>
      <c r="H631" s="38"/>
      <c r="I631" s="38"/>
      <c r="J631" s="38"/>
      <c r="K631" s="38"/>
      <c r="L631" s="38"/>
      <c r="M631" s="38"/>
      <c r="N631" s="38"/>
      <c r="O631" s="38"/>
      <c r="P631" s="38"/>
      <c r="Q631" s="38"/>
      <c r="R631" s="38"/>
      <c r="S631" s="38"/>
      <c r="T631" s="38"/>
      <c r="U631" s="38"/>
      <c r="V631" s="38"/>
      <c r="W631" s="38"/>
      <c r="X631" s="38"/>
      <c r="Y631" s="38"/>
    </row>
    <row r="632">
      <c r="A632" s="38"/>
      <c r="B632" s="143"/>
      <c r="C632" s="38"/>
      <c r="D632" s="38"/>
      <c r="E632" s="38"/>
      <c r="F632" s="38"/>
      <c r="G632" s="38"/>
      <c r="H632" s="38"/>
      <c r="I632" s="38"/>
      <c r="J632" s="38"/>
      <c r="K632" s="38"/>
      <c r="L632" s="38"/>
      <c r="M632" s="38"/>
      <c r="N632" s="38"/>
      <c r="O632" s="38"/>
      <c r="P632" s="38"/>
      <c r="Q632" s="38"/>
      <c r="R632" s="38"/>
      <c r="S632" s="38"/>
      <c r="T632" s="38"/>
      <c r="U632" s="38"/>
      <c r="V632" s="38"/>
      <c r="W632" s="38"/>
      <c r="X632" s="38"/>
      <c r="Y632" s="38"/>
    </row>
    <row r="633">
      <c r="A633" s="38"/>
      <c r="B633" s="143"/>
      <c r="C633" s="38"/>
      <c r="D633" s="38"/>
      <c r="E633" s="38"/>
      <c r="F633" s="38"/>
      <c r="G633" s="38"/>
      <c r="H633" s="38"/>
      <c r="I633" s="38"/>
      <c r="J633" s="38"/>
      <c r="K633" s="38"/>
      <c r="L633" s="38"/>
      <c r="M633" s="38"/>
      <c r="N633" s="38"/>
      <c r="O633" s="38"/>
      <c r="P633" s="38"/>
      <c r="Q633" s="38"/>
      <c r="R633" s="38"/>
      <c r="S633" s="38"/>
      <c r="T633" s="38"/>
      <c r="U633" s="38"/>
      <c r="V633" s="38"/>
      <c r="W633" s="38"/>
      <c r="X633" s="38"/>
      <c r="Y633" s="38"/>
    </row>
    <row r="634">
      <c r="A634" s="38"/>
      <c r="B634" s="143"/>
      <c r="C634" s="38"/>
      <c r="D634" s="38"/>
      <c r="E634" s="38"/>
      <c r="F634" s="38"/>
      <c r="G634" s="38"/>
      <c r="H634" s="38"/>
      <c r="I634" s="38"/>
      <c r="J634" s="38"/>
      <c r="K634" s="38"/>
      <c r="L634" s="38"/>
      <c r="M634" s="38"/>
      <c r="N634" s="38"/>
      <c r="O634" s="38"/>
      <c r="P634" s="38"/>
      <c r="Q634" s="38"/>
      <c r="R634" s="38"/>
      <c r="S634" s="38"/>
      <c r="T634" s="38"/>
      <c r="U634" s="38"/>
      <c r="V634" s="38"/>
      <c r="W634" s="38"/>
      <c r="X634" s="38"/>
      <c r="Y634" s="38"/>
    </row>
    <row r="635">
      <c r="A635" s="38"/>
      <c r="B635" s="143"/>
      <c r="C635" s="38"/>
      <c r="D635" s="38"/>
      <c r="E635" s="38"/>
      <c r="F635" s="38"/>
      <c r="G635" s="38"/>
      <c r="H635" s="38"/>
      <c r="I635" s="38"/>
      <c r="J635" s="38"/>
      <c r="K635" s="38"/>
      <c r="L635" s="38"/>
      <c r="M635" s="38"/>
      <c r="N635" s="38"/>
      <c r="O635" s="38"/>
      <c r="P635" s="38"/>
      <c r="Q635" s="38"/>
      <c r="R635" s="38"/>
      <c r="S635" s="38"/>
      <c r="T635" s="38"/>
      <c r="U635" s="38"/>
      <c r="V635" s="38"/>
      <c r="W635" s="38"/>
      <c r="X635" s="38"/>
      <c r="Y635" s="38"/>
    </row>
    <row r="636">
      <c r="A636" s="38"/>
      <c r="B636" s="143"/>
      <c r="C636" s="38"/>
      <c r="D636" s="38"/>
      <c r="E636" s="38"/>
      <c r="F636" s="38"/>
      <c r="G636" s="38"/>
      <c r="H636" s="38"/>
      <c r="I636" s="38"/>
      <c r="J636" s="38"/>
      <c r="K636" s="38"/>
      <c r="L636" s="38"/>
      <c r="M636" s="38"/>
      <c r="N636" s="38"/>
      <c r="O636" s="38"/>
      <c r="P636" s="38"/>
      <c r="Q636" s="38"/>
      <c r="R636" s="38"/>
      <c r="S636" s="38"/>
      <c r="T636" s="38"/>
      <c r="U636" s="38"/>
      <c r="V636" s="38"/>
      <c r="W636" s="38"/>
      <c r="X636" s="38"/>
      <c r="Y636" s="38"/>
    </row>
    <row r="637">
      <c r="A637" s="38"/>
      <c r="B637" s="143"/>
      <c r="C637" s="38"/>
      <c r="D637" s="38"/>
      <c r="E637" s="38"/>
      <c r="F637" s="38"/>
      <c r="G637" s="38"/>
      <c r="H637" s="38"/>
      <c r="I637" s="38"/>
      <c r="J637" s="38"/>
      <c r="K637" s="38"/>
      <c r="L637" s="38"/>
      <c r="M637" s="38"/>
      <c r="N637" s="38"/>
      <c r="O637" s="38"/>
      <c r="P637" s="38"/>
      <c r="Q637" s="38"/>
      <c r="R637" s="38"/>
      <c r="S637" s="38"/>
      <c r="T637" s="38"/>
      <c r="U637" s="38"/>
      <c r="V637" s="38"/>
      <c r="W637" s="38"/>
      <c r="X637" s="38"/>
      <c r="Y637" s="38"/>
    </row>
    <row r="638">
      <c r="A638" s="38"/>
      <c r="B638" s="143"/>
      <c r="C638" s="38"/>
      <c r="D638" s="38"/>
      <c r="E638" s="38"/>
      <c r="F638" s="38"/>
      <c r="G638" s="38"/>
      <c r="H638" s="38"/>
      <c r="I638" s="38"/>
      <c r="J638" s="38"/>
      <c r="K638" s="38"/>
      <c r="L638" s="38"/>
      <c r="M638" s="38"/>
      <c r="N638" s="38"/>
      <c r="O638" s="38"/>
      <c r="P638" s="38"/>
      <c r="Q638" s="38"/>
      <c r="R638" s="38"/>
      <c r="S638" s="38"/>
      <c r="T638" s="38"/>
      <c r="U638" s="38"/>
      <c r="V638" s="38"/>
      <c r="W638" s="38"/>
      <c r="X638" s="38"/>
      <c r="Y638" s="38"/>
    </row>
    <row r="639">
      <c r="A639" s="38"/>
      <c r="B639" s="143"/>
      <c r="C639" s="38"/>
      <c r="D639" s="38"/>
      <c r="E639" s="38"/>
      <c r="F639" s="38"/>
      <c r="G639" s="38"/>
      <c r="H639" s="38"/>
      <c r="I639" s="38"/>
      <c r="J639" s="38"/>
      <c r="K639" s="38"/>
      <c r="L639" s="38"/>
      <c r="M639" s="38"/>
      <c r="N639" s="38"/>
      <c r="O639" s="38"/>
      <c r="P639" s="38"/>
      <c r="Q639" s="38"/>
      <c r="R639" s="38"/>
      <c r="S639" s="38"/>
      <c r="T639" s="38"/>
      <c r="U639" s="38"/>
      <c r="V639" s="38"/>
      <c r="W639" s="38"/>
      <c r="X639" s="38"/>
      <c r="Y639" s="38"/>
    </row>
    <row r="640">
      <c r="A640" s="38"/>
      <c r="B640" s="143"/>
      <c r="C640" s="38"/>
      <c r="D640" s="38"/>
      <c r="E640" s="38"/>
      <c r="F640" s="38"/>
      <c r="G640" s="38"/>
      <c r="H640" s="38"/>
      <c r="I640" s="38"/>
      <c r="J640" s="38"/>
      <c r="K640" s="38"/>
      <c r="L640" s="38"/>
      <c r="M640" s="38"/>
      <c r="N640" s="38"/>
      <c r="O640" s="38"/>
      <c r="P640" s="38"/>
      <c r="Q640" s="38"/>
      <c r="R640" s="38"/>
      <c r="S640" s="38"/>
      <c r="T640" s="38"/>
      <c r="U640" s="38"/>
      <c r="V640" s="38"/>
      <c r="W640" s="38"/>
      <c r="X640" s="38"/>
      <c r="Y640" s="38"/>
    </row>
    <row r="641">
      <c r="A641" s="38"/>
      <c r="B641" s="143"/>
      <c r="C641" s="38"/>
      <c r="D641" s="38"/>
      <c r="E641" s="38"/>
      <c r="F641" s="38"/>
      <c r="G641" s="38"/>
      <c r="H641" s="38"/>
      <c r="I641" s="38"/>
      <c r="J641" s="38"/>
      <c r="K641" s="38"/>
      <c r="L641" s="38"/>
      <c r="M641" s="38"/>
      <c r="N641" s="38"/>
      <c r="O641" s="38"/>
      <c r="P641" s="38"/>
      <c r="Q641" s="38"/>
      <c r="R641" s="38"/>
      <c r="S641" s="38"/>
      <c r="T641" s="38"/>
      <c r="U641" s="38"/>
      <c r="V641" s="38"/>
      <c r="W641" s="38"/>
      <c r="X641" s="38"/>
      <c r="Y641" s="38"/>
    </row>
    <row r="642">
      <c r="A642" s="38"/>
      <c r="B642" s="143"/>
      <c r="C642" s="38"/>
      <c r="D642" s="38"/>
      <c r="E642" s="38"/>
      <c r="F642" s="38"/>
      <c r="G642" s="38"/>
      <c r="H642" s="38"/>
      <c r="I642" s="38"/>
      <c r="J642" s="38"/>
      <c r="K642" s="38"/>
      <c r="L642" s="38"/>
      <c r="M642" s="38"/>
      <c r="N642" s="38"/>
      <c r="O642" s="38"/>
      <c r="P642" s="38"/>
      <c r="Q642" s="38"/>
      <c r="R642" s="38"/>
      <c r="S642" s="38"/>
      <c r="T642" s="38"/>
      <c r="U642" s="38"/>
      <c r="V642" s="38"/>
      <c r="W642" s="38"/>
      <c r="X642" s="38"/>
      <c r="Y642" s="38"/>
    </row>
    <row r="643">
      <c r="A643" s="38"/>
      <c r="B643" s="143"/>
      <c r="C643" s="38"/>
      <c r="D643" s="38"/>
      <c r="E643" s="38"/>
      <c r="F643" s="38"/>
      <c r="G643" s="38"/>
      <c r="H643" s="38"/>
      <c r="I643" s="38"/>
      <c r="J643" s="38"/>
      <c r="K643" s="38"/>
      <c r="L643" s="38"/>
      <c r="M643" s="38"/>
      <c r="N643" s="38"/>
      <c r="O643" s="38"/>
      <c r="P643" s="38"/>
      <c r="Q643" s="38"/>
      <c r="R643" s="38"/>
      <c r="S643" s="38"/>
      <c r="T643" s="38"/>
      <c r="U643" s="38"/>
      <c r="V643" s="38"/>
      <c r="W643" s="38"/>
      <c r="X643" s="38"/>
      <c r="Y643" s="38"/>
    </row>
    <row r="644">
      <c r="A644" s="38"/>
      <c r="B644" s="143"/>
      <c r="C644" s="38"/>
      <c r="D644" s="38"/>
      <c r="E644" s="38"/>
      <c r="F644" s="38"/>
      <c r="G644" s="38"/>
      <c r="H644" s="38"/>
      <c r="I644" s="38"/>
      <c r="J644" s="38"/>
      <c r="K644" s="38"/>
      <c r="L644" s="38"/>
      <c r="M644" s="38"/>
      <c r="N644" s="38"/>
      <c r="O644" s="38"/>
      <c r="P644" s="38"/>
      <c r="Q644" s="38"/>
      <c r="R644" s="38"/>
      <c r="S644" s="38"/>
      <c r="T644" s="38"/>
      <c r="U644" s="38"/>
      <c r="V644" s="38"/>
      <c r="W644" s="38"/>
      <c r="X644" s="38"/>
      <c r="Y644" s="38"/>
    </row>
    <row r="645">
      <c r="A645" s="38"/>
      <c r="B645" s="143"/>
      <c r="C645" s="38"/>
      <c r="D645" s="38"/>
      <c r="E645" s="38"/>
      <c r="F645" s="38"/>
      <c r="G645" s="38"/>
      <c r="H645" s="38"/>
      <c r="I645" s="38"/>
      <c r="J645" s="38"/>
      <c r="K645" s="38"/>
      <c r="L645" s="38"/>
      <c r="M645" s="38"/>
      <c r="N645" s="38"/>
      <c r="O645" s="38"/>
      <c r="P645" s="38"/>
      <c r="Q645" s="38"/>
      <c r="R645" s="38"/>
      <c r="S645" s="38"/>
      <c r="T645" s="38"/>
      <c r="U645" s="38"/>
      <c r="V645" s="38"/>
      <c r="W645" s="38"/>
      <c r="X645" s="38"/>
      <c r="Y645" s="38"/>
    </row>
    <row r="646">
      <c r="A646" s="38"/>
      <c r="B646" s="143"/>
      <c r="C646" s="38"/>
      <c r="D646" s="38"/>
      <c r="E646" s="38"/>
      <c r="F646" s="38"/>
      <c r="G646" s="38"/>
      <c r="H646" s="38"/>
      <c r="I646" s="38"/>
      <c r="J646" s="38"/>
      <c r="K646" s="38"/>
      <c r="L646" s="38"/>
      <c r="M646" s="38"/>
      <c r="N646" s="38"/>
      <c r="O646" s="38"/>
      <c r="P646" s="38"/>
      <c r="Q646" s="38"/>
      <c r="R646" s="38"/>
      <c r="S646" s="38"/>
      <c r="T646" s="38"/>
      <c r="U646" s="38"/>
      <c r="V646" s="38"/>
      <c r="W646" s="38"/>
      <c r="X646" s="38"/>
      <c r="Y646" s="38"/>
    </row>
    <row r="647">
      <c r="A647" s="38"/>
      <c r="B647" s="143"/>
      <c r="C647" s="38"/>
      <c r="D647" s="38"/>
      <c r="E647" s="38"/>
      <c r="F647" s="38"/>
      <c r="G647" s="38"/>
      <c r="H647" s="38"/>
      <c r="I647" s="38"/>
      <c r="J647" s="38"/>
      <c r="K647" s="38"/>
      <c r="L647" s="38"/>
      <c r="M647" s="38"/>
      <c r="N647" s="38"/>
      <c r="O647" s="38"/>
      <c r="P647" s="38"/>
      <c r="Q647" s="38"/>
      <c r="R647" s="38"/>
      <c r="S647" s="38"/>
      <c r="T647" s="38"/>
      <c r="U647" s="38"/>
      <c r="V647" s="38"/>
      <c r="W647" s="38"/>
      <c r="X647" s="38"/>
      <c r="Y647" s="38"/>
    </row>
    <row r="648">
      <c r="A648" s="38"/>
      <c r="B648" s="143"/>
      <c r="C648" s="38"/>
      <c r="D648" s="38"/>
      <c r="E648" s="38"/>
      <c r="F648" s="38"/>
      <c r="G648" s="38"/>
      <c r="H648" s="38"/>
      <c r="I648" s="38"/>
      <c r="J648" s="38"/>
      <c r="K648" s="38"/>
      <c r="L648" s="38"/>
      <c r="M648" s="38"/>
      <c r="N648" s="38"/>
      <c r="O648" s="38"/>
      <c r="P648" s="38"/>
      <c r="Q648" s="38"/>
      <c r="R648" s="38"/>
      <c r="S648" s="38"/>
      <c r="T648" s="38"/>
      <c r="U648" s="38"/>
      <c r="V648" s="38"/>
      <c r="W648" s="38"/>
      <c r="X648" s="38"/>
      <c r="Y648" s="38"/>
    </row>
    <row r="649">
      <c r="A649" s="38"/>
      <c r="B649" s="143"/>
      <c r="C649" s="38"/>
      <c r="D649" s="38"/>
      <c r="E649" s="38"/>
      <c r="F649" s="38"/>
      <c r="G649" s="38"/>
      <c r="H649" s="38"/>
      <c r="I649" s="38"/>
      <c r="J649" s="38"/>
      <c r="K649" s="38"/>
      <c r="L649" s="38"/>
      <c r="M649" s="38"/>
      <c r="N649" s="38"/>
      <c r="O649" s="38"/>
      <c r="P649" s="38"/>
      <c r="Q649" s="38"/>
      <c r="R649" s="38"/>
      <c r="S649" s="38"/>
      <c r="T649" s="38"/>
      <c r="U649" s="38"/>
      <c r="V649" s="38"/>
      <c r="W649" s="38"/>
      <c r="X649" s="38"/>
      <c r="Y649" s="38"/>
    </row>
    <row r="650">
      <c r="A650" s="38"/>
      <c r="B650" s="143"/>
      <c r="C650" s="38"/>
      <c r="D650" s="38"/>
      <c r="E650" s="38"/>
      <c r="F650" s="38"/>
      <c r="G650" s="38"/>
      <c r="H650" s="38"/>
      <c r="I650" s="38"/>
      <c r="J650" s="38"/>
      <c r="K650" s="38"/>
      <c r="L650" s="38"/>
      <c r="M650" s="38"/>
      <c r="N650" s="38"/>
      <c r="O650" s="38"/>
      <c r="P650" s="38"/>
      <c r="Q650" s="38"/>
      <c r="R650" s="38"/>
      <c r="S650" s="38"/>
      <c r="T650" s="38"/>
      <c r="U650" s="38"/>
      <c r="V650" s="38"/>
      <c r="W650" s="38"/>
      <c r="X650" s="38"/>
      <c r="Y650" s="38"/>
    </row>
    <row r="651">
      <c r="A651" s="38"/>
      <c r="B651" s="143"/>
      <c r="C651" s="38"/>
      <c r="D651" s="38"/>
      <c r="E651" s="38"/>
      <c r="F651" s="38"/>
      <c r="G651" s="38"/>
      <c r="H651" s="38"/>
      <c r="I651" s="38"/>
      <c r="J651" s="38"/>
      <c r="K651" s="38"/>
      <c r="L651" s="38"/>
      <c r="M651" s="38"/>
      <c r="N651" s="38"/>
      <c r="O651" s="38"/>
      <c r="P651" s="38"/>
      <c r="Q651" s="38"/>
      <c r="R651" s="38"/>
      <c r="S651" s="38"/>
      <c r="T651" s="38"/>
      <c r="U651" s="38"/>
      <c r="V651" s="38"/>
      <c r="W651" s="38"/>
      <c r="X651" s="38"/>
      <c r="Y651" s="38"/>
    </row>
    <row r="652">
      <c r="A652" s="38"/>
      <c r="B652" s="143"/>
      <c r="C652" s="38"/>
      <c r="D652" s="38"/>
      <c r="E652" s="38"/>
      <c r="F652" s="38"/>
      <c r="G652" s="38"/>
      <c r="H652" s="38"/>
      <c r="I652" s="38"/>
      <c r="J652" s="38"/>
      <c r="K652" s="38"/>
      <c r="L652" s="38"/>
      <c r="M652" s="38"/>
      <c r="N652" s="38"/>
      <c r="O652" s="38"/>
      <c r="P652" s="38"/>
      <c r="Q652" s="38"/>
      <c r="R652" s="38"/>
      <c r="S652" s="38"/>
      <c r="T652" s="38"/>
      <c r="U652" s="38"/>
      <c r="V652" s="38"/>
      <c r="W652" s="38"/>
      <c r="X652" s="38"/>
      <c r="Y652" s="38"/>
    </row>
    <row r="653">
      <c r="A653" s="38"/>
      <c r="B653" s="143"/>
      <c r="C653" s="38"/>
      <c r="D653" s="38"/>
      <c r="E653" s="38"/>
      <c r="F653" s="38"/>
      <c r="G653" s="38"/>
      <c r="H653" s="38"/>
      <c r="I653" s="38"/>
      <c r="J653" s="38"/>
      <c r="K653" s="38"/>
      <c r="L653" s="38"/>
      <c r="M653" s="38"/>
      <c r="N653" s="38"/>
      <c r="O653" s="38"/>
      <c r="P653" s="38"/>
      <c r="Q653" s="38"/>
      <c r="R653" s="38"/>
      <c r="S653" s="38"/>
      <c r="T653" s="38"/>
      <c r="U653" s="38"/>
      <c r="V653" s="38"/>
      <c r="W653" s="38"/>
      <c r="X653" s="38"/>
      <c r="Y653" s="38"/>
    </row>
    <row r="654">
      <c r="A654" s="38"/>
      <c r="B654" s="143"/>
      <c r="C654" s="38"/>
      <c r="D654" s="38"/>
      <c r="E654" s="38"/>
      <c r="F654" s="38"/>
      <c r="G654" s="38"/>
      <c r="H654" s="38"/>
      <c r="I654" s="38"/>
      <c r="J654" s="38"/>
      <c r="K654" s="38"/>
      <c r="L654" s="38"/>
      <c r="M654" s="38"/>
      <c r="N654" s="38"/>
      <c r="O654" s="38"/>
      <c r="P654" s="38"/>
      <c r="Q654" s="38"/>
      <c r="R654" s="38"/>
      <c r="S654" s="38"/>
      <c r="T654" s="38"/>
      <c r="U654" s="38"/>
      <c r="V654" s="38"/>
      <c r="W654" s="38"/>
      <c r="X654" s="38"/>
      <c r="Y654" s="38"/>
    </row>
    <row r="655">
      <c r="A655" s="38"/>
      <c r="B655" s="143"/>
      <c r="C655" s="38"/>
      <c r="D655" s="38"/>
      <c r="E655" s="38"/>
      <c r="F655" s="38"/>
      <c r="G655" s="38"/>
      <c r="H655" s="38"/>
      <c r="I655" s="38"/>
      <c r="J655" s="38"/>
      <c r="K655" s="38"/>
      <c r="L655" s="38"/>
      <c r="M655" s="38"/>
      <c r="N655" s="38"/>
      <c r="O655" s="38"/>
      <c r="P655" s="38"/>
      <c r="Q655" s="38"/>
      <c r="R655" s="38"/>
      <c r="S655" s="38"/>
      <c r="T655" s="38"/>
      <c r="U655" s="38"/>
      <c r="V655" s="38"/>
      <c r="W655" s="38"/>
      <c r="X655" s="38"/>
      <c r="Y655" s="38"/>
    </row>
    <row r="656">
      <c r="A656" s="38"/>
      <c r="B656" s="143"/>
      <c r="C656" s="38"/>
      <c r="D656" s="38"/>
      <c r="E656" s="38"/>
      <c r="F656" s="38"/>
      <c r="G656" s="38"/>
      <c r="H656" s="38"/>
      <c r="I656" s="38"/>
      <c r="J656" s="38"/>
      <c r="K656" s="38"/>
      <c r="L656" s="38"/>
      <c r="M656" s="38"/>
      <c r="N656" s="38"/>
      <c r="O656" s="38"/>
      <c r="P656" s="38"/>
      <c r="Q656" s="38"/>
      <c r="R656" s="38"/>
      <c r="S656" s="38"/>
      <c r="T656" s="38"/>
      <c r="U656" s="38"/>
      <c r="V656" s="38"/>
      <c r="W656" s="38"/>
      <c r="X656" s="38"/>
      <c r="Y656" s="38"/>
    </row>
    <row r="657">
      <c r="A657" s="38"/>
      <c r="B657" s="143"/>
      <c r="C657" s="38"/>
      <c r="D657" s="38"/>
      <c r="E657" s="38"/>
      <c r="F657" s="38"/>
      <c r="G657" s="38"/>
      <c r="H657" s="38"/>
      <c r="I657" s="38"/>
      <c r="J657" s="38"/>
      <c r="K657" s="38"/>
      <c r="L657" s="38"/>
      <c r="M657" s="38"/>
      <c r="N657" s="38"/>
      <c r="O657" s="38"/>
      <c r="P657" s="38"/>
      <c r="Q657" s="38"/>
      <c r="R657" s="38"/>
      <c r="S657" s="38"/>
      <c r="T657" s="38"/>
      <c r="U657" s="38"/>
      <c r="V657" s="38"/>
      <c r="W657" s="38"/>
      <c r="X657" s="38"/>
      <c r="Y657" s="38"/>
    </row>
    <row r="658">
      <c r="A658" s="38"/>
      <c r="B658" s="143"/>
      <c r="C658" s="38"/>
      <c r="D658" s="38"/>
      <c r="E658" s="38"/>
      <c r="F658" s="38"/>
      <c r="G658" s="38"/>
      <c r="H658" s="38"/>
      <c r="I658" s="38"/>
      <c r="J658" s="38"/>
      <c r="K658" s="38"/>
      <c r="L658" s="38"/>
      <c r="M658" s="38"/>
      <c r="N658" s="38"/>
      <c r="O658" s="38"/>
      <c r="P658" s="38"/>
      <c r="Q658" s="38"/>
      <c r="R658" s="38"/>
      <c r="S658" s="38"/>
      <c r="T658" s="38"/>
      <c r="U658" s="38"/>
      <c r="V658" s="38"/>
      <c r="W658" s="38"/>
      <c r="X658" s="38"/>
      <c r="Y658" s="38"/>
    </row>
    <row r="659">
      <c r="A659" s="38"/>
      <c r="B659" s="143"/>
      <c r="C659" s="38"/>
      <c r="D659" s="38"/>
      <c r="E659" s="38"/>
      <c r="F659" s="38"/>
      <c r="G659" s="38"/>
      <c r="H659" s="38"/>
      <c r="I659" s="38"/>
      <c r="J659" s="38"/>
      <c r="K659" s="38"/>
      <c r="L659" s="38"/>
      <c r="M659" s="38"/>
      <c r="N659" s="38"/>
      <c r="O659" s="38"/>
      <c r="P659" s="38"/>
      <c r="Q659" s="38"/>
      <c r="R659" s="38"/>
      <c r="S659" s="38"/>
      <c r="T659" s="38"/>
      <c r="U659" s="38"/>
      <c r="V659" s="38"/>
      <c r="W659" s="38"/>
      <c r="X659" s="38"/>
      <c r="Y659" s="38"/>
    </row>
    <row r="660">
      <c r="A660" s="38"/>
      <c r="B660" s="143"/>
      <c r="C660" s="38"/>
      <c r="D660" s="38"/>
      <c r="E660" s="38"/>
      <c r="F660" s="38"/>
      <c r="G660" s="38"/>
      <c r="H660" s="38"/>
      <c r="I660" s="38"/>
      <c r="J660" s="38"/>
      <c r="K660" s="38"/>
      <c r="L660" s="38"/>
      <c r="M660" s="38"/>
      <c r="N660" s="38"/>
      <c r="O660" s="38"/>
      <c r="P660" s="38"/>
      <c r="Q660" s="38"/>
      <c r="R660" s="38"/>
      <c r="S660" s="38"/>
      <c r="T660" s="38"/>
      <c r="U660" s="38"/>
      <c r="V660" s="38"/>
      <c r="W660" s="38"/>
      <c r="X660" s="38"/>
      <c r="Y660" s="38"/>
    </row>
    <row r="661">
      <c r="A661" s="38"/>
      <c r="B661" s="143"/>
      <c r="C661" s="38"/>
      <c r="D661" s="38"/>
      <c r="E661" s="38"/>
      <c r="F661" s="38"/>
      <c r="G661" s="38"/>
      <c r="H661" s="38"/>
      <c r="I661" s="38"/>
      <c r="J661" s="38"/>
      <c r="K661" s="38"/>
      <c r="L661" s="38"/>
      <c r="M661" s="38"/>
      <c r="N661" s="38"/>
      <c r="O661" s="38"/>
      <c r="P661" s="38"/>
      <c r="Q661" s="38"/>
      <c r="R661" s="38"/>
      <c r="S661" s="38"/>
      <c r="T661" s="38"/>
      <c r="U661" s="38"/>
      <c r="V661" s="38"/>
      <c r="W661" s="38"/>
      <c r="X661" s="38"/>
      <c r="Y661" s="38"/>
    </row>
    <row r="662">
      <c r="A662" s="38"/>
      <c r="B662" s="143"/>
      <c r="C662" s="38"/>
      <c r="D662" s="38"/>
      <c r="E662" s="38"/>
      <c r="F662" s="38"/>
      <c r="G662" s="38"/>
      <c r="H662" s="38"/>
      <c r="I662" s="38"/>
      <c r="J662" s="38"/>
      <c r="K662" s="38"/>
      <c r="L662" s="38"/>
      <c r="M662" s="38"/>
      <c r="N662" s="38"/>
      <c r="O662" s="38"/>
      <c r="P662" s="38"/>
      <c r="Q662" s="38"/>
      <c r="R662" s="38"/>
      <c r="S662" s="38"/>
      <c r="T662" s="38"/>
      <c r="U662" s="38"/>
      <c r="V662" s="38"/>
      <c r="W662" s="38"/>
      <c r="X662" s="38"/>
      <c r="Y662" s="38"/>
    </row>
    <row r="663">
      <c r="A663" s="38"/>
      <c r="B663" s="143"/>
      <c r="C663" s="38"/>
      <c r="D663" s="38"/>
      <c r="E663" s="38"/>
      <c r="F663" s="38"/>
      <c r="G663" s="38"/>
      <c r="H663" s="38"/>
      <c r="I663" s="38"/>
      <c r="J663" s="38"/>
      <c r="K663" s="38"/>
      <c r="L663" s="38"/>
      <c r="M663" s="38"/>
      <c r="N663" s="38"/>
      <c r="O663" s="38"/>
      <c r="P663" s="38"/>
      <c r="Q663" s="38"/>
      <c r="R663" s="38"/>
      <c r="S663" s="38"/>
      <c r="T663" s="38"/>
      <c r="U663" s="38"/>
      <c r="V663" s="38"/>
      <c r="W663" s="38"/>
      <c r="X663" s="38"/>
      <c r="Y663" s="38"/>
    </row>
    <row r="664">
      <c r="A664" s="38"/>
      <c r="B664" s="143"/>
      <c r="C664" s="38"/>
      <c r="D664" s="38"/>
      <c r="E664" s="38"/>
      <c r="F664" s="38"/>
      <c r="G664" s="38"/>
      <c r="H664" s="38"/>
      <c r="I664" s="38"/>
      <c r="J664" s="38"/>
      <c r="K664" s="38"/>
      <c r="L664" s="38"/>
      <c r="M664" s="38"/>
      <c r="N664" s="38"/>
      <c r="O664" s="38"/>
      <c r="P664" s="38"/>
      <c r="Q664" s="38"/>
      <c r="R664" s="38"/>
      <c r="S664" s="38"/>
      <c r="T664" s="38"/>
      <c r="U664" s="38"/>
      <c r="V664" s="38"/>
      <c r="W664" s="38"/>
      <c r="X664" s="38"/>
      <c r="Y664" s="38"/>
    </row>
    <row r="665">
      <c r="A665" s="38"/>
      <c r="B665" s="143"/>
      <c r="C665" s="38"/>
      <c r="D665" s="38"/>
      <c r="E665" s="38"/>
      <c r="F665" s="38"/>
      <c r="G665" s="38"/>
      <c r="H665" s="38"/>
      <c r="I665" s="38"/>
      <c r="J665" s="38"/>
      <c r="K665" s="38"/>
      <c r="L665" s="38"/>
      <c r="M665" s="38"/>
      <c r="N665" s="38"/>
      <c r="O665" s="38"/>
      <c r="P665" s="38"/>
      <c r="Q665" s="38"/>
      <c r="R665" s="38"/>
      <c r="S665" s="38"/>
      <c r="T665" s="38"/>
      <c r="U665" s="38"/>
      <c r="V665" s="38"/>
      <c r="W665" s="38"/>
      <c r="X665" s="38"/>
      <c r="Y665" s="38"/>
    </row>
    <row r="666">
      <c r="A666" s="38"/>
      <c r="B666" s="143"/>
      <c r="C666" s="38"/>
      <c r="D666" s="38"/>
      <c r="E666" s="38"/>
      <c r="F666" s="38"/>
      <c r="G666" s="38"/>
      <c r="H666" s="38"/>
      <c r="I666" s="38"/>
      <c r="J666" s="38"/>
      <c r="K666" s="38"/>
      <c r="L666" s="38"/>
      <c r="M666" s="38"/>
      <c r="N666" s="38"/>
      <c r="O666" s="38"/>
      <c r="P666" s="38"/>
      <c r="Q666" s="38"/>
      <c r="R666" s="38"/>
      <c r="S666" s="38"/>
      <c r="T666" s="38"/>
      <c r="U666" s="38"/>
      <c r="V666" s="38"/>
      <c r="W666" s="38"/>
      <c r="X666" s="38"/>
      <c r="Y666" s="38"/>
    </row>
    <row r="667">
      <c r="A667" s="38"/>
      <c r="B667" s="143"/>
      <c r="C667" s="38"/>
      <c r="D667" s="38"/>
      <c r="E667" s="38"/>
      <c r="F667" s="38"/>
      <c r="G667" s="38"/>
      <c r="H667" s="38"/>
      <c r="I667" s="38"/>
      <c r="J667" s="38"/>
      <c r="K667" s="38"/>
      <c r="L667" s="38"/>
      <c r="M667" s="38"/>
      <c r="N667" s="38"/>
      <c r="O667" s="38"/>
      <c r="P667" s="38"/>
      <c r="Q667" s="38"/>
      <c r="R667" s="38"/>
      <c r="S667" s="38"/>
      <c r="T667" s="38"/>
      <c r="U667" s="38"/>
      <c r="V667" s="38"/>
      <c r="W667" s="38"/>
      <c r="X667" s="38"/>
      <c r="Y667" s="38"/>
    </row>
    <row r="668">
      <c r="A668" s="38"/>
      <c r="B668" s="143"/>
      <c r="C668" s="38"/>
      <c r="D668" s="38"/>
      <c r="E668" s="38"/>
      <c r="F668" s="38"/>
      <c r="G668" s="38"/>
      <c r="H668" s="38"/>
      <c r="I668" s="38"/>
      <c r="J668" s="38"/>
      <c r="K668" s="38"/>
      <c r="L668" s="38"/>
      <c r="M668" s="38"/>
      <c r="N668" s="38"/>
      <c r="O668" s="38"/>
      <c r="P668" s="38"/>
      <c r="Q668" s="38"/>
      <c r="R668" s="38"/>
      <c r="S668" s="38"/>
      <c r="T668" s="38"/>
      <c r="U668" s="38"/>
      <c r="V668" s="38"/>
      <c r="W668" s="38"/>
      <c r="X668" s="38"/>
      <c r="Y668" s="38"/>
    </row>
    <row r="669">
      <c r="A669" s="38"/>
      <c r="B669" s="143"/>
      <c r="C669" s="38"/>
      <c r="D669" s="38"/>
      <c r="E669" s="38"/>
      <c r="F669" s="38"/>
      <c r="G669" s="38"/>
      <c r="H669" s="38"/>
      <c r="I669" s="38"/>
      <c r="J669" s="38"/>
      <c r="K669" s="38"/>
      <c r="L669" s="38"/>
      <c r="M669" s="38"/>
      <c r="N669" s="38"/>
      <c r="O669" s="38"/>
      <c r="P669" s="38"/>
      <c r="Q669" s="38"/>
      <c r="R669" s="38"/>
      <c r="S669" s="38"/>
      <c r="T669" s="38"/>
      <c r="U669" s="38"/>
      <c r="V669" s="38"/>
      <c r="W669" s="38"/>
      <c r="X669" s="38"/>
      <c r="Y669" s="38"/>
    </row>
    <row r="670">
      <c r="A670" s="38"/>
      <c r="B670" s="143"/>
      <c r="C670" s="38"/>
      <c r="D670" s="38"/>
      <c r="E670" s="38"/>
      <c r="F670" s="38"/>
      <c r="G670" s="38"/>
      <c r="H670" s="38"/>
      <c r="I670" s="38"/>
      <c r="J670" s="38"/>
      <c r="K670" s="38"/>
      <c r="L670" s="38"/>
      <c r="M670" s="38"/>
      <c r="N670" s="38"/>
      <c r="O670" s="38"/>
      <c r="P670" s="38"/>
      <c r="Q670" s="38"/>
      <c r="R670" s="38"/>
      <c r="S670" s="38"/>
      <c r="T670" s="38"/>
      <c r="U670" s="38"/>
      <c r="V670" s="38"/>
      <c r="W670" s="38"/>
      <c r="X670" s="38"/>
      <c r="Y670" s="38"/>
    </row>
    <row r="671">
      <c r="A671" s="38"/>
      <c r="B671" s="143"/>
      <c r="C671" s="38"/>
      <c r="D671" s="38"/>
      <c r="E671" s="38"/>
      <c r="F671" s="38"/>
      <c r="G671" s="38"/>
      <c r="H671" s="38"/>
      <c r="I671" s="38"/>
      <c r="J671" s="38"/>
      <c r="K671" s="38"/>
      <c r="L671" s="38"/>
      <c r="M671" s="38"/>
      <c r="N671" s="38"/>
      <c r="O671" s="38"/>
      <c r="P671" s="38"/>
      <c r="Q671" s="38"/>
      <c r="R671" s="38"/>
      <c r="S671" s="38"/>
      <c r="T671" s="38"/>
      <c r="U671" s="38"/>
      <c r="V671" s="38"/>
      <c r="W671" s="38"/>
      <c r="X671" s="38"/>
      <c r="Y671" s="38"/>
    </row>
    <row r="672">
      <c r="A672" s="38"/>
      <c r="B672" s="143"/>
      <c r="C672" s="38"/>
      <c r="D672" s="38"/>
      <c r="E672" s="38"/>
      <c r="F672" s="38"/>
      <c r="G672" s="38"/>
      <c r="H672" s="38"/>
      <c r="I672" s="38"/>
      <c r="J672" s="38"/>
      <c r="K672" s="38"/>
      <c r="L672" s="38"/>
      <c r="M672" s="38"/>
      <c r="N672" s="38"/>
      <c r="O672" s="38"/>
      <c r="P672" s="38"/>
      <c r="Q672" s="38"/>
      <c r="R672" s="38"/>
      <c r="S672" s="38"/>
      <c r="T672" s="38"/>
      <c r="U672" s="38"/>
      <c r="V672" s="38"/>
      <c r="W672" s="38"/>
      <c r="X672" s="38"/>
      <c r="Y672" s="38"/>
    </row>
    <row r="673">
      <c r="A673" s="38"/>
      <c r="B673" s="143"/>
      <c r="C673" s="38"/>
      <c r="D673" s="38"/>
      <c r="E673" s="38"/>
      <c r="F673" s="38"/>
      <c r="G673" s="38"/>
      <c r="H673" s="38"/>
      <c r="I673" s="38"/>
      <c r="J673" s="38"/>
      <c r="K673" s="38"/>
      <c r="L673" s="38"/>
      <c r="M673" s="38"/>
      <c r="N673" s="38"/>
      <c r="O673" s="38"/>
      <c r="P673" s="38"/>
      <c r="Q673" s="38"/>
      <c r="R673" s="38"/>
      <c r="S673" s="38"/>
      <c r="T673" s="38"/>
      <c r="U673" s="38"/>
      <c r="V673" s="38"/>
      <c r="W673" s="38"/>
      <c r="X673" s="38"/>
      <c r="Y673" s="38"/>
    </row>
    <row r="674">
      <c r="A674" s="38"/>
      <c r="B674" s="143"/>
      <c r="C674" s="38"/>
      <c r="D674" s="38"/>
      <c r="E674" s="38"/>
      <c r="F674" s="38"/>
      <c r="G674" s="38"/>
      <c r="H674" s="38"/>
      <c r="I674" s="38"/>
      <c r="J674" s="38"/>
      <c r="K674" s="38"/>
      <c r="L674" s="38"/>
      <c r="M674" s="38"/>
      <c r="N674" s="38"/>
      <c r="O674" s="38"/>
      <c r="P674" s="38"/>
      <c r="Q674" s="38"/>
      <c r="R674" s="38"/>
      <c r="S674" s="38"/>
      <c r="T674" s="38"/>
      <c r="U674" s="38"/>
      <c r="V674" s="38"/>
      <c r="W674" s="38"/>
      <c r="X674" s="38"/>
      <c r="Y674" s="38"/>
    </row>
    <row r="675">
      <c r="A675" s="38"/>
      <c r="B675" s="143"/>
      <c r="C675" s="38"/>
      <c r="D675" s="38"/>
      <c r="E675" s="38"/>
      <c r="F675" s="38"/>
      <c r="G675" s="38"/>
      <c r="H675" s="38"/>
      <c r="I675" s="38"/>
      <c r="J675" s="38"/>
      <c r="K675" s="38"/>
      <c r="L675" s="38"/>
      <c r="M675" s="38"/>
      <c r="N675" s="38"/>
      <c r="O675" s="38"/>
      <c r="P675" s="38"/>
      <c r="Q675" s="38"/>
      <c r="R675" s="38"/>
      <c r="S675" s="38"/>
      <c r="T675" s="38"/>
      <c r="U675" s="38"/>
      <c r="V675" s="38"/>
      <c r="W675" s="38"/>
      <c r="X675" s="38"/>
      <c r="Y675" s="38"/>
    </row>
    <row r="676">
      <c r="A676" s="38"/>
      <c r="B676" s="143"/>
      <c r="C676" s="38"/>
      <c r="D676" s="38"/>
      <c r="E676" s="38"/>
      <c r="F676" s="38"/>
      <c r="G676" s="38"/>
      <c r="H676" s="38"/>
      <c r="I676" s="38"/>
      <c r="J676" s="38"/>
      <c r="K676" s="38"/>
      <c r="L676" s="38"/>
      <c r="M676" s="38"/>
      <c r="N676" s="38"/>
      <c r="O676" s="38"/>
      <c r="P676" s="38"/>
      <c r="Q676" s="38"/>
      <c r="R676" s="38"/>
      <c r="S676" s="38"/>
      <c r="T676" s="38"/>
      <c r="U676" s="38"/>
      <c r="V676" s="38"/>
      <c r="W676" s="38"/>
      <c r="X676" s="38"/>
      <c r="Y676" s="38"/>
    </row>
    <row r="677">
      <c r="A677" s="38"/>
      <c r="B677" s="143"/>
      <c r="C677" s="38"/>
      <c r="D677" s="38"/>
      <c r="E677" s="38"/>
      <c r="F677" s="38"/>
      <c r="G677" s="38"/>
      <c r="H677" s="38"/>
      <c r="I677" s="38"/>
      <c r="J677" s="38"/>
      <c r="K677" s="38"/>
      <c r="L677" s="38"/>
      <c r="M677" s="38"/>
      <c r="N677" s="38"/>
      <c r="O677" s="38"/>
      <c r="P677" s="38"/>
      <c r="Q677" s="38"/>
      <c r="R677" s="38"/>
      <c r="S677" s="38"/>
      <c r="T677" s="38"/>
      <c r="U677" s="38"/>
      <c r="V677" s="38"/>
      <c r="W677" s="38"/>
      <c r="X677" s="38"/>
      <c r="Y677" s="38"/>
    </row>
    <row r="678">
      <c r="A678" s="38"/>
      <c r="B678" s="143"/>
      <c r="C678" s="38"/>
      <c r="D678" s="38"/>
      <c r="E678" s="38"/>
      <c r="F678" s="38"/>
      <c r="G678" s="38"/>
      <c r="H678" s="38"/>
      <c r="I678" s="38"/>
      <c r="J678" s="38"/>
      <c r="K678" s="38"/>
      <c r="L678" s="38"/>
      <c r="M678" s="38"/>
      <c r="N678" s="38"/>
      <c r="O678" s="38"/>
      <c r="P678" s="38"/>
      <c r="Q678" s="38"/>
      <c r="R678" s="38"/>
      <c r="S678" s="38"/>
      <c r="T678" s="38"/>
      <c r="U678" s="38"/>
      <c r="V678" s="38"/>
      <c r="W678" s="38"/>
      <c r="X678" s="38"/>
      <c r="Y678" s="38"/>
    </row>
    <row r="679">
      <c r="A679" s="38"/>
      <c r="B679" s="143"/>
      <c r="C679" s="38"/>
      <c r="D679" s="38"/>
      <c r="E679" s="38"/>
      <c r="F679" s="38"/>
      <c r="G679" s="38"/>
      <c r="H679" s="38"/>
      <c r="I679" s="38"/>
      <c r="J679" s="38"/>
      <c r="K679" s="38"/>
      <c r="L679" s="38"/>
      <c r="M679" s="38"/>
      <c r="N679" s="38"/>
      <c r="O679" s="38"/>
      <c r="P679" s="38"/>
      <c r="Q679" s="38"/>
      <c r="R679" s="38"/>
      <c r="S679" s="38"/>
      <c r="T679" s="38"/>
      <c r="U679" s="38"/>
      <c r="V679" s="38"/>
      <c r="W679" s="38"/>
      <c r="X679" s="38"/>
      <c r="Y679" s="38"/>
    </row>
    <row r="680">
      <c r="A680" s="38"/>
      <c r="B680" s="143"/>
      <c r="C680" s="38"/>
      <c r="D680" s="38"/>
      <c r="E680" s="38"/>
      <c r="F680" s="38"/>
      <c r="G680" s="38"/>
      <c r="H680" s="38"/>
      <c r="I680" s="38"/>
      <c r="J680" s="38"/>
      <c r="K680" s="38"/>
      <c r="L680" s="38"/>
      <c r="M680" s="38"/>
      <c r="N680" s="38"/>
      <c r="O680" s="38"/>
      <c r="P680" s="38"/>
      <c r="Q680" s="38"/>
      <c r="R680" s="38"/>
      <c r="S680" s="38"/>
      <c r="T680" s="38"/>
      <c r="U680" s="38"/>
      <c r="V680" s="38"/>
      <c r="W680" s="38"/>
      <c r="X680" s="38"/>
      <c r="Y680" s="38"/>
    </row>
    <row r="681">
      <c r="A681" s="38"/>
      <c r="B681" s="143"/>
      <c r="C681" s="38"/>
      <c r="D681" s="38"/>
      <c r="E681" s="38"/>
      <c r="F681" s="38"/>
      <c r="G681" s="38"/>
      <c r="H681" s="38"/>
      <c r="I681" s="38"/>
      <c r="J681" s="38"/>
      <c r="K681" s="38"/>
      <c r="L681" s="38"/>
      <c r="M681" s="38"/>
      <c r="N681" s="38"/>
      <c r="O681" s="38"/>
      <c r="P681" s="38"/>
      <c r="Q681" s="38"/>
      <c r="R681" s="38"/>
      <c r="S681" s="38"/>
      <c r="T681" s="38"/>
      <c r="U681" s="38"/>
      <c r="V681" s="38"/>
      <c r="W681" s="38"/>
      <c r="X681" s="38"/>
      <c r="Y681" s="38"/>
    </row>
    <row r="682">
      <c r="A682" s="38"/>
      <c r="B682" s="143"/>
      <c r="C682" s="38"/>
      <c r="D682" s="38"/>
      <c r="E682" s="38"/>
      <c r="F682" s="38"/>
      <c r="G682" s="38"/>
      <c r="H682" s="38"/>
      <c r="I682" s="38"/>
      <c r="J682" s="38"/>
      <c r="K682" s="38"/>
      <c r="L682" s="38"/>
      <c r="M682" s="38"/>
      <c r="N682" s="38"/>
      <c r="O682" s="38"/>
      <c r="P682" s="38"/>
      <c r="Q682" s="38"/>
      <c r="R682" s="38"/>
      <c r="S682" s="38"/>
      <c r="T682" s="38"/>
      <c r="U682" s="38"/>
      <c r="V682" s="38"/>
      <c r="W682" s="38"/>
      <c r="X682" s="38"/>
      <c r="Y682" s="38"/>
    </row>
    <row r="683">
      <c r="A683" s="38"/>
      <c r="B683" s="143"/>
      <c r="C683" s="38"/>
      <c r="D683" s="38"/>
      <c r="E683" s="38"/>
      <c r="F683" s="38"/>
      <c r="G683" s="38"/>
      <c r="H683" s="38"/>
      <c r="I683" s="38"/>
      <c r="J683" s="38"/>
      <c r="K683" s="38"/>
      <c r="L683" s="38"/>
      <c r="M683" s="38"/>
      <c r="N683" s="38"/>
      <c r="O683" s="38"/>
      <c r="P683" s="38"/>
      <c r="Q683" s="38"/>
      <c r="R683" s="38"/>
      <c r="S683" s="38"/>
      <c r="T683" s="38"/>
      <c r="U683" s="38"/>
      <c r="V683" s="38"/>
      <c r="W683" s="38"/>
      <c r="X683" s="38"/>
      <c r="Y683" s="38"/>
    </row>
    <row r="684">
      <c r="A684" s="38"/>
      <c r="B684" s="143"/>
      <c r="C684" s="38"/>
      <c r="D684" s="38"/>
      <c r="E684" s="38"/>
      <c r="F684" s="38"/>
      <c r="G684" s="38"/>
      <c r="H684" s="38"/>
      <c r="I684" s="38"/>
      <c r="J684" s="38"/>
      <c r="K684" s="38"/>
      <c r="L684" s="38"/>
      <c r="M684" s="38"/>
      <c r="N684" s="38"/>
      <c r="O684" s="38"/>
      <c r="P684" s="38"/>
      <c r="Q684" s="38"/>
      <c r="R684" s="38"/>
      <c r="S684" s="38"/>
      <c r="T684" s="38"/>
      <c r="U684" s="38"/>
      <c r="V684" s="38"/>
      <c r="W684" s="38"/>
      <c r="X684" s="38"/>
      <c r="Y684" s="38"/>
    </row>
    <row r="685">
      <c r="A685" s="38"/>
      <c r="B685" s="143"/>
      <c r="C685" s="38"/>
      <c r="D685" s="38"/>
      <c r="E685" s="38"/>
      <c r="F685" s="38"/>
      <c r="G685" s="38"/>
      <c r="H685" s="38"/>
      <c r="I685" s="38"/>
      <c r="J685" s="38"/>
      <c r="K685" s="38"/>
      <c r="L685" s="38"/>
      <c r="M685" s="38"/>
      <c r="N685" s="38"/>
      <c r="O685" s="38"/>
      <c r="P685" s="38"/>
      <c r="Q685" s="38"/>
      <c r="R685" s="38"/>
      <c r="S685" s="38"/>
      <c r="T685" s="38"/>
      <c r="U685" s="38"/>
      <c r="V685" s="38"/>
      <c r="W685" s="38"/>
      <c r="X685" s="38"/>
      <c r="Y685" s="38"/>
    </row>
    <row r="686">
      <c r="A686" s="38"/>
      <c r="B686" s="143"/>
      <c r="C686" s="38"/>
      <c r="D686" s="38"/>
      <c r="E686" s="38"/>
      <c r="F686" s="38"/>
      <c r="G686" s="38"/>
      <c r="H686" s="38"/>
      <c r="I686" s="38"/>
      <c r="J686" s="38"/>
      <c r="K686" s="38"/>
      <c r="L686" s="38"/>
      <c r="M686" s="38"/>
      <c r="N686" s="38"/>
      <c r="O686" s="38"/>
      <c r="P686" s="38"/>
      <c r="Q686" s="38"/>
      <c r="R686" s="38"/>
      <c r="S686" s="38"/>
      <c r="T686" s="38"/>
      <c r="U686" s="38"/>
      <c r="V686" s="38"/>
      <c r="W686" s="38"/>
      <c r="X686" s="38"/>
      <c r="Y686" s="38"/>
    </row>
    <row r="687">
      <c r="A687" s="38"/>
      <c r="B687" s="143"/>
      <c r="C687" s="38"/>
      <c r="D687" s="38"/>
      <c r="E687" s="38"/>
      <c r="F687" s="38"/>
      <c r="G687" s="38"/>
      <c r="H687" s="38"/>
      <c r="I687" s="38"/>
      <c r="J687" s="38"/>
      <c r="K687" s="38"/>
      <c r="L687" s="38"/>
      <c r="M687" s="38"/>
      <c r="N687" s="38"/>
      <c r="O687" s="38"/>
      <c r="P687" s="38"/>
      <c r="Q687" s="38"/>
      <c r="R687" s="38"/>
      <c r="S687" s="38"/>
      <c r="T687" s="38"/>
      <c r="U687" s="38"/>
      <c r="V687" s="38"/>
      <c r="W687" s="38"/>
      <c r="X687" s="38"/>
      <c r="Y687" s="38"/>
    </row>
    <row r="688">
      <c r="A688" s="38"/>
      <c r="B688" s="143"/>
      <c r="C688" s="38"/>
      <c r="D688" s="38"/>
      <c r="E688" s="38"/>
      <c r="F688" s="38"/>
      <c r="G688" s="38"/>
      <c r="H688" s="38"/>
      <c r="I688" s="38"/>
      <c r="J688" s="38"/>
      <c r="K688" s="38"/>
      <c r="L688" s="38"/>
      <c r="M688" s="38"/>
      <c r="N688" s="38"/>
      <c r="O688" s="38"/>
      <c r="P688" s="38"/>
      <c r="Q688" s="38"/>
      <c r="R688" s="38"/>
      <c r="S688" s="38"/>
      <c r="T688" s="38"/>
      <c r="U688" s="38"/>
      <c r="V688" s="38"/>
      <c r="W688" s="38"/>
      <c r="X688" s="38"/>
      <c r="Y688" s="38"/>
    </row>
    <row r="689">
      <c r="A689" s="38"/>
      <c r="B689" s="143"/>
      <c r="C689" s="38"/>
      <c r="D689" s="38"/>
      <c r="E689" s="38"/>
      <c r="F689" s="38"/>
      <c r="G689" s="38"/>
      <c r="H689" s="38"/>
      <c r="I689" s="38"/>
      <c r="J689" s="38"/>
      <c r="K689" s="38"/>
      <c r="L689" s="38"/>
      <c r="M689" s="38"/>
      <c r="N689" s="38"/>
      <c r="O689" s="38"/>
      <c r="P689" s="38"/>
      <c r="Q689" s="38"/>
      <c r="R689" s="38"/>
      <c r="S689" s="38"/>
      <c r="T689" s="38"/>
      <c r="U689" s="38"/>
      <c r="V689" s="38"/>
      <c r="W689" s="38"/>
      <c r="X689" s="38"/>
      <c r="Y689" s="38"/>
    </row>
    <row r="690">
      <c r="A690" s="38"/>
      <c r="B690" s="143"/>
      <c r="C690" s="38"/>
      <c r="D690" s="38"/>
      <c r="E690" s="38"/>
      <c r="F690" s="38"/>
      <c r="G690" s="38"/>
      <c r="H690" s="38"/>
      <c r="I690" s="38"/>
      <c r="J690" s="38"/>
      <c r="K690" s="38"/>
      <c r="L690" s="38"/>
      <c r="M690" s="38"/>
      <c r="N690" s="38"/>
      <c r="O690" s="38"/>
      <c r="P690" s="38"/>
      <c r="Q690" s="38"/>
      <c r="R690" s="38"/>
      <c r="S690" s="38"/>
      <c r="T690" s="38"/>
      <c r="U690" s="38"/>
      <c r="V690" s="38"/>
      <c r="W690" s="38"/>
      <c r="X690" s="38"/>
      <c r="Y690" s="38"/>
    </row>
    <row r="691">
      <c r="A691" s="38"/>
      <c r="B691" s="143"/>
      <c r="C691" s="38"/>
      <c r="D691" s="38"/>
      <c r="E691" s="38"/>
      <c r="F691" s="38"/>
      <c r="G691" s="38"/>
      <c r="H691" s="38"/>
      <c r="I691" s="38"/>
      <c r="J691" s="38"/>
      <c r="K691" s="38"/>
      <c r="L691" s="38"/>
      <c r="M691" s="38"/>
      <c r="N691" s="38"/>
      <c r="O691" s="38"/>
      <c r="P691" s="38"/>
      <c r="Q691" s="38"/>
      <c r="R691" s="38"/>
      <c r="S691" s="38"/>
      <c r="T691" s="38"/>
      <c r="U691" s="38"/>
      <c r="V691" s="38"/>
      <c r="W691" s="38"/>
      <c r="X691" s="38"/>
      <c r="Y691" s="38"/>
    </row>
    <row r="692">
      <c r="A692" s="38"/>
      <c r="B692" s="143"/>
      <c r="C692" s="38"/>
      <c r="D692" s="38"/>
      <c r="E692" s="38"/>
      <c r="F692" s="38"/>
      <c r="G692" s="38"/>
      <c r="H692" s="38"/>
      <c r="I692" s="38"/>
      <c r="J692" s="38"/>
      <c r="K692" s="38"/>
      <c r="L692" s="38"/>
      <c r="M692" s="38"/>
      <c r="N692" s="38"/>
      <c r="O692" s="38"/>
      <c r="P692" s="38"/>
      <c r="Q692" s="38"/>
      <c r="R692" s="38"/>
      <c r="S692" s="38"/>
      <c r="T692" s="38"/>
      <c r="U692" s="38"/>
      <c r="V692" s="38"/>
      <c r="W692" s="38"/>
      <c r="X692" s="38"/>
      <c r="Y692" s="38"/>
    </row>
    <row r="693">
      <c r="A693" s="38"/>
      <c r="B693" s="143"/>
      <c r="C693" s="38"/>
      <c r="D693" s="38"/>
      <c r="E693" s="38"/>
      <c r="F693" s="38"/>
      <c r="G693" s="38"/>
      <c r="H693" s="38"/>
      <c r="I693" s="38"/>
      <c r="J693" s="38"/>
      <c r="K693" s="38"/>
      <c r="L693" s="38"/>
      <c r="M693" s="38"/>
      <c r="N693" s="38"/>
      <c r="O693" s="38"/>
      <c r="P693" s="38"/>
      <c r="Q693" s="38"/>
      <c r="R693" s="38"/>
      <c r="S693" s="38"/>
      <c r="T693" s="38"/>
      <c r="U693" s="38"/>
      <c r="V693" s="38"/>
      <c r="W693" s="38"/>
      <c r="X693" s="38"/>
      <c r="Y693" s="38"/>
    </row>
    <row r="694">
      <c r="A694" s="38"/>
      <c r="B694" s="143"/>
      <c r="C694" s="38"/>
      <c r="D694" s="38"/>
      <c r="E694" s="38"/>
      <c r="F694" s="38"/>
      <c r="G694" s="38"/>
      <c r="H694" s="38"/>
      <c r="I694" s="38"/>
      <c r="J694" s="38"/>
      <c r="K694" s="38"/>
      <c r="L694" s="38"/>
      <c r="M694" s="38"/>
      <c r="N694" s="38"/>
      <c r="O694" s="38"/>
      <c r="P694" s="38"/>
      <c r="Q694" s="38"/>
      <c r="R694" s="38"/>
      <c r="S694" s="38"/>
      <c r="T694" s="38"/>
      <c r="U694" s="38"/>
      <c r="V694" s="38"/>
      <c r="W694" s="38"/>
      <c r="X694" s="38"/>
      <c r="Y694" s="38"/>
    </row>
    <row r="695">
      <c r="A695" s="38"/>
      <c r="B695" s="143"/>
      <c r="C695" s="38"/>
      <c r="D695" s="38"/>
      <c r="E695" s="38"/>
      <c r="F695" s="38"/>
      <c r="G695" s="38"/>
      <c r="H695" s="38"/>
      <c r="I695" s="38"/>
      <c r="J695" s="38"/>
      <c r="K695" s="38"/>
      <c r="L695" s="38"/>
      <c r="M695" s="38"/>
      <c r="N695" s="38"/>
      <c r="O695" s="38"/>
      <c r="P695" s="38"/>
      <c r="Q695" s="38"/>
      <c r="R695" s="38"/>
      <c r="S695" s="38"/>
      <c r="T695" s="38"/>
      <c r="U695" s="38"/>
      <c r="V695" s="38"/>
      <c r="W695" s="38"/>
      <c r="X695" s="38"/>
      <c r="Y695" s="38"/>
    </row>
    <row r="696">
      <c r="A696" s="38"/>
      <c r="B696" s="143"/>
      <c r="C696" s="38"/>
      <c r="D696" s="38"/>
      <c r="E696" s="38"/>
      <c r="F696" s="38"/>
      <c r="G696" s="38"/>
      <c r="H696" s="38"/>
      <c r="I696" s="38"/>
      <c r="J696" s="38"/>
      <c r="K696" s="38"/>
      <c r="L696" s="38"/>
      <c r="M696" s="38"/>
      <c r="N696" s="38"/>
      <c r="O696" s="38"/>
      <c r="P696" s="38"/>
      <c r="Q696" s="38"/>
      <c r="R696" s="38"/>
      <c r="S696" s="38"/>
      <c r="T696" s="38"/>
      <c r="U696" s="38"/>
      <c r="V696" s="38"/>
      <c r="W696" s="38"/>
      <c r="X696" s="38"/>
      <c r="Y696" s="38"/>
    </row>
    <row r="697">
      <c r="A697" s="38"/>
      <c r="B697" s="143"/>
      <c r="C697" s="38"/>
      <c r="D697" s="38"/>
      <c r="E697" s="38"/>
      <c r="F697" s="38"/>
      <c r="G697" s="38"/>
      <c r="H697" s="38"/>
      <c r="I697" s="38"/>
      <c r="J697" s="38"/>
      <c r="K697" s="38"/>
      <c r="L697" s="38"/>
      <c r="M697" s="38"/>
      <c r="N697" s="38"/>
      <c r="O697" s="38"/>
      <c r="P697" s="38"/>
      <c r="Q697" s="38"/>
      <c r="R697" s="38"/>
      <c r="S697" s="38"/>
      <c r="T697" s="38"/>
      <c r="U697" s="38"/>
      <c r="V697" s="38"/>
      <c r="W697" s="38"/>
      <c r="X697" s="38"/>
      <c r="Y697" s="38"/>
    </row>
    <row r="698">
      <c r="A698" s="38"/>
      <c r="B698" s="143"/>
      <c r="C698" s="38"/>
      <c r="D698" s="38"/>
      <c r="E698" s="38"/>
      <c r="F698" s="38"/>
      <c r="G698" s="38"/>
      <c r="H698" s="38"/>
      <c r="I698" s="38"/>
      <c r="J698" s="38"/>
      <c r="K698" s="38"/>
      <c r="L698" s="38"/>
      <c r="M698" s="38"/>
      <c r="N698" s="38"/>
      <c r="O698" s="38"/>
      <c r="P698" s="38"/>
      <c r="Q698" s="38"/>
      <c r="R698" s="38"/>
      <c r="S698" s="38"/>
      <c r="T698" s="38"/>
      <c r="U698" s="38"/>
      <c r="V698" s="38"/>
      <c r="W698" s="38"/>
      <c r="X698" s="38"/>
      <c r="Y698" s="38"/>
    </row>
    <row r="699">
      <c r="A699" s="38"/>
      <c r="B699" s="143"/>
      <c r="C699" s="38"/>
      <c r="D699" s="38"/>
      <c r="E699" s="38"/>
      <c r="F699" s="38"/>
      <c r="G699" s="38"/>
      <c r="H699" s="38"/>
      <c r="I699" s="38"/>
      <c r="J699" s="38"/>
      <c r="K699" s="38"/>
      <c r="L699" s="38"/>
      <c r="M699" s="38"/>
      <c r="N699" s="38"/>
      <c r="O699" s="38"/>
      <c r="P699" s="38"/>
      <c r="Q699" s="38"/>
      <c r="R699" s="38"/>
      <c r="S699" s="38"/>
      <c r="T699" s="38"/>
      <c r="U699" s="38"/>
      <c r="V699" s="38"/>
      <c r="W699" s="38"/>
      <c r="X699" s="38"/>
      <c r="Y699" s="38"/>
    </row>
    <row r="700">
      <c r="A700" s="38"/>
      <c r="B700" s="143"/>
      <c r="C700" s="38"/>
      <c r="D700" s="38"/>
      <c r="E700" s="38"/>
      <c r="F700" s="38"/>
      <c r="G700" s="38"/>
      <c r="H700" s="38"/>
      <c r="I700" s="38"/>
      <c r="J700" s="38"/>
      <c r="K700" s="38"/>
      <c r="L700" s="38"/>
      <c r="M700" s="38"/>
      <c r="N700" s="38"/>
      <c r="O700" s="38"/>
      <c r="P700" s="38"/>
      <c r="Q700" s="38"/>
      <c r="R700" s="38"/>
      <c r="S700" s="38"/>
      <c r="T700" s="38"/>
      <c r="U700" s="38"/>
      <c r="V700" s="38"/>
      <c r="W700" s="38"/>
      <c r="X700" s="38"/>
      <c r="Y700" s="38"/>
    </row>
    <row r="701">
      <c r="A701" s="38"/>
      <c r="B701" s="143"/>
      <c r="C701" s="38"/>
      <c r="D701" s="38"/>
      <c r="E701" s="38"/>
      <c r="F701" s="38"/>
      <c r="G701" s="38"/>
      <c r="H701" s="38"/>
      <c r="I701" s="38"/>
      <c r="J701" s="38"/>
      <c r="K701" s="38"/>
      <c r="L701" s="38"/>
      <c r="M701" s="38"/>
      <c r="N701" s="38"/>
      <c r="O701" s="38"/>
      <c r="P701" s="38"/>
      <c r="Q701" s="38"/>
      <c r="R701" s="38"/>
      <c r="S701" s="38"/>
      <c r="T701" s="38"/>
      <c r="U701" s="38"/>
      <c r="V701" s="38"/>
      <c r="W701" s="38"/>
      <c r="X701" s="38"/>
      <c r="Y701" s="38"/>
    </row>
    <row r="702">
      <c r="A702" s="38"/>
      <c r="B702" s="143"/>
      <c r="C702" s="38"/>
      <c r="D702" s="38"/>
      <c r="E702" s="38"/>
      <c r="F702" s="38"/>
      <c r="G702" s="38"/>
      <c r="H702" s="38"/>
      <c r="I702" s="38"/>
      <c r="J702" s="38"/>
      <c r="K702" s="38"/>
      <c r="L702" s="38"/>
      <c r="M702" s="38"/>
      <c r="N702" s="38"/>
      <c r="O702" s="38"/>
      <c r="P702" s="38"/>
      <c r="Q702" s="38"/>
      <c r="R702" s="38"/>
      <c r="S702" s="38"/>
      <c r="T702" s="38"/>
      <c r="U702" s="38"/>
      <c r="V702" s="38"/>
      <c r="W702" s="38"/>
      <c r="X702" s="38"/>
      <c r="Y702" s="38"/>
    </row>
    <row r="703">
      <c r="A703" s="38"/>
      <c r="B703" s="143"/>
      <c r="C703" s="38"/>
      <c r="D703" s="38"/>
      <c r="E703" s="38"/>
      <c r="F703" s="38"/>
      <c r="G703" s="38"/>
      <c r="H703" s="38"/>
      <c r="I703" s="38"/>
      <c r="J703" s="38"/>
      <c r="K703" s="38"/>
      <c r="L703" s="38"/>
      <c r="M703" s="38"/>
      <c r="N703" s="38"/>
      <c r="O703" s="38"/>
      <c r="P703" s="38"/>
      <c r="Q703" s="38"/>
      <c r="R703" s="38"/>
      <c r="S703" s="38"/>
      <c r="T703" s="38"/>
      <c r="U703" s="38"/>
      <c r="V703" s="38"/>
      <c r="W703" s="38"/>
      <c r="X703" s="38"/>
      <c r="Y703" s="38"/>
    </row>
    <row r="704">
      <c r="A704" s="38"/>
      <c r="B704" s="143"/>
      <c r="C704" s="38"/>
      <c r="D704" s="38"/>
      <c r="E704" s="38"/>
      <c r="F704" s="38"/>
      <c r="G704" s="38"/>
      <c r="H704" s="38"/>
      <c r="I704" s="38"/>
      <c r="J704" s="38"/>
      <c r="K704" s="38"/>
      <c r="L704" s="38"/>
      <c r="M704" s="38"/>
      <c r="N704" s="38"/>
      <c r="O704" s="38"/>
      <c r="P704" s="38"/>
      <c r="Q704" s="38"/>
      <c r="R704" s="38"/>
      <c r="S704" s="38"/>
      <c r="T704" s="38"/>
      <c r="U704" s="38"/>
      <c r="V704" s="38"/>
      <c r="W704" s="38"/>
      <c r="X704" s="38"/>
      <c r="Y704" s="38"/>
    </row>
    <row r="705">
      <c r="A705" s="38"/>
      <c r="B705" s="143"/>
      <c r="C705" s="38"/>
      <c r="D705" s="38"/>
      <c r="E705" s="38"/>
      <c r="F705" s="38"/>
      <c r="G705" s="38"/>
      <c r="H705" s="38"/>
      <c r="I705" s="38"/>
      <c r="J705" s="38"/>
      <c r="K705" s="38"/>
      <c r="L705" s="38"/>
      <c r="M705" s="38"/>
      <c r="N705" s="38"/>
      <c r="O705" s="38"/>
      <c r="P705" s="38"/>
      <c r="Q705" s="38"/>
      <c r="R705" s="38"/>
      <c r="S705" s="38"/>
      <c r="T705" s="38"/>
      <c r="U705" s="38"/>
      <c r="V705" s="38"/>
      <c r="W705" s="38"/>
      <c r="X705" s="38"/>
      <c r="Y705" s="38"/>
    </row>
    <row r="706">
      <c r="A706" s="38"/>
      <c r="B706" s="143"/>
      <c r="C706" s="38"/>
      <c r="D706" s="38"/>
      <c r="E706" s="38"/>
      <c r="F706" s="38"/>
      <c r="G706" s="38"/>
      <c r="H706" s="38"/>
      <c r="I706" s="38"/>
      <c r="J706" s="38"/>
      <c r="K706" s="38"/>
      <c r="L706" s="38"/>
      <c r="M706" s="38"/>
      <c r="N706" s="38"/>
      <c r="O706" s="38"/>
      <c r="P706" s="38"/>
      <c r="Q706" s="38"/>
      <c r="R706" s="38"/>
      <c r="S706" s="38"/>
      <c r="T706" s="38"/>
      <c r="U706" s="38"/>
      <c r="V706" s="38"/>
      <c r="W706" s="38"/>
      <c r="X706" s="38"/>
      <c r="Y706" s="38"/>
    </row>
    <row r="707">
      <c r="A707" s="38"/>
      <c r="B707" s="143"/>
      <c r="C707" s="38"/>
      <c r="D707" s="38"/>
      <c r="E707" s="38"/>
      <c r="F707" s="38"/>
      <c r="G707" s="38"/>
      <c r="H707" s="38"/>
      <c r="I707" s="38"/>
      <c r="J707" s="38"/>
      <c r="K707" s="38"/>
      <c r="L707" s="38"/>
      <c r="M707" s="38"/>
      <c r="N707" s="38"/>
      <c r="O707" s="38"/>
      <c r="P707" s="38"/>
      <c r="Q707" s="38"/>
      <c r="R707" s="38"/>
      <c r="S707" s="38"/>
      <c r="T707" s="38"/>
      <c r="U707" s="38"/>
      <c r="V707" s="38"/>
      <c r="W707" s="38"/>
      <c r="X707" s="38"/>
      <c r="Y707" s="38"/>
    </row>
    <row r="708">
      <c r="A708" s="38"/>
      <c r="B708" s="143"/>
      <c r="C708" s="38"/>
      <c r="D708" s="38"/>
      <c r="E708" s="38"/>
      <c r="F708" s="38"/>
      <c r="G708" s="38"/>
      <c r="H708" s="38"/>
      <c r="I708" s="38"/>
      <c r="J708" s="38"/>
      <c r="K708" s="38"/>
      <c r="L708" s="38"/>
      <c r="M708" s="38"/>
      <c r="N708" s="38"/>
      <c r="O708" s="38"/>
      <c r="P708" s="38"/>
      <c r="Q708" s="38"/>
      <c r="R708" s="38"/>
      <c r="S708" s="38"/>
      <c r="T708" s="38"/>
      <c r="U708" s="38"/>
      <c r="V708" s="38"/>
      <c r="W708" s="38"/>
      <c r="X708" s="38"/>
      <c r="Y708" s="38"/>
    </row>
    <row r="709">
      <c r="A709" s="38"/>
      <c r="B709" s="143"/>
      <c r="C709" s="38"/>
      <c r="D709" s="38"/>
      <c r="E709" s="38"/>
      <c r="F709" s="38"/>
      <c r="G709" s="38"/>
      <c r="H709" s="38"/>
      <c r="I709" s="38"/>
      <c r="J709" s="38"/>
      <c r="K709" s="38"/>
      <c r="L709" s="38"/>
      <c r="M709" s="38"/>
      <c r="N709" s="38"/>
      <c r="O709" s="38"/>
      <c r="P709" s="38"/>
      <c r="Q709" s="38"/>
      <c r="R709" s="38"/>
      <c r="S709" s="38"/>
      <c r="T709" s="38"/>
      <c r="U709" s="38"/>
      <c r="V709" s="38"/>
      <c r="W709" s="38"/>
      <c r="X709" s="38"/>
      <c r="Y709" s="38"/>
    </row>
    <row r="710">
      <c r="A710" s="38"/>
      <c r="B710" s="143"/>
      <c r="C710" s="38"/>
      <c r="D710" s="38"/>
      <c r="E710" s="38"/>
      <c r="F710" s="38"/>
      <c r="G710" s="38"/>
      <c r="H710" s="38"/>
      <c r="I710" s="38"/>
      <c r="J710" s="38"/>
      <c r="K710" s="38"/>
      <c r="L710" s="38"/>
      <c r="M710" s="38"/>
      <c r="N710" s="38"/>
      <c r="O710" s="38"/>
      <c r="P710" s="38"/>
      <c r="Q710" s="38"/>
      <c r="R710" s="38"/>
      <c r="S710" s="38"/>
      <c r="T710" s="38"/>
      <c r="U710" s="38"/>
      <c r="V710" s="38"/>
      <c r="W710" s="38"/>
      <c r="X710" s="38"/>
      <c r="Y710" s="38"/>
    </row>
    <row r="711">
      <c r="A711" s="38"/>
      <c r="B711" s="143"/>
      <c r="C711" s="38"/>
      <c r="D711" s="38"/>
      <c r="E711" s="38"/>
      <c r="F711" s="38"/>
      <c r="G711" s="38"/>
      <c r="H711" s="38"/>
      <c r="I711" s="38"/>
      <c r="J711" s="38"/>
      <c r="K711" s="38"/>
      <c r="L711" s="38"/>
      <c r="M711" s="38"/>
      <c r="N711" s="38"/>
      <c r="O711" s="38"/>
      <c r="P711" s="38"/>
      <c r="Q711" s="38"/>
      <c r="R711" s="38"/>
      <c r="S711" s="38"/>
      <c r="T711" s="38"/>
      <c r="U711" s="38"/>
      <c r="V711" s="38"/>
      <c r="W711" s="38"/>
      <c r="X711" s="38"/>
      <c r="Y711" s="38"/>
    </row>
    <row r="712">
      <c r="A712" s="38"/>
      <c r="B712" s="143"/>
      <c r="C712" s="38"/>
      <c r="D712" s="38"/>
      <c r="E712" s="38"/>
      <c r="F712" s="38"/>
      <c r="G712" s="38"/>
      <c r="H712" s="38"/>
      <c r="I712" s="38"/>
      <c r="J712" s="38"/>
      <c r="K712" s="38"/>
      <c r="L712" s="38"/>
      <c r="M712" s="38"/>
      <c r="N712" s="38"/>
      <c r="O712" s="38"/>
      <c r="P712" s="38"/>
      <c r="Q712" s="38"/>
      <c r="R712" s="38"/>
      <c r="S712" s="38"/>
      <c r="T712" s="38"/>
      <c r="U712" s="38"/>
      <c r="V712" s="38"/>
      <c r="W712" s="38"/>
      <c r="X712" s="38"/>
      <c r="Y712" s="38"/>
    </row>
    <row r="713">
      <c r="A713" s="38"/>
      <c r="B713" s="143"/>
      <c r="C713" s="38"/>
      <c r="D713" s="38"/>
      <c r="E713" s="38"/>
      <c r="F713" s="38"/>
      <c r="G713" s="38"/>
      <c r="H713" s="38"/>
      <c r="I713" s="38"/>
      <c r="J713" s="38"/>
      <c r="K713" s="38"/>
      <c r="L713" s="38"/>
      <c r="M713" s="38"/>
      <c r="N713" s="38"/>
      <c r="O713" s="38"/>
      <c r="P713" s="38"/>
      <c r="Q713" s="38"/>
      <c r="R713" s="38"/>
      <c r="S713" s="38"/>
      <c r="T713" s="38"/>
      <c r="U713" s="38"/>
      <c r="V713" s="38"/>
      <c r="W713" s="38"/>
      <c r="X713" s="38"/>
      <c r="Y713" s="38"/>
    </row>
    <row r="714">
      <c r="A714" s="38"/>
      <c r="B714" s="143"/>
      <c r="C714" s="38"/>
      <c r="D714" s="38"/>
      <c r="E714" s="38"/>
      <c r="F714" s="38"/>
      <c r="G714" s="38"/>
      <c r="H714" s="38"/>
      <c r="I714" s="38"/>
      <c r="J714" s="38"/>
      <c r="K714" s="38"/>
      <c r="L714" s="38"/>
      <c r="M714" s="38"/>
      <c r="N714" s="38"/>
      <c r="O714" s="38"/>
      <c r="P714" s="38"/>
      <c r="Q714" s="38"/>
      <c r="R714" s="38"/>
      <c r="S714" s="38"/>
      <c r="T714" s="38"/>
      <c r="U714" s="38"/>
      <c r="V714" s="38"/>
      <c r="W714" s="38"/>
      <c r="X714" s="38"/>
      <c r="Y714" s="38"/>
    </row>
    <row r="715">
      <c r="A715" s="38"/>
      <c r="B715" s="143"/>
      <c r="C715" s="38"/>
      <c r="D715" s="38"/>
      <c r="E715" s="38"/>
      <c r="F715" s="38"/>
      <c r="G715" s="38"/>
      <c r="H715" s="38"/>
      <c r="I715" s="38"/>
      <c r="J715" s="38"/>
      <c r="K715" s="38"/>
      <c r="L715" s="38"/>
      <c r="M715" s="38"/>
      <c r="N715" s="38"/>
      <c r="O715" s="38"/>
      <c r="P715" s="38"/>
      <c r="Q715" s="38"/>
      <c r="R715" s="38"/>
      <c r="S715" s="38"/>
      <c r="T715" s="38"/>
      <c r="U715" s="38"/>
      <c r="V715" s="38"/>
      <c r="W715" s="38"/>
      <c r="X715" s="38"/>
      <c r="Y715" s="38"/>
    </row>
    <row r="716">
      <c r="A716" s="38"/>
      <c r="B716" s="143"/>
      <c r="C716" s="38"/>
      <c r="D716" s="38"/>
      <c r="E716" s="38"/>
      <c r="F716" s="38"/>
      <c r="G716" s="38"/>
      <c r="H716" s="38"/>
      <c r="I716" s="38"/>
      <c r="J716" s="38"/>
      <c r="K716" s="38"/>
      <c r="L716" s="38"/>
      <c r="M716" s="38"/>
      <c r="N716" s="38"/>
      <c r="O716" s="38"/>
      <c r="P716" s="38"/>
      <c r="Q716" s="38"/>
      <c r="R716" s="38"/>
      <c r="S716" s="38"/>
      <c r="T716" s="38"/>
      <c r="U716" s="38"/>
      <c r="V716" s="38"/>
      <c r="W716" s="38"/>
      <c r="X716" s="38"/>
      <c r="Y716" s="38"/>
    </row>
    <row r="717">
      <c r="A717" s="38"/>
      <c r="B717" s="143"/>
      <c r="C717" s="38"/>
      <c r="D717" s="38"/>
      <c r="E717" s="38"/>
      <c r="F717" s="38"/>
      <c r="G717" s="38"/>
      <c r="H717" s="38"/>
      <c r="I717" s="38"/>
      <c r="J717" s="38"/>
      <c r="K717" s="38"/>
      <c r="L717" s="38"/>
      <c r="M717" s="38"/>
      <c r="N717" s="38"/>
      <c r="O717" s="38"/>
      <c r="P717" s="38"/>
      <c r="Q717" s="38"/>
      <c r="R717" s="38"/>
      <c r="S717" s="38"/>
      <c r="T717" s="38"/>
      <c r="U717" s="38"/>
      <c r="V717" s="38"/>
      <c r="W717" s="38"/>
      <c r="X717" s="38"/>
      <c r="Y717" s="38"/>
    </row>
    <row r="718">
      <c r="A718" s="38"/>
      <c r="B718" s="143"/>
      <c r="C718" s="38"/>
      <c r="D718" s="38"/>
      <c r="E718" s="38"/>
      <c r="F718" s="38"/>
      <c r="G718" s="38"/>
      <c r="H718" s="38"/>
      <c r="I718" s="38"/>
      <c r="J718" s="38"/>
      <c r="K718" s="38"/>
      <c r="L718" s="38"/>
      <c r="M718" s="38"/>
      <c r="N718" s="38"/>
      <c r="O718" s="38"/>
      <c r="P718" s="38"/>
      <c r="Q718" s="38"/>
      <c r="R718" s="38"/>
      <c r="S718" s="38"/>
      <c r="T718" s="38"/>
      <c r="U718" s="38"/>
      <c r="V718" s="38"/>
      <c r="W718" s="38"/>
      <c r="X718" s="38"/>
      <c r="Y718" s="38"/>
    </row>
    <row r="719">
      <c r="A719" s="38"/>
      <c r="B719" s="143"/>
      <c r="C719" s="38"/>
      <c r="D719" s="38"/>
      <c r="E719" s="38"/>
      <c r="F719" s="38"/>
      <c r="G719" s="38"/>
      <c r="H719" s="38"/>
      <c r="I719" s="38"/>
      <c r="J719" s="38"/>
      <c r="K719" s="38"/>
      <c r="L719" s="38"/>
      <c r="M719" s="38"/>
      <c r="N719" s="38"/>
      <c r="O719" s="38"/>
      <c r="P719" s="38"/>
      <c r="Q719" s="38"/>
      <c r="R719" s="38"/>
      <c r="S719" s="38"/>
      <c r="T719" s="38"/>
      <c r="U719" s="38"/>
      <c r="V719" s="38"/>
      <c r="W719" s="38"/>
      <c r="X719" s="38"/>
      <c r="Y719" s="38"/>
    </row>
    <row r="720">
      <c r="A720" s="38"/>
      <c r="B720" s="143"/>
      <c r="C720" s="38"/>
      <c r="D720" s="38"/>
      <c r="E720" s="38"/>
      <c r="F720" s="38"/>
      <c r="G720" s="38"/>
      <c r="H720" s="38"/>
      <c r="I720" s="38"/>
      <c r="J720" s="38"/>
      <c r="K720" s="38"/>
      <c r="L720" s="38"/>
      <c r="M720" s="38"/>
      <c r="N720" s="38"/>
      <c r="O720" s="38"/>
      <c r="P720" s="38"/>
      <c r="Q720" s="38"/>
      <c r="R720" s="38"/>
      <c r="S720" s="38"/>
      <c r="T720" s="38"/>
      <c r="U720" s="38"/>
      <c r="V720" s="38"/>
      <c r="W720" s="38"/>
      <c r="X720" s="38"/>
      <c r="Y720" s="38"/>
    </row>
    <row r="721">
      <c r="A721" s="38"/>
      <c r="B721" s="143"/>
      <c r="C721" s="38"/>
      <c r="D721" s="38"/>
      <c r="E721" s="38"/>
      <c r="F721" s="38"/>
      <c r="G721" s="38"/>
      <c r="H721" s="38"/>
      <c r="I721" s="38"/>
      <c r="J721" s="38"/>
      <c r="K721" s="38"/>
      <c r="L721" s="38"/>
      <c r="M721" s="38"/>
      <c r="N721" s="38"/>
      <c r="O721" s="38"/>
      <c r="P721" s="38"/>
      <c r="Q721" s="38"/>
      <c r="R721" s="38"/>
      <c r="S721" s="38"/>
      <c r="T721" s="38"/>
      <c r="U721" s="38"/>
      <c r="V721" s="38"/>
      <c r="W721" s="38"/>
      <c r="X721" s="38"/>
      <c r="Y721" s="38"/>
    </row>
    <row r="722">
      <c r="A722" s="38"/>
      <c r="B722" s="143"/>
      <c r="C722" s="38"/>
      <c r="D722" s="38"/>
      <c r="E722" s="38"/>
      <c r="F722" s="38"/>
      <c r="G722" s="38"/>
      <c r="H722" s="38"/>
      <c r="I722" s="38"/>
      <c r="J722" s="38"/>
      <c r="K722" s="38"/>
      <c r="L722" s="38"/>
      <c r="M722" s="38"/>
      <c r="N722" s="38"/>
      <c r="O722" s="38"/>
      <c r="P722" s="38"/>
      <c r="Q722" s="38"/>
      <c r="R722" s="38"/>
      <c r="S722" s="38"/>
      <c r="T722" s="38"/>
      <c r="U722" s="38"/>
      <c r="V722" s="38"/>
      <c r="W722" s="38"/>
      <c r="X722" s="38"/>
      <c r="Y722" s="38"/>
    </row>
    <row r="723">
      <c r="A723" s="38"/>
      <c r="B723" s="143"/>
      <c r="C723" s="38"/>
      <c r="D723" s="38"/>
      <c r="E723" s="38"/>
      <c r="F723" s="38"/>
      <c r="G723" s="38"/>
      <c r="H723" s="38"/>
      <c r="I723" s="38"/>
      <c r="J723" s="38"/>
      <c r="K723" s="38"/>
      <c r="L723" s="38"/>
      <c r="M723" s="38"/>
      <c r="N723" s="38"/>
      <c r="O723" s="38"/>
      <c r="P723" s="38"/>
      <c r="Q723" s="38"/>
      <c r="R723" s="38"/>
      <c r="S723" s="38"/>
      <c r="T723" s="38"/>
      <c r="U723" s="38"/>
      <c r="V723" s="38"/>
      <c r="W723" s="38"/>
      <c r="X723" s="38"/>
      <c r="Y723" s="38"/>
    </row>
    <row r="724">
      <c r="A724" s="38"/>
      <c r="B724" s="143"/>
      <c r="C724" s="38"/>
      <c r="D724" s="38"/>
      <c r="E724" s="38"/>
      <c r="F724" s="38"/>
      <c r="G724" s="38"/>
      <c r="H724" s="38"/>
      <c r="I724" s="38"/>
      <c r="J724" s="38"/>
      <c r="K724" s="38"/>
      <c r="L724" s="38"/>
      <c r="M724" s="38"/>
      <c r="N724" s="38"/>
      <c r="O724" s="38"/>
      <c r="P724" s="38"/>
      <c r="Q724" s="38"/>
      <c r="R724" s="38"/>
      <c r="S724" s="38"/>
      <c r="T724" s="38"/>
      <c r="U724" s="38"/>
      <c r="V724" s="38"/>
      <c r="W724" s="38"/>
      <c r="X724" s="38"/>
      <c r="Y724" s="38"/>
    </row>
    <row r="725">
      <c r="A725" s="38"/>
      <c r="B725" s="143"/>
      <c r="C725" s="38"/>
      <c r="D725" s="38"/>
      <c r="E725" s="38"/>
      <c r="F725" s="38"/>
      <c r="G725" s="38"/>
      <c r="H725" s="38"/>
      <c r="I725" s="38"/>
      <c r="J725" s="38"/>
      <c r="K725" s="38"/>
      <c r="L725" s="38"/>
      <c r="M725" s="38"/>
      <c r="N725" s="38"/>
      <c r="O725" s="38"/>
      <c r="P725" s="38"/>
      <c r="Q725" s="38"/>
      <c r="R725" s="38"/>
      <c r="S725" s="38"/>
      <c r="T725" s="38"/>
      <c r="U725" s="38"/>
      <c r="V725" s="38"/>
      <c r="W725" s="38"/>
      <c r="X725" s="38"/>
      <c r="Y725" s="38"/>
    </row>
    <row r="726">
      <c r="A726" s="38"/>
      <c r="B726" s="143"/>
      <c r="C726" s="38"/>
      <c r="D726" s="38"/>
      <c r="E726" s="38"/>
      <c r="F726" s="38"/>
      <c r="G726" s="38"/>
      <c r="H726" s="38"/>
      <c r="I726" s="38"/>
      <c r="J726" s="38"/>
      <c r="K726" s="38"/>
      <c r="L726" s="38"/>
      <c r="M726" s="38"/>
      <c r="N726" s="38"/>
      <c r="O726" s="38"/>
      <c r="P726" s="38"/>
      <c r="Q726" s="38"/>
      <c r="R726" s="38"/>
      <c r="S726" s="38"/>
      <c r="T726" s="38"/>
      <c r="U726" s="38"/>
      <c r="V726" s="38"/>
      <c r="W726" s="38"/>
      <c r="X726" s="38"/>
      <c r="Y726" s="38"/>
    </row>
    <row r="727">
      <c r="A727" s="38"/>
      <c r="B727" s="143"/>
      <c r="C727" s="38"/>
      <c r="D727" s="38"/>
      <c r="E727" s="38"/>
      <c r="F727" s="38"/>
      <c r="G727" s="38"/>
      <c r="H727" s="38"/>
      <c r="I727" s="38"/>
      <c r="J727" s="38"/>
      <c r="K727" s="38"/>
      <c r="L727" s="38"/>
      <c r="M727" s="38"/>
      <c r="N727" s="38"/>
      <c r="O727" s="38"/>
      <c r="P727" s="38"/>
      <c r="Q727" s="38"/>
      <c r="R727" s="38"/>
      <c r="S727" s="38"/>
      <c r="T727" s="38"/>
      <c r="U727" s="38"/>
      <c r="V727" s="38"/>
      <c r="W727" s="38"/>
      <c r="X727" s="38"/>
      <c r="Y727" s="38"/>
    </row>
    <row r="728">
      <c r="A728" s="38"/>
      <c r="B728" s="143"/>
      <c r="C728" s="38"/>
      <c r="D728" s="38"/>
      <c r="E728" s="38"/>
      <c r="F728" s="38"/>
      <c r="G728" s="38"/>
      <c r="H728" s="38"/>
      <c r="I728" s="38"/>
      <c r="J728" s="38"/>
      <c r="K728" s="38"/>
      <c r="L728" s="38"/>
      <c r="M728" s="38"/>
      <c r="N728" s="38"/>
      <c r="O728" s="38"/>
      <c r="P728" s="38"/>
      <c r="Q728" s="38"/>
      <c r="R728" s="38"/>
      <c r="S728" s="38"/>
      <c r="T728" s="38"/>
      <c r="U728" s="38"/>
      <c r="V728" s="38"/>
      <c r="W728" s="38"/>
      <c r="X728" s="38"/>
      <c r="Y728" s="38"/>
    </row>
    <row r="729">
      <c r="A729" s="38"/>
      <c r="B729" s="143"/>
      <c r="C729" s="38"/>
      <c r="D729" s="38"/>
      <c r="E729" s="38"/>
      <c r="F729" s="38"/>
      <c r="G729" s="38"/>
      <c r="H729" s="38"/>
      <c r="I729" s="38"/>
      <c r="J729" s="38"/>
      <c r="K729" s="38"/>
      <c r="L729" s="38"/>
      <c r="M729" s="38"/>
      <c r="N729" s="38"/>
      <c r="O729" s="38"/>
      <c r="P729" s="38"/>
      <c r="Q729" s="38"/>
      <c r="R729" s="38"/>
      <c r="S729" s="38"/>
      <c r="T729" s="38"/>
      <c r="U729" s="38"/>
      <c r="V729" s="38"/>
      <c r="W729" s="38"/>
      <c r="X729" s="38"/>
      <c r="Y729" s="38"/>
    </row>
    <row r="730">
      <c r="A730" s="38"/>
      <c r="B730" s="143"/>
      <c r="C730" s="38"/>
      <c r="D730" s="38"/>
      <c r="E730" s="38"/>
      <c r="F730" s="38"/>
      <c r="G730" s="38"/>
      <c r="H730" s="38"/>
      <c r="I730" s="38"/>
      <c r="J730" s="38"/>
      <c r="K730" s="38"/>
      <c r="L730" s="38"/>
      <c r="M730" s="38"/>
      <c r="N730" s="38"/>
      <c r="O730" s="38"/>
      <c r="P730" s="38"/>
      <c r="Q730" s="38"/>
      <c r="R730" s="38"/>
      <c r="S730" s="38"/>
      <c r="T730" s="38"/>
      <c r="U730" s="38"/>
      <c r="V730" s="38"/>
      <c r="W730" s="38"/>
      <c r="X730" s="38"/>
      <c r="Y730" s="38"/>
    </row>
    <row r="731">
      <c r="A731" s="38"/>
      <c r="B731" s="143"/>
      <c r="C731" s="38"/>
      <c r="D731" s="38"/>
      <c r="E731" s="38"/>
      <c r="F731" s="38"/>
      <c r="G731" s="38"/>
      <c r="H731" s="38"/>
      <c r="I731" s="38"/>
      <c r="J731" s="38"/>
      <c r="K731" s="38"/>
      <c r="L731" s="38"/>
      <c r="M731" s="38"/>
      <c r="N731" s="38"/>
      <c r="O731" s="38"/>
      <c r="P731" s="38"/>
      <c r="Q731" s="38"/>
      <c r="R731" s="38"/>
      <c r="S731" s="38"/>
      <c r="T731" s="38"/>
      <c r="U731" s="38"/>
      <c r="V731" s="38"/>
      <c r="W731" s="38"/>
      <c r="X731" s="38"/>
      <c r="Y731" s="38"/>
    </row>
    <row r="732">
      <c r="A732" s="38"/>
      <c r="B732" s="143"/>
      <c r="C732" s="38"/>
      <c r="D732" s="38"/>
      <c r="E732" s="38"/>
      <c r="F732" s="38"/>
      <c r="G732" s="38"/>
      <c r="H732" s="38"/>
      <c r="I732" s="38"/>
      <c r="J732" s="38"/>
      <c r="K732" s="38"/>
      <c r="L732" s="38"/>
      <c r="M732" s="38"/>
      <c r="N732" s="38"/>
      <c r="O732" s="38"/>
      <c r="P732" s="38"/>
      <c r="Q732" s="38"/>
      <c r="R732" s="38"/>
      <c r="S732" s="38"/>
      <c r="T732" s="38"/>
      <c r="U732" s="38"/>
      <c r="V732" s="38"/>
      <c r="W732" s="38"/>
      <c r="X732" s="38"/>
      <c r="Y732" s="38"/>
    </row>
    <row r="733">
      <c r="A733" s="38"/>
      <c r="B733" s="143"/>
      <c r="C733" s="38"/>
      <c r="D733" s="38"/>
      <c r="E733" s="38"/>
      <c r="F733" s="38"/>
      <c r="G733" s="38"/>
      <c r="H733" s="38"/>
      <c r="I733" s="38"/>
      <c r="J733" s="38"/>
      <c r="K733" s="38"/>
      <c r="L733" s="38"/>
      <c r="M733" s="38"/>
      <c r="N733" s="38"/>
      <c r="O733" s="38"/>
      <c r="P733" s="38"/>
      <c r="Q733" s="38"/>
      <c r="R733" s="38"/>
      <c r="S733" s="38"/>
      <c r="T733" s="38"/>
      <c r="U733" s="38"/>
      <c r="V733" s="38"/>
      <c r="W733" s="38"/>
      <c r="X733" s="38"/>
      <c r="Y733" s="38"/>
    </row>
    <row r="734">
      <c r="A734" s="38"/>
      <c r="B734" s="143"/>
      <c r="C734" s="38"/>
      <c r="D734" s="38"/>
      <c r="E734" s="38"/>
      <c r="F734" s="38"/>
      <c r="G734" s="38"/>
      <c r="H734" s="38"/>
      <c r="I734" s="38"/>
      <c r="J734" s="38"/>
      <c r="K734" s="38"/>
      <c r="L734" s="38"/>
      <c r="M734" s="38"/>
      <c r="N734" s="38"/>
      <c r="O734" s="38"/>
      <c r="P734" s="38"/>
      <c r="Q734" s="38"/>
      <c r="R734" s="38"/>
      <c r="S734" s="38"/>
      <c r="T734" s="38"/>
      <c r="U734" s="38"/>
      <c r="V734" s="38"/>
      <c r="W734" s="38"/>
      <c r="X734" s="38"/>
      <c r="Y734" s="38"/>
    </row>
    <row r="735">
      <c r="A735" s="38"/>
      <c r="B735" s="143"/>
      <c r="C735" s="38"/>
      <c r="D735" s="38"/>
      <c r="E735" s="38"/>
      <c r="F735" s="38"/>
      <c r="G735" s="38"/>
      <c r="H735" s="38"/>
      <c r="I735" s="38"/>
      <c r="J735" s="38"/>
      <c r="K735" s="38"/>
      <c r="L735" s="38"/>
      <c r="M735" s="38"/>
      <c r="N735" s="38"/>
      <c r="O735" s="38"/>
      <c r="P735" s="38"/>
      <c r="Q735" s="38"/>
      <c r="R735" s="38"/>
      <c r="S735" s="38"/>
      <c r="T735" s="38"/>
      <c r="U735" s="38"/>
      <c r="V735" s="38"/>
      <c r="W735" s="38"/>
      <c r="X735" s="38"/>
      <c r="Y735" s="38"/>
    </row>
    <row r="736">
      <c r="A736" s="38"/>
      <c r="B736" s="143"/>
      <c r="C736" s="38"/>
      <c r="D736" s="38"/>
      <c r="E736" s="38"/>
      <c r="F736" s="38"/>
      <c r="G736" s="38"/>
      <c r="H736" s="38"/>
      <c r="I736" s="38"/>
      <c r="J736" s="38"/>
      <c r="K736" s="38"/>
      <c r="L736" s="38"/>
      <c r="M736" s="38"/>
      <c r="N736" s="38"/>
      <c r="O736" s="38"/>
      <c r="P736" s="38"/>
      <c r="Q736" s="38"/>
      <c r="R736" s="38"/>
      <c r="S736" s="38"/>
      <c r="T736" s="38"/>
      <c r="U736" s="38"/>
      <c r="V736" s="38"/>
      <c r="W736" s="38"/>
      <c r="X736" s="38"/>
      <c r="Y736" s="38"/>
    </row>
    <row r="737">
      <c r="A737" s="38"/>
      <c r="B737" s="143"/>
      <c r="C737" s="38"/>
      <c r="D737" s="38"/>
      <c r="E737" s="38"/>
      <c r="F737" s="38"/>
      <c r="G737" s="38"/>
      <c r="H737" s="38"/>
      <c r="I737" s="38"/>
      <c r="J737" s="38"/>
      <c r="K737" s="38"/>
      <c r="L737" s="38"/>
      <c r="M737" s="38"/>
      <c r="N737" s="38"/>
      <c r="O737" s="38"/>
      <c r="P737" s="38"/>
      <c r="Q737" s="38"/>
      <c r="R737" s="38"/>
      <c r="S737" s="38"/>
      <c r="T737" s="38"/>
      <c r="U737" s="38"/>
      <c r="V737" s="38"/>
      <c r="W737" s="38"/>
      <c r="X737" s="38"/>
      <c r="Y737" s="38"/>
    </row>
    <row r="738">
      <c r="A738" s="38"/>
      <c r="B738" s="143"/>
      <c r="C738" s="38"/>
      <c r="D738" s="38"/>
      <c r="E738" s="38"/>
      <c r="F738" s="38"/>
      <c r="G738" s="38"/>
      <c r="H738" s="38"/>
      <c r="I738" s="38"/>
      <c r="J738" s="38"/>
      <c r="K738" s="38"/>
      <c r="L738" s="38"/>
      <c r="M738" s="38"/>
      <c r="N738" s="38"/>
      <c r="O738" s="38"/>
      <c r="P738" s="38"/>
      <c r="Q738" s="38"/>
      <c r="R738" s="38"/>
      <c r="S738" s="38"/>
      <c r="T738" s="38"/>
      <c r="U738" s="38"/>
      <c r="V738" s="38"/>
      <c r="W738" s="38"/>
      <c r="X738" s="38"/>
      <c r="Y738" s="38"/>
    </row>
    <row r="739">
      <c r="A739" s="38"/>
      <c r="B739" s="143"/>
      <c r="C739" s="38"/>
      <c r="D739" s="38"/>
      <c r="E739" s="38"/>
      <c r="F739" s="38"/>
      <c r="G739" s="38"/>
      <c r="H739" s="38"/>
      <c r="I739" s="38"/>
      <c r="J739" s="38"/>
      <c r="K739" s="38"/>
      <c r="L739" s="38"/>
      <c r="M739" s="38"/>
      <c r="N739" s="38"/>
      <c r="O739" s="38"/>
      <c r="P739" s="38"/>
      <c r="Q739" s="38"/>
      <c r="R739" s="38"/>
      <c r="S739" s="38"/>
      <c r="T739" s="38"/>
      <c r="U739" s="38"/>
      <c r="V739" s="38"/>
      <c r="W739" s="38"/>
      <c r="X739" s="38"/>
      <c r="Y739" s="38"/>
    </row>
    <row r="740">
      <c r="A740" s="38"/>
      <c r="B740" s="143"/>
      <c r="C740" s="38"/>
      <c r="D740" s="38"/>
      <c r="E740" s="38"/>
      <c r="F740" s="38"/>
      <c r="G740" s="38"/>
      <c r="H740" s="38"/>
      <c r="I740" s="38"/>
      <c r="J740" s="38"/>
      <c r="K740" s="38"/>
      <c r="L740" s="38"/>
      <c r="M740" s="38"/>
      <c r="N740" s="38"/>
      <c r="O740" s="38"/>
      <c r="P740" s="38"/>
      <c r="Q740" s="38"/>
      <c r="R740" s="38"/>
      <c r="S740" s="38"/>
      <c r="T740" s="38"/>
      <c r="U740" s="38"/>
      <c r="V740" s="38"/>
      <c r="W740" s="38"/>
      <c r="X740" s="38"/>
      <c r="Y740" s="38"/>
    </row>
    <row r="741">
      <c r="A741" s="38"/>
      <c r="B741" s="143"/>
      <c r="C741" s="38"/>
      <c r="D741" s="38"/>
      <c r="E741" s="38"/>
      <c r="F741" s="38"/>
      <c r="G741" s="38"/>
      <c r="H741" s="38"/>
      <c r="I741" s="38"/>
      <c r="J741" s="38"/>
      <c r="K741" s="38"/>
      <c r="L741" s="38"/>
      <c r="M741" s="38"/>
      <c r="N741" s="38"/>
      <c r="O741" s="38"/>
      <c r="P741" s="38"/>
      <c r="Q741" s="38"/>
      <c r="R741" s="38"/>
      <c r="S741" s="38"/>
      <c r="T741" s="38"/>
      <c r="U741" s="38"/>
      <c r="V741" s="38"/>
      <c r="W741" s="38"/>
      <c r="X741" s="38"/>
      <c r="Y741" s="38"/>
    </row>
    <row r="742">
      <c r="A742" s="38"/>
      <c r="B742" s="143"/>
      <c r="C742" s="38"/>
      <c r="D742" s="38"/>
      <c r="E742" s="38"/>
      <c r="F742" s="38"/>
      <c r="G742" s="38"/>
      <c r="H742" s="38"/>
      <c r="I742" s="38"/>
      <c r="J742" s="38"/>
      <c r="K742" s="38"/>
      <c r="L742" s="38"/>
      <c r="M742" s="38"/>
      <c r="N742" s="38"/>
      <c r="O742" s="38"/>
      <c r="P742" s="38"/>
      <c r="Q742" s="38"/>
      <c r="R742" s="38"/>
      <c r="S742" s="38"/>
      <c r="T742" s="38"/>
      <c r="U742" s="38"/>
      <c r="V742" s="38"/>
      <c r="W742" s="38"/>
      <c r="X742" s="38"/>
      <c r="Y742" s="38"/>
    </row>
    <row r="743">
      <c r="A743" s="38"/>
      <c r="B743" s="143"/>
      <c r="C743" s="38"/>
      <c r="D743" s="38"/>
      <c r="E743" s="38"/>
      <c r="F743" s="38"/>
      <c r="G743" s="38"/>
      <c r="H743" s="38"/>
      <c r="I743" s="38"/>
      <c r="J743" s="38"/>
      <c r="K743" s="38"/>
      <c r="L743" s="38"/>
      <c r="M743" s="38"/>
      <c r="N743" s="38"/>
      <c r="O743" s="38"/>
      <c r="P743" s="38"/>
      <c r="Q743" s="38"/>
      <c r="R743" s="38"/>
      <c r="S743" s="38"/>
      <c r="T743" s="38"/>
      <c r="U743" s="38"/>
      <c r="V743" s="38"/>
      <c r="W743" s="38"/>
      <c r="X743" s="38"/>
      <c r="Y743" s="38"/>
    </row>
    <row r="744">
      <c r="A744" s="38"/>
      <c r="B744" s="143"/>
      <c r="C744" s="38"/>
      <c r="D744" s="38"/>
      <c r="E744" s="38"/>
      <c r="F744" s="38"/>
      <c r="G744" s="38"/>
      <c r="H744" s="38"/>
      <c r="I744" s="38"/>
      <c r="J744" s="38"/>
      <c r="K744" s="38"/>
      <c r="L744" s="38"/>
      <c r="M744" s="38"/>
      <c r="N744" s="38"/>
      <c r="O744" s="38"/>
      <c r="P744" s="38"/>
      <c r="Q744" s="38"/>
      <c r="R744" s="38"/>
      <c r="S744" s="38"/>
      <c r="T744" s="38"/>
      <c r="U744" s="38"/>
      <c r="V744" s="38"/>
      <c r="W744" s="38"/>
      <c r="X744" s="38"/>
      <c r="Y744" s="38"/>
    </row>
    <row r="745">
      <c r="A745" s="38"/>
      <c r="B745" s="143"/>
      <c r="C745" s="38"/>
      <c r="D745" s="38"/>
      <c r="E745" s="38"/>
      <c r="F745" s="38"/>
      <c r="G745" s="38"/>
      <c r="H745" s="38"/>
      <c r="I745" s="38"/>
      <c r="J745" s="38"/>
      <c r="K745" s="38"/>
      <c r="L745" s="38"/>
      <c r="M745" s="38"/>
      <c r="N745" s="38"/>
      <c r="O745" s="38"/>
      <c r="P745" s="38"/>
      <c r="Q745" s="38"/>
      <c r="R745" s="38"/>
      <c r="S745" s="38"/>
      <c r="T745" s="38"/>
      <c r="U745" s="38"/>
      <c r="V745" s="38"/>
      <c r="W745" s="38"/>
      <c r="X745" s="38"/>
      <c r="Y745" s="38"/>
    </row>
    <row r="746">
      <c r="A746" s="38"/>
      <c r="B746" s="143"/>
      <c r="C746" s="38"/>
      <c r="D746" s="38"/>
      <c r="E746" s="38"/>
      <c r="F746" s="38"/>
      <c r="G746" s="38"/>
      <c r="H746" s="38"/>
      <c r="I746" s="38"/>
      <c r="J746" s="38"/>
      <c r="K746" s="38"/>
      <c r="L746" s="38"/>
      <c r="M746" s="38"/>
      <c r="N746" s="38"/>
      <c r="O746" s="38"/>
      <c r="P746" s="38"/>
      <c r="Q746" s="38"/>
      <c r="R746" s="38"/>
      <c r="S746" s="38"/>
      <c r="T746" s="38"/>
      <c r="U746" s="38"/>
      <c r="V746" s="38"/>
      <c r="W746" s="38"/>
      <c r="X746" s="38"/>
      <c r="Y746" s="38"/>
    </row>
    <row r="747">
      <c r="A747" s="38"/>
      <c r="B747" s="143"/>
      <c r="C747" s="38"/>
      <c r="D747" s="38"/>
      <c r="E747" s="38"/>
      <c r="F747" s="38"/>
      <c r="G747" s="38"/>
      <c r="H747" s="38"/>
      <c r="I747" s="38"/>
      <c r="J747" s="38"/>
      <c r="K747" s="38"/>
      <c r="L747" s="38"/>
      <c r="M747" s="38"/>
      <c r="N747" s="38"/>
      <c r="O747" s="38"/>
      <c r="P747" s="38"/>
      <c r="Q747" s="38"/>
      <c r="R747" s="38"/>
      <c r="S747" s="38"/>
      <c r="T747" s="38"/>
      <c r="U747" s="38"/>
      <c r="V747" s="38"/>
      <c r="W747" s="38"/>
      <c r="X747" s="38"/>
      <c r="Y747" s="38"/>
    </row>
    <row r="748">
      <c r="A748" s="38"/>
      <c r="B748" s="143"/>
      <c r="C748" s="38"/>
      <c r="D748" s="38"/>
      <c r="E748" s="38"/>
      <c r="F748" s="38"/>
      <c r="G748" s="38"/>
      <c r="H748" s="38"/>
      <c r="I748" s="38"/>
      <c r="J748" s="38"/>
      <c r="K748" s="38"/>
      <c r="L748" s="38"/>
      <c r="M748" s="38"/>
      <c r="N748" s="38"/>
      <c r="O748" s="38"/>
      <c r="P748" s="38"/>
      <c r="Q748" s="38"/>
      <c r="R748" s="38"/>
      <c r="S748" s="38"/>
      <c r="T748" s="38"/>
      <c r="U748" s="38"/>
      <c r="V748" s="38"/>
      <c r="W748" s="38"/>
      <c r="X748" s="38"/>
      <c r="Y748" s="38"/>
    </row>
    <row r="749">
      <c r="A749" s="38"/>
      <c r="B749" s="143"/>
      <c r="C749" s="38"/>
      <c r="D749" s="38"/>
      <c r="E749" s="38"/>
      <c r="F749" s="38"/>
      <c r="G749" s="38"/>
      <c r="H749" s="38"/>
      <c r="I749" s="38"/>
      <c r="J749" s="38"/>
      <c r="K749" s="38"/>
      <c r="L749" s="38"/>
      <c r="M749" s="38"/>
      <c r="N749" s="38"/>
      <c r="O749" s="38"/>
      <c r="P749" s="38"/>
      <c r="Q749" s="38"/>
      <c r="R749" s="38"/>
      <c r="S749" s="38"/>
      <c r="T749" s="38"/>
      <c r="U749" s="38"/>
      <c r="V749" s="38"/>
      <c r="W749" s="38"/>
      <c r="X749" s="38"/>
      <c r="Y749" s="38"/>
    </row>
    <row r="750">
      <c r="A750" s="38"/>
      <c r="B750" s="143"/>
      <c r="C750" s="38"/>
      <c r="D750" s="38"/>
      <c r="E750" s="38"/>
      <c r="F750" s="38"/>
      <c r="G750" s="38"/>
      <c r="H750" s="38"/>
      <c r="I750" s="38"/>
      <c r="J750" s="38"/>
      <c r="K750" s="38"/>
      <c r="L750" s="38"/>
      <c r="M750" s="38"/>
      <c r="N750" s="38"/>
      <c r="O750" s="38"/>
      <c r="P750" s="38"/>
      <c r="Q750" s="38"/>
      <c r="R750" s="38"/>
      <c r="S750" s="38"/>
      <c r="T750" s="38"/>
      <c r="U750" s="38"/>
      <c r="V750" s="38"/>
      <c r="W750" s="38"/>
      <c r="X750" s="38"/>
      <c r="Y750" s="38"/>
    </row>
    <row r="751">
      <c r="A751" s="38"/>
      <c r="B751" s="143"/>
      <c r="C751" s="38"/>
      <c r="D751" s="38"/>
      <c r="E751" s="38"/>
      <c r="F751" s="38"/>
      <c r="G751" s="38"/>
      <c r="H751" s="38"/>
      <c r="I751" s="38"/>
      <c r="J751" s="38"/>
      <c r="K751" s="38"/>
      <c r="L751" s="38"/>
      <c r="M751" s="38"/>
      <c r="N751" s="38"/>
      <c r="O751" s="38"/>
      <c r="P751" s="38"/>
      <c r="Q751" s="38"/>
      <c r="R751" s="38"/>
      <c r="S751" s="38"/>
      <c r="T751" s="38"/>
      <c r="U751" s="38"/>
      <c r="V751" s="38"/>
      <c r="W751" s="38"/>
      <c r="X751" s="38"/>
      <c r="Y751" s="38"/>
    </row>
    <row r="752">
      <c r="A752" s="38"/>
      <c r="B752" s="143"/>
      <c r="C752" s="38"/>
      <c r="D752" s="38"/>
      <c r="E752" s="38"/>
      <c r="F752" s="38"/>
      <c r="G752" s="38"/>
      <c r="H752" s="38"/>
      <c r="I752" s="38"/>
      <c r="J752" s="38"/>
      <c r="K752" s="38"/>
      <c r="L752" s="38"/>
      <c r="M752" s="38"/>
      <c r="N752" s="38"/>
      <c r="O752" s="38"/>
      <c r="P752" s="38"/>
      <c r="Q752" s="38"/>
      <c r="R752" s="38"/>
      <c r="S752" s="38"/>
      <c r="T752" s="38"/>
      <c r="U752" s="38"/>
      <c r="V752" s="38"/>
      <c r="W752" s="38"/>
      <c r="X752" s="38"/>
      <c r="Y752" s="38"/>
    </row>
    <row r="753">
      <c r="A753" s="38"/>
      <c r="B753" s="143"/>
      <c r="C753" s="38"/>
      <c r="D753" s="38"/>
      <c r="E753" s="38"/>
      <c r="F753" s="38"/>
      <c r="G753" s="38"/>
      <c r="H753" s="38"/>
      <c r="I753" s="38"/>
      <c r="J753" s="38"/>
      <c r="K753" s="38"/>
      <c r="L753" s="38"/>
      <c r="M753" s="38"/>
      <c r="N753" s="38"/>
      <c r="O753" s="38"/>
      <c r="P753" s="38"/>
      <c r="Q753" s="38"/>
      <c r="R753" s="38"/>
      <c r="S753" s="38"/>
      <c r="T753" s="38"/>
      <c r="U753" s="38"/>
      <c r="V753" s="38"/>
      <c r="W753" s="38"/>
      <c r="X753" s="38"/>
      <c r="Y753" s="38"/>
    </row>
    <row r="754">
      <c r="A754" s="38"/>
      <c r="B754" s="143"/>
      <c r="C754" s="38"/>
      <c r="D754" s="38"/>
      <c r="E754" s="38"/>
      <c r="F754" s="38"/>
      <c r="G754" s="38"/>
      <c r="H754" s="38"/>
      <c r="I754" s="38"/>
      <c r="J754" s="38"/>
      <c r="K754" s="38"/>
      <c r="L754" s="38"/>
      <c r="M754" s="38"/>
      <c r="N754" s="38"/>
      <c r="O754" s="38"/>
      <c r="P754" s="38"/>
      <c r="Q754" s="38"/>
      <c r="R754" s="38"/>
      <c r="S754" s="38"/>
      <c r="T754" s="38"/>
      <c r="U754" s="38"/>
      <c r="V754" s="38"/>
      <c r="W754" s="38"/>
      <c r="X754" s="38"/>
      <c r="Y754" s="38"/>
    </row>
    <row r="755">
      <c r="A755" s="38"/>
      <c r="B755" s="143"/>
      <c r="C755" s="38"/>
      <c r="D755" s="38"/>
      <c r="E755" s="38"/>
      <c r="F755" s="38"/>
      <c r="G755" s="38"/>
      <c r="H755" s="38"/>
      <c r="I755" s="38"/>
      <c r="J755" s="38"/>
      <c r="K755" s="38"/>
      <c r="L755" s="38"/>
      <c r="M755" s="38"/>
      <c r="N755" s="38"/>
      <c r="O755" s="38"/>
      <c r="P755" s="38"/>
      <c r="Q755" s="38"/>
      <c r="R755" s="38"/>
      <c r="S755" s="38"/>
      <c r="T755" s="38"/>
      <c r="U755" s="38"/>
      <c r="V755" s="38"/>
      <c r="W755" s="38"/>
      <c r="X755" s="38"/>
      <c r="Y755" s="38"/>
    </row>
    <row r="756">
      <c r="A756" s="38"/>
      <c r="B756" s="143"/>
      <c r="C756" s="38"/>
      <c r="D756" s="38"/>
      <c r="E756" s="38"/>
      <c r="F756" s="38"/>
      <c r="G756" s="38"/>
      <c r="H756" s="38"/>
      <c r="I756" s="38"/>
      <c r="J756" s="38"/>
      <c r="K756" s="38"/>
      <c r="L756" s="38"/>
      <c r="M756" s="38"/>
      <c r="N756" s="38"/>
      <c r="O756" s="38"/>
      <c r="P756" s="38"/>
      <c r="Q756" s="38"/>
      <c r="R756" s="38"/>
      <c r="S756" s="38"/>
      <c r="T756" s="38"/>
      <c r="U756" s="38"/>
      <c r="V756" s="38"/>
      <c r="W756" s="38"/>
      <c r="X756" s="38"/>
      <c r="Y756" s="38"/>
    </row>
    <row r="757">
      <c r="A757" s="38"/>
      <c r="B757" s="143"/>
      <c r="C757" s="38"/>
      <c r="D757" s="38"/>
      <c r="E757" s="38"/>
      <c r="F757" s="38"/>
      <c r="G757" s="38"/>
      <c r="H757" s="38"/>
      <c r="I757" s="38"/>
      <c r="J757" s="38"/>
      <c r="K757" s="38"/>
      <c r="L757" s="38"/>
      <c r="M757" s="38"/>
      <c r="N757" s="38"/>
      <c r="O757" s="38"/>
      <c r="P757" s="38"/>
      <c r="Q757" s="38"/>
      <c r="R757" s="38"/>
      <c r="S757" s="38"/>
      <c r="T757" s="38"/>
      <c r="U757" s="38"/>
      <c r="V757" s="38"/>
      <c r="W757" s="38"/>
      <c r="X757" s="38"/>
      <c r="Y757" s="38"/>
    </row>
    <row r="758">
      <c r="A758" s="38"/>
      <c r="B758" s="143"/>
      <c r="C758" s="38"/>
      <c r="D758" s="38"/>
      <c r="E758" s="38"/>
      <c r="F758" s="38"/>
      <c r="G758" s="38"/>
      <c r="H758" s="38"/>
      <c r="I758" s="38"/>
      <c r="J758" s="38"/>
      <c r="K758" s="38"/>
      <c r="L758" s="38"/>
      <c r="M758" s="38"/>
      <c r="N758" s="38"/>
      <c r="O758" s="38"/>
      <c r="P758" s="38"/>
      <c r="Q758" s="38"/>
      <c r="R758" s="38"/>
      <c r="S758" s="38"/>
      <c r="T758" s="38"/>
      <c r="U758" s="38"/>
      <c r="V758" s="38"/>
      <c r="W758" s="38"/>
      <c r="X758" s="38"/>
      <c r="Y758" s="38"/>
    </row>
    <row r="759">
      <c r="A759" s="38"/>
      <c r="B759" s="143"/>
      <c r="C759" s="38"/>
      <c r="D759" s="38"/>
      <c r="E759" s="38"/>
      <c r="F759" s="38"/>
      <c r="G759" s="38"/>
      <c r="H759" s="38"/>
      <c r="I759" s="38"/>
      <c r="J759" s="38"/>
      <c r="K759" s="38"/>
      <c r="L759" s="38"/>
      <c r="M759" s="38"/>
      <c r="N759" s="38"/>
      <c r="O759" s="38"/>
      <c r="P759" s="38"/>
      <c r="Q759" s="38"/>
      <c r="R759" s="38"/>
      <c r="S759" s="38"/>
      <c r="T759" s="38"/>
      <c r="U759" s="38"/>
      <c r="V759" s="38"/>
      <c r="W759" s="38"/>
      <c r="X759" s="38"/>
      <c r="Y759" s="38"/>
    </row>
    <row r="760">
      <c r="A760" s="38"/>
      <c r="B760" s="143"/>
      <c r="C760" s="38"/>
      <c r="D760" s="38"/>
      <c r="E760" s="38"/>
      <c r="F760" s="38"/>
      <c r="G760" s="38"/>
      <c r="H760" s="38"/>
      <c r="I760" s="38"/>
      <c r="J760" s="38"/>
      <c r="K760" s="38"/>
      <c r="L760" s="38"/>
      <c r="M760" s="38"/>
      <c r="N760" s="38"/>
      <c r="O760" s="38"/>
      <c r="P760" s="38"/>
      <c r="Q760" s="38"/>
      <c r="R760" s="38"/>
      <c r="S760" s="38"/>
      <c r="T760" s="38"/>
      <c r="U760" s="38"/>
      <c r="V760" s="38"/>
      <c r="W760" s="38"/>
      <c r="X760" s="38"/>
      <c r="Y760" s="38"/>
    </row>
    <row r="761">
      <c r="A761" s="38"/>
      <c r="B761" s="143"/>
      <c r="C761" s="38"/>
      <c r="D761" s="38"/>
      <c r="E761" s="38"/>
      <c r="F761" s="38"/>
      <c r="G761" s="38"/>
      <c r="H761" s="38"/>
      <c r="I761" s="38"/>
      <c r="J761" s="38"/>
      <c r="K761" s="38"/>
      <c r="L761" s="38"/>
      <c r="M761" s="38"/>
      <c r="N761" s="38"/>
      <c r="O761" s="38"/>
      <c r="P761" s="38"/>
      <c r="Q761" s="38"/>
      <c r="R761" s="38"/>
      <c r="S761" s="38"/>
      <c r="T761" s="38"/>
      <c r="U761" s="38"/>
      <c r="V761" s="38"/>
      <c r="W761" s="38"/>
      <c r="X761" s="38"/>
      <c r="Y761" s="38"/>
    </row>
    <row r="762">
      <c r="A762" s="38"/>
      <c r="B762" s="143"/>
      <c r="C762" s="38"/>
      <c r="D762" s="38"/>
      <c r="E762" s="38"/>
      <c r="F762" s="38"/>
      <c r="G762" s="38"/>
      <c r="H762" s="38"/>
      <c r="I762" s="38"/>
      <c r="J762" s="38"/>
      <c r="K762" s="38"/>
      <c r="L762" s="38"/>
      <c r="M762" s="38"/>
      <c r="N762" s="38"/>
      <c r="O762" s="38"/>
      <c r="P762" s="38"/>
      <c r="Q762" s="38"/>
      <c r="R762" s="38"/>
      <c r="S762" s="38"/>
      <c r="T762" s="38"/>
      <c r="U762" s="38"/>
      <c r="V762" s="38"/>
      <c r="W762" s="38"/>
      <c r="X762" s="38"/>
      <c r="Y762" s="38"/>
    </row>
    <row r="763">
      <c r="A763" s="38"/>
      <c r="B763" s="143"/>
      <c r="C763" s="38"/>
      <c r="D763" s="38"/>
      <c r="E763" s="38"/>
      <c r="F763" s="38"/>
      <c r="G763" s="38"/>
      <c r="H763" s="38"/>
      <c r="I763" s="38"/>
      <c r="J763" s="38"/>
      <c r="K763" s="38"/>
      <c r="L763" s="38"/>
      <c r="M763" s="38"/>
      <c r="N763" s="38"/>
      <c r="O763" s="38"/>
      <c r="P763" s="38"/>
      <c r="Q763" s="38"/>
      <c r="R763" s="38"/>
      <c r="S763" s="38"/>
      <c r="T763" s="38"/>
      <c r="U763" s="38"/>
      <c r="V763" s="38"/>
      <c r="W763" s="38"/>
      <c r="X763" s="38"/>
      <c r="Y763" s="38"/>
    </row>
    <row r="764">
      <c r="A764" s="38"/>
      <c r="B764" s="143"/>
      <c r="C764" s="38"/>
      <c r="D764" s="38"/>
      <c r="E764" s="38"/>
      <c r="F764" s="38"/>
      <c r="G764" s="38"/>
      <c r="H764" s="38"/>
      <c r="I764" s="38"/>
      <c r="J764" s="38"/>
      <c r="K764" s="38"/>
      <c r="L764" s="38"/>
      <c r="M764" s="38"/>
      <c r="N764" s="38"/>
      <c r="O764" s="38"/>
      <c r="P764" s="38"/>
      <c r="Q764" s="38"/>
      <c r="R764" s="38"/>
      <c r="S764" s="38"/>
      <c r="T764" s="38"/>
      <c r="U764" s="38"/>
      <c r="V764" s="38"/>
      <c r="W764" s="38"/>
      <c r="X764" s="38"/>
      <c r="Y764" s="38"/>
    </row>
    <row r="765">
      <c r="A765" s="38"/>
      <c r="B765" s="143"/>
      <c r="C765" s="38"/>
      <c r="D765" s="38"/>
      <c r="E765" s="38"/>
      <c r="F765" s="38"/>
      <c r="G765" s="38"/>
      <c r="H765" s="38"/>
      <c r="I765" s="38"/>
      <c r="J765" s="38"/>
      <c r="K765" s="38"/>
      <c r="L765" s="38"/>
      <c r="M765" s="38"/>
      <c r="N765" s="38"/>
      <c r="O765" s="38"/>
      <c r="P765" s="38"/>
      <c r="Q765" s="38"/>
      <c r="R765" s="38"/>
      <c r="S765" s="38"/>
      <c r="T765" s="38"/>
      <c r="U765" s="38"/>
      <c r="V765" s="38"/>
      <c r="W765" s="38"/>
      <c r="X765" s="38"/>
      <c r="Y765" s="38"/>
    </row>
    <row r="766">
      <c r="A766" s="38"/>
      <c r="B766" s="143"/>
      <c r="C766" s="38"/>
      <c r="D766" s="38"/>
      <c r="E766" s="38"/>
      <c r="F766" s="38"/>
      <c r="G766" s="38"/>
      <c r="H766" s="38"/>
      <c r="I766" s="38"/>
      <c r="J766" s="38"/>
      <c r="K766" s="38"/>
      <c r="L766" s="38"/>
      <c r="M766" s="38"/>
      <c r="N766" s="38"/>
      <c r="O766" s="38"/>
      <c r="P766" s="38"/>
      <c r="Q766" s="38"/>
      <c r="R766" s="38"/>
      <c r="S766" s="38"/>
      <c r="T766" s="38"/>
      <c r="U766" s="38"/>
      <c r="V766" s="38"/>
      <c r="W766" s="38"/>
      <c r="X766" s="38"/>
      <c r="Y766" s="38"/>
    </row>
    <row r="767">
      <c r="A767" s="38"/>
      <c r="B767" s="143"/>
      <c r="C767" s="38"/>
      <c r="D767" s="38"/>
      <c r="E767" s="38"/>
      <c r="F767" s="38"/>
      <c r="G767" s="38"/>
      <c r="H767" s="38"/>
      <c r="I767" s="38"/>
      <c r="J767" s="38"/>
      <c r="K767" s="38"/>
      <c r="L767" s="38"/>
      <c r="M767" s="38"/>
      <c r="N767" s="38"/>
      <c r="O767" s="38"/>
      <c r="P767" s="38"/>
      <c r="Q767" s="38"/>
      <c r="R767" s="38"/>
      <c r="S767" s="38"/>
      <c r="T767" s="38"/>
      <c r="U767" s="38"/>
      <c r="V767" s="38"/>
      <c r="W767" s="38"/>
      <c r="X767" s="38"/>
      <c r="Y767" s="38"/>
    </row>
    <row r="768">
      <c r="A768" s="38"/>
      <c r="B768" s="143"/>
      <c r="C768" s="38"/>
      <c r="D768" s="38"/>
      <c r="E768" s="38"/>
      <c r="F768" s="38"/>
      <c r="G768" s="38"/>
      <c r="H768" s="38"/>
      <c r="I768" s="38"/>
      <c r="J768" s="38"/>
      <c r="K768" s="38"/>
      <c r="L768" s="38"/>
      <c r="M768" s="38"/>
      <c r="N768" s="38"/>
      <c r="O768" s="38"/>
      <c r="P768" s="38"/>
      <c r="Q768" s="38"/>
      <c r="R768" s="38"/>
      <c r="S768" s="38"/>
      <c r="T768" s="38"/>
      <c r="U768" s="38"/>
      <c r="V768" s="38"/>
      <c r="W768" s="38"/>
      <c r="X768" s="38"/>
      <c r="Y768" s="38"/>
    </row>
    <row r="769">
      <c r="A769" s="38"/>
      <c r="B769" s="143"/>
      <c r="C769" s="38"/>
      <c r="D769" s="38"/>
      <c r="E769" s="38"/>
      <c r="F769" s="38"/>
      <c r="G769" s="38"/>
      <c r="H769" s="38"/>
      <c r="I769" s="38"/>
      <c r="J769" s="38"/>
      <c r="K769" s="38"/>
      <c r="L769" s="38"/>
      <c r="M769" s="38"/>
      <c r="N769" s="38"/>
      <c r="O769" s="38"/>
      <c r="P769" s="38"/>
      <c r="Q769" s="38"/>
      <c r="R769" s="38"/>
      <c r="S769" s="38"/>
      <c r="T769" s="38"/>
      <c r="U769" s="38"/>
      <c r="V769" s="38"/>
      <c r="W769" s="38"/>
      <c r="X769" s="38"/>
      <c r="Y769" s="38"/>
    </row>
    <row r="770">
      <c r="A770" s="38"/>
      <c r="B770" s="143"/>
      <c r="C770" s="38"/>
      <c r="D770" s="38"/>
      <c r="E770" s="38"/>
      <c r="F770" s="38"/>
      <c r="G770" s="38"/>
      <c r="H770" s="38"/>
      <c r="I770" s="38"/>
      <c r="J770" s="38"/>
      <c r="K770" s="38"/>
      <c r="L770" s="38"/>
      <c r="M770" s="38"/>
      <c r="N770" s="38"/>
      <c r="O770" s="38"/>
      <c r="P770" s="38"/>
      <c r="Q770" s="38"/>
      <c r="R770" s="38"/>
      <c r="S770" s="38"/>
      <c r="T770" s="38"/>
      <c r="U770" s="38"/>
      <c r="V770" s="38"/>
      <c r="W770" s="38"/>
      <c r="X770" s="38"/>
      <c r="Y770" s="38"/>
    </row>
    <row r="771">
      <c r="A771" s="38"/>
      <c r="B771" s="143"/>
      <c r="C771" s="38"/>
      <c r="D771" s="38"/>
      <c r="E771" s="38"/>
      <c r="F771" s="38"/>
      <c r="G771" s="38"/>
      <c r="H771" s="38"/>
      <c r="I771" s="38"/>
      <c r="J771" s="38"/>
      <c r="K771" s="38"/>
      <c r="L771" s="38"/>
      <c r="M771" s="38"/>
      <c r="N771" s="38"/>
      <c r="O771" s="38"/>
      <c r="P771" s="38"/>
      <c r="Q771" s="38"/>
      <c r="R771" s="38"/>
      <c r="S771" s="38"/>
      <c r="T771" s="38"/>
      <c r="U771" s="38"/>
      <c r="V771" s="38"/>
      <c r="W771" s="38"/>
      <c r="X771" s="38"/>
      <c r="Y771" s="38"/>
    </row>
    <row r="772">
      <c r="A772" s="38"/>
      <c r="B772" s="143"/>
      <c r="C772" s="38"/>
      <c r="D772" s="38"/>
      <c r="E772" s="38"/>
      <c r="F772" s="38"/>
      <c r="G772" s="38"/>
      <c r="H772" s="38"/>
      <c r="I772" s="38"/>
      <c r="J772" s="38"/>
      <c r="K772" s="38"/>
      <c r="L772" s="38"/>
      <c r="M772" s="38"/>
      <c r="N772" s="38"/>
      <c r="O772" s="38"/>
      <c r="P772" s="38"/>
      <c r="Q772" s="38"/>
      <c r="R772" s="38"/>
      <c r="S772" s="38"/>
      <c r="T772" s="38"/>
      <c r="U772" s="38"/>
      <c r="V772" s="38"/>
      <c r="W772" s="38"/>
      <c r="X772" s="38"/>
      <c r="Y772" s="38"/>
    </row>
    <row r="773">
      <c r="A773" s="38"/>
      <c r="B773" s="143"/>
      <c r="C773" s="38"/>
      <c r="D773" s="38"/>
      <c r="E773" s="38"/>
      <c r="F773" s="38"/>
      <c r="G773" s="38"/>
      <c r="H773" s="38"/>
      <c r="I773" s="38"/>
      <c r="J773" s="38"/>
      <c r="K773" s="38"/>
      <c r="L773" s="38"/>
      <c r="M773" s="38"/>
      <c r="N773" s="38"/>
      <c r="O773" s="38"/>
      <c r="P773" s="38"/>
      <c r="Q773" s="38"/>
      <c r="R773" s="38"/>
      <c r="S773" s="38"/>
      <c r="T773" s="38"/>
      <c r="U773" s="38"/>
      <c r="V773" s="38"/>
      <c r="W773" s="38"/>
      <c r="X773" s="38"/>
      <c r="Y773" s="38"/>
    </row>
    <row r="774">
      <c r="A774" s="38"/>
      <c r="B774" s="143"/>
      <c r="C774" s="38"/>
      <c r="D774" s="38"/>
      <c r="E774" s="38"/>
      <c r="F774" s="38"/>
      <c r="G774" s="38"/>
      <c r="H774" s="38"/>
      <c r="I774" s="38"/>
      <c r="J774" s="38"/>
      <c r="K774" s="38"/>
      <c r="L774" s="38"/>
      <c r="M774" s="38"/>
      <c r="N774" s="38"/>
      <c r="O774" s="38"/>
      <c r="P774" s="38"/>
      <c r="Q774" s="38"/>
      <c r="R774" s="38"/>
      <c r="S774" s="38"/>
      <c r="T774" s="38"/>
      <c r="U774" s="38"/>
      <c r="V774" s="38"/>
      <c r="W774" s="38"/>
      <c r="X774" s="38"/>
      <c r="Y774" s="38"/>
    </row>
    <row r="775">
      <c r="A775" s="38"/>
      <c r="B775" s="143"/>
      <c r="C775" s="38"/>
      <c r="D775" s="38"/>
      <c r="E775" s="38"/>
      <c r="F775" s="38"/>
      <c r="G775" s="38"/>
      <c r="H775" s="38"/>
      <c r="I775" s="38"/>
      <c r="J775" s="38"/>
      <c r="K775" s="38"/>
      <c r="L775" s="38"/>
      <c r="M775" s="38"/>
      <c r="N775" s="38"/>
      <c r="O775" s="38"/>
      <c r="P775" s="38"/>
      <c r="Q775" s="38"/>
      <c r="R775" s="38"/>
      <c r="S775" s="38"/>
      <c r="T775" s="38"/>
      <c r="U775" s="38"/>
      <c r="V775" s="38"/>
      <c r="W775" s="38"/>
      <c r="X775" s="38"/>
      <c r="Y775" s="38"/>
    </row>
    <row r="776">
      <c r="A776" s="38"/>
      <c r="B776" s="143"/>
      <c r="C776" s="38"/>
      <c r="D776" s="38"/>
      <c r="E776" s="38"/>
      <c r="F776" s="38"/>
      <c r="G776" s="38"/>
      <c r="H776" s="38"/>
      <c r="I776" s="38"/>
      <c r="J776" s="38"/>
      <c r="K776" s="38"/>
      <c r="L776" s="38"/>
      <c r="M776" s="38"/>
      <c r="N776" s="38"/>
      <c r="O776" s="38"/>
      <c r="P776" s="38"/>
      <c r="Q776" s="38"/>
      <c r="R776" s="38"/>
      <c r="S776" s="38"/>
      <c r="T776" s="38"/>
      <c r="U776" s="38"/>
      <c r="V776" s="38"/>
      <c r="W776" s="38"/>
      <c r="X776" s="38"/>
      <c r="Y776" s="38"/>
    </row>
    <row r="777">
      <c r="A777" s="38"/>
      <c r="B777" s="143"/>
      <c r="C777" s="38"/>
      <c r="D777" s="38"/>
      <c r="E777" s="38"/>
      <c r="F777" s="38"/>
      <c r="G777" s="38"/>
      <c r="H777" s="38"/>
      <c r="I777" s="38"/>
      <c r="J777" s="38"/>
      <c r="K777" s="38"/>
      <c r="L777" s="38"/>
      <c r="M777" s="38"/>
      <c r="N777" s="38"/>
      <c r="O777" s="38"/>
      <c r="P777" s="38"/>
      <c r="Q777" s="38"/>
      <c r="R777" s="38"/>
      <c r="S777" s="38"/>
      <c r="T777" s="38"/>
      <c r="U777" s="38"/>
      <c r="V777" s="38"/>
      <c r="W777" s="38"/>
      <c r="X777" s="38"/>
      <c r="Y777" s="38"/>
    </row>
    <row r="778">
      <c r="A778" s="38"/>
      <c r="B778" s="143"/>
      <c r="C778" s="38"/>
      <c r="D778" s="38"/>
      <c r="E778" s="38"/>
      <c r="F778" s="38"/>
      <c r="G778" s="38"/>
      <c r="H778" s="38"/>
      <c r="I778" s="38"/>
      <c r="J778" s="38"/>
      <c r="K778" s="38"/>
      <c r="L778" s="38"/>
      <c r="M778" s="38"/>
      <c r="N778" s="38"/>
      <c r="O778" s="38"/>
      <c r="P778" s="38"/>
      <c r="Q778" s="38"/>
      <c r="R778" s="38"/>
      <c r="S778" s="38"/>
      <c r="T778" s="38"/>
      <c r="U778" s="38"/>
      <c r="V778" s="38"/>
      <c r="W778" s="38"/>
      <c r="X778" s="38"/>
      <c r="Y778" s="38"/>
    </row>
    <row r="779">
      <c r="A779" s="38"/>
      <c r="B779" s="143"/>
      <c r="C779" s="38"/>
      <c r="D779" s="38"/>
      <c r="E779" s="38"/>
      <c r="F779" s="38"/>
      <c r="G779" s="38"/>
      <c r="H779" s="38"/>
      <c r="I779" s="38"/>
      <c r="J779" s="38"/>
      <c r="K779" s="38"/>
      <c r="L779" s="38"/>
      <c r="M779" s="38"/>
      <c r="N779" s="38"/>
      <c r="O779" s="38"/>
      <c r="P779" s="38"/>
      <c r="Q779" s="38"/>
      <c r="R779" s="38"/>
      <c r="S779" s="38"/>
      <c r="T779" s="38"/>
      <c r="U779" s="38"/>
      <c r="V779" s="38"/>
      <c r="W779" s="38"/>
      <c r="X779" s="38"/>
      <c r="Y779" s="38"/>
    </row>
    <row r="780">
      <c r="A780" s="38"/>
      <c r="B780" s="143"/>
      <c r="C780" s="38"/>
      <c r="D780" s="38"/>
      <c r="E780" s="38"/>
      <c r="F780" s="38"/>
      <c r="G780" s="38"/>
      <c r="H780" s="38"/>
      <c r="I780" s="38"/>
      <c r="J780" s="38"/>
      <c r="K780" s="38"/>
      <c r="L780" s="38"/>
      <c r="M780" s="38"/>
      <c r="N780" s="38"/>
      <c r="O780" s="38"/>
      <c r="P780" s="38"/>
      <c r="Q780" s="38"/>
      <c r="R780" s="38"/>
      <c r="S780" s="38"/>
      <c r="T780" s="38"/>
      <c r="U780" s="38"/>
      <c r="V780" s="38"/>
      <c r="W780" s="38"/>
      <c r="X780" s="38"/>
      <c r="Y780" s="38"/>
    </row>
    <row r="781">
      <c r="A781" s="38"/>
      <c r="B781" s="143"/>
      <c r="C781" s="38"/>
      <c r="D781" s="38"/>
      <c r="E781" s="38"/>
      <c r="F781" s="38"/>
      <c r="G781" s="38"/>
      <c r="H781" s="38"/>
      <c r="I781" s="38"/>
      <c r="J781" s="38"/>
      <c r="K781" s="38"/>
      <c r="L781" s="38"/>
      <c r="M781" s="38"/>
      <c r="N781" s="38"/>
      <c r="O781" s="38"/>
      <c r="P781" s="38"/>
      <c r="Q781" s="38"/>
      <c r="R781" s="38"/>
      <c r="S781" s="38"/>
      <c r="T781" s="38"/>
      <c r="U781" s="38"/>
      <c r="V781" s="38"/>
      <c r="W781" s="38"/>
      <c r="X781" s="38"/>
      <c r="Y781" s="38"/>
    </row>
    <row r="782">
      <c r="A782" s="38"/>
      <c r="B782" s="143"/>
      <c r="C782" s="38"/>
      <c r="D782" s="38"/>
      <c r="E782" s="38"/>
      <c r="F782" s="38"/>
      <c r="G782" s="38"/>
      <c r="H782" s="38"/>
      <c r="I782" s="38"/>
      <c r="J782" s="38"/>
      <c r="K782" s="38"/>
      <c r="L782" s="38"/>
      <c r="M782" s="38"/>
      <c r="N782" s="38"/>
      <c r="O782" s="38"/>
      <c r="P782" s="38"/>
      <c r="Q782" s="38"/>
      <c r="R782" s="38"/>
      <c r="S782" s="38"/>
      <c r="T782" s="38"/>
      <c r="U782" s="38"/>
      <c r="V782" s="38"/>
      <c r="W782" s="38"/>
      <c r="X782" s="38"/>
      <c r="Y782" s="38"/>
    </row>
    <row r="783">
      <c r="A783" s="38"/>
      <c r="B783" s="143"/>
      <c r="C783" s="38"/>
      <c r="D783" s="38"/>
      <c r="E783" s="38"/>
      <c r="F783" s="38"/>
      <c r="G783" s="38"/>
      <c r="H783" s="38"/>
      <c r="I783" s="38"/>
      <c r="J783" s="38"/>
      <c r="K783" s="38"/>
      <c r="L783" s="38"/>
      <c r="M783" s="38"/>
      <c r="N783" s="38"/>
      <c r="O783" s="38"/>
      <c r="P783" s="38"/>
      <c r="Q783" s="38"/>
      <c r="R783" s="38"/>
      <c r="S783" s="38"/>
      <c r="T783" s="38"/>
      <c r="U783" s="38"/>
      <c r="V783" s="38"/>
      <c r="W783" s="38"/>
      <c r="X783" s="38"/>
      <c r="Y783" s="38"/>
    </row>
    <row r="784">
      <c r="A784" s="38"/>
      <c r="B784" s="143"/>
      <c r="C784" s="38"/>
      <c r="D784" s="38"/>
      <c r="E784" s="38"/>
      <c r="F784" s="38"/>
      <c r="G784" s="38"/>
      <c r="H784" s="38"/>
      <c r="I784" s="38"/>
      <c r="J784" s="38"/>
      <c r="K784" s="38"/>
      <c r="L784" s="38"/>
      <c r="M784" s="38"/>
      <c r="N784" s="38"/>
      <c r="O784" s="38"/>
      <c r="P784" s="38"/>
      <c r="Q784" s="38"/>
      <c r="R784" s="38"/>
      <c r="S784" s="38"/>
      <c r="T784" s="38"/>
      <c r="U784" s="38"/>
      <c r="V784" s="38"/>
      <c r="W784" s="38"/>
      <c r="X784" s="38"/>
      <c r="Y784" s="38"/>
    </row>
    <row r="785">
      <c r="A785" s="38"/>
      <c r="B785" s="143"/>
      <c r="C785" s="38"/>
      <c r="D785" s="38"/>
      <c r="E785" s="38"/>
      <c r="F785" s="38"/>
      <c r="G785" s="38"/>
      <c r="H785" s="38"/>
      <c r="I785" s="38"/>
      <c r="J785" s="38"/>
      <c r="K785" s="38"/>
      <c r="L785" s="38"/>
      <c r="M785" s="38"/>
      <c r="N785" s="38"/>
      <c r="O785" s="38"/>
      <c r="P785" s="38"/>
      <c r="Q785" s="38"/>
      <c r="R785" s="38"/>
      <c r="S785" s="38"/>
      <c r="T785" s="38"/>
      <c r="U785" s="38"/>
      <c r="V785" s="38"/>
      <c r="W785" s="38"/>
      <c r="X785" s="38"/>
      <c r="Y785" s="38"/>
    </row>
    <row r="786">
      <c r="A786" s="38"/>
      <c r="B786" s="143"/>
      <c r="C786" s="38"/>
      <c r="D786" s="38"/>
      <c r="E786" s="38"/>
      <c r="F786" s="38"/>
      <c r="G786" s="38"/>
      <c r="H786" s="38"/>
      <c r="I786" s="38"/>
      <c r="J786" s="38"/>
      <c r="K786" s="38"/>
      <c r="L786" s="38"/>
      <c r="M786" s="38"/>
      <c r="N786" s="38"/>
      <c r="O786" s="38"/>
      <c r="P786" s="38"/>
      <c r="Q786" s="38"/>
      <c r="R786" s="38"/>
      <c r="S786" s="38"/>
      <c r="T786" s="38"/>
      <c r="U786" s="38"/>
      <c r="V786" s="38"/>
      <c r="W786" s="38"/>
      <c r="X786" s="38"/>
      <c r="Y786" s="38"/>
    </row>
    <row r="787">
      <c r="A787" s="38"/>
      <c r="B787" s="143"/>
      <c r="C787" s="38"/>
      <c r="D787" s="38"/>
      <c r="E787" s="38"/>
      <c r="F787" s="38"/>
      <c r="G787" s="38"/>
      <c r="H787" s="38"/>
      <c r="I787" s="38"/>
      <c r="J787" s="38"/>
      <c r="K787" s="38"/>
      <c r="L787" s="38"/>
      <c r="M787" s="38"/>
      <c r="N787" s="38"/>
      <c r="O787" s="38"/>
      <c r="P787" s="38"/>
      <c r="Q787" s="38"/>
      <c r="R787" s="38"/>
      <c r="S787" s="38"/>
      <c r="T787" s="38"/>
      <c r="U787" s="38"/>
      <c r="V787" s="38"/>
      <c r="W787" s="38"/>
      <c r="X787" s="38"/>
      <c r="Y787" s="38"/>
    </row>
    <row r="788">
      <c r="A788" s="38"/>
      <c r="B788" s="143"/>
      <c r="C788" s="38"/>
      <c r="D788" s="38"/>
      <c r="E788" s="38"/>
      <c r="F788" s="38"/>
      <c r="G788" s="38"/>
      <c r="H788" s="38"/>
      <c r="I788" s="38"/>
      <c r="J788" s="38"/>
      <c r="K788" s="38"/>
      <c r="L788" s="38"/>
      <c r="M788" s="38"/>
      <c r="N788" s="38"/>
      <c r="O788" s="38"/>
      <c r="P788" s="38"/>
      <c r="Q788" s="38"/>
      <c r="R788" s="38"/>
      <c r="S788" s="38"/>
      <c r="T788" s="38"/>
      <c r="U788" s="38"/>
      <c r="V788" s="38"/>
      <c r="W788" s="38"/>
      <c r="X788" s="38"/>
      <c r="Y788" s="38"/>
    </row>
    <row r="789">
      <c r="A789" s="38"/>
      <c r="B789" s="143"/>
      <c r="C789" s="38"/>
      <c r="D789" s="38"/>
      <c r="E789" s="38"/>
      <c r="F789" s="38"/>
      <c r="G789" s="38"/>
      <c r="H789" s="38"/>
      <c r="I789" s="38"/>
      <c r="J789" s="38"/>
      <c r="K789" s="38"/>
      <c r="L789" s="38"/>
      <c r="M789" s="38"/>
      <c r="N789" s="38"/>
      <c r="O789" s="38"/>
      <c r="P789" s="38"/>
      <c r="Q789" s="38"/>
      <c r="R789" s="38"/>
      <c r="S789" s="38"/>
      <c r="T789" s="38"/>
      <c r="U789" s="38"/>
      <c r="V789" s="38"/>
      <c r="W789" s="38"/>
      <c r="X789" s="38"/>
      <c r="Y789" s="38"/>
    </row>
    <row r="790">
      <c r="A790" s="38"/>
      <c r="B790" s="143"/>
      <c r="C790" s="38"/>
      <c r="D790" s="38"/>
      <c r="E790" s="38"/>
      <c r="F790" s="38"/>
      <c r="G790" s="38"/>
      <c r="H790" s="38"/>
      <c r="I790" s="38"/>
      <c r="J790" s="38"/>
      <c r="K790" s="38"/>
      <c r="L790" s="38"/>
      <c r="M790" s="38"/>
      <c r="N790" s="38"/>
      <c r="O790" s="38"/>
      <c r="P790" s="38"/>
      <c r="Q790" s="38"/>
      <c r="R790" s="38"/>
      <c r="S790" s="38"/>
      <c r="T790" s="38"/>
      <c r="U790" s="38"/>
      <c r="V790" s="38"/>
      <c r="W790" s="38"/>
      <c r="X790" s="38"/>
      <c r="Y790" s="38"/>
    </row>
    <row r="791">
      <c r="A791" s="38"/>
      <c r="B791" s="143"/>
      <c r="C791" s="38"/>
      <c r="D791" s="38"/>
      <c r="E791" s="38"/>
      <c r="F791" s="38"/>
      <c r="G791" s="38"/>
      <c r="H791" s="38"/>
      <c r="I791" s="38"/>
      <c r="J791" s="38"/>
      <c r="K791" s="38"/>
      <c r="L791" s="38"/>
      <c r="M791" s="38"/>
      <c r="N791" s="38"/>
      <c r="O791" s="38"/>
      <c r="P791" s="38"/>
      <c r="Q791" s="38"/>
      <c r="R791" s="38"/>
      <c r="S791" s="38"/>
      <c r="T791" s="38"/>
      <c r="U791" s="38"/>
      <c r="V791" s="38"/>
      <c r="W791" s="38"/>
      <c r="X791" s="38"/>
      <c r="Y791" s="38"/>
    </row>
    <row r="792">
      <c r="A792" s="38"/>
      <c r="B792" s="143"/>
      <c r="C792" s="38"/>
      <c r="D792" s="38"/>
      <c r="E792" s="38"/>
      <c r="F792" s="38"/>
      <c r="G792" s="38"/>
      <c r="H792" s="38"/>
      <c r="I792" s="38"/>
      <c r="J792" s="38"/>
      <c r="K792" s="38"/>
      <c r="L792" s="38"/>
      <c r="M792" s="38"/>
      <c r="N792" s="38"/>
      <c r="O792" s="38"/>
      <c r="P792" s="38"/>
      <c r="Q792" s="38"/>
      <c r="R792" s="38"/>
      <c r="S792" s="38"/>
      <c r="T792" s="38"/>
      <c r="U792" s="38"/>
      <c r="V792" s="38"/>
      <c r="W792" s="38"/>
      <c r="X792" s="38"/>
      <c r="Y792" s="38"/>
    </row>
    <row r="793">
      <c r="A793" s="38"/>
      <c r="B793" s="143"/>
      <c r="C793" s="38"/>
      <c r="D793" s="38"/>
      <c r="E793" s="38"/>
      <c r="F793" s="38"/>
      <c r="G793" s="38"/>
      <c r="H793" s="38"/>
      <c r="I793" s="38"/>
      <c r="J793" s="38"/>
      <c r="K793" s="38"/>
      <c r="L793" s="38"/>
      <c r="M793" s="38"/>
      <c r="N793" s="38"/>
      <c r="O793" s="38"/>
      <c r="P793" s="38"/>
      <c r="Q793" s="38"/>
      <c r="R793" s="38"/>
      <c r="S793" s="38"/>
      <c r="T793" s="38"/>
      <c r="U793" s="38"/>
      <c r="V793" s="38"/>
      <c r="W793" s="38"/>
      <c r="X793" s="38"/>
      <c r="Y793" s="38"/>
    </row>
    <row r="794">
      <c r="A794" s="38"/>
      <c r="B794" s="143"/>
      <c r="C794" s="38"/>
      <c r="D794" s="38"/>
      <c r="E794" s="38"/>
      <c r="F794" s="38"/>
      <c r="G794" s="38"/>
      <c r="H794" s="38"/>
      <c r="I794" s="38"/>
      <c r="J794" s="38"/>
      <c r="K794" s="38"/>
      <c r="L794" s="38"/>
      <c r="M794" s="38"/>
      <c r="N794" s="38"/>
      <c r="O794" s="38"/>
      <c r="P794" s="38"/>
      <c r="Q794" s="38"/>
      <c r="R794" s="38"/>
      <c r="S794" s="38"/>
      <c r="T794" s="38"/>
      <c r="U794" s="38"/>
      <c r="V794" s="38"/>
      <c r="W794" s="38"/>
      <c r="X794" s="38"/>
      <c r="Y794" s="38"/>
    </row>
    <row r="795">
      <c r="A795" s="38"/>
      <c r="B795" s="143"/>
      <c r="C795" s="38"/>
      <c r="D795" s="38"/>
      <c r="E795" s="38"/>
      <c r="F795" s="38"/>
      <c r="G795" s="38"/>
      <c r="H795" s="38"/>
      <c r="I795" s="38"/>
      <c r="J795" s="38"/>
      <c r="K795" s="38"/>
      <c r="L795" s="38"/>
      <c r="M795" s="38"/>
      <c r="N795" s="38"/>
      <c r="O795" s="38"/>
      <c r="P795" s="38"/>
      <c r="Q795" s="38"/>
      <c r="R795" s="38"/>
      <c r="S795" s="38"/>
      <c r="T795" s="38"/>
      <c r="U795" s="38"/>
      <c r="V795" s="38"/>
      <c r="W795" s="38"/>
      <c r="X795" s="38"/>
      <c r="Y795" s="38"/>
    </row>
    <row r="796">
      <c r="A796" s="38"/>
      <c r="B796" s="143"/>
      <c r="C796" s="38"/>
      <c r="D796" s="38"/>
      <c r="E796" s="38"/>
      <c r="F796" s="38"/>
      <c r="G796" s="38"/>
      <c r="H796" s="38"/>
      <c r="I796" s="38"/>
      <c r="J796" s="38"/>
      <c r="K796" s="38"/>
      <c r="L796" s="38"/>
      <c r="M796" s="38"/>
      <c r="N796" s="38"/>
      <c r="O796" s="38"/>
      <c r="P796" s="38"/>
      <c r="Q796" s="38"/>
      <c r="R796" s="38"/>
      <c r="S796" s="38"/>
      <c r="T796" s="38"/>
      <c r="U796" s="38"/>
      <c r="V796" s="38"/>
      <c r="W796" s="38"/>
      <c r="X796" s="38"/>
      <c r="Y796" s="38"/>
    </row>
    <row r="797">
      <c r="A797" s="38"/>
      <c r="B797" s="143"/>
      <c r="C797" s="38"/>
      <c r="D797" s="38"/>
      <c r="E797" s="38"/>
      <c r="F797" s="38"/>
      <c r="G797" s="38"/>
      <c r="H797" s="38"/>
      <c r="I797" s="38"/>
      <c r="J797" s="38"/>
      <c r="K797" s="38"/>
      <c r="L797" s="38"/>
      <c r="M797" s="38"/>
      <c r="N797" s="38"/>
      <c r="O797" s="38"/>
      <c r="P797" s="38"/>
      <c r="Q797" s="38"/>
      <c r="R797" s="38"/>
      <c r="S797" s="38"/>
      <c r="T797" s="38"/>
      <c r="U797" s="38"/>
      <c r="V797" s="38"/>
      <c r="W797" s="38"/>
      <c r="X797" s="38"/>
      <c r="Y797" s="38"/>
    </row>
    <row r="798">
      <c r="A798" s="38"/>
      <c r="B798" s="143"/>
      <c r="C798" s="38"/>
      <c r="D798" s="38"/>
      <c r="E798" s="38"/>
      <c r="F798" s="38"/>
      <c r="G798" s="38"/>
      <c r="H798" s="38"/>
      <c r="I798" s="38"/>
      <c r="J798" s="38"/>
      <c r="K798" s="38"/>
      <c r="L798" s="38"/>
      <c r="M798" s="38"/>
      <c r="N798" s="38"/>
      <c r="O798" s="38"/>
      <c r="P798" s="38"/>
      <c r="Q798" s="38"/>
      <c r="R798" s="38"/>
      <c r="S798" s="38"/>
      <c r="T798" s="38"/>
      <c r="U798" s="38"/>
      <c r="V798" s="38"/>
      <c r="W798" s="38"/>
      <c r="X798" s="38"/>
      <c r="Y798" s="38"/>
    </row>
    <row r="799">
      <c r="A799" s="38"/>
      <c r="B799" s="143"/>
      <c r="C799" s="38"/>
      <c r="D799" s="38"/>
      <c r="E799" s="38"/>
      <c r="F799" s="38"/>
      <c r="G799" s="38"/>
      <c r="H799" s="38"/>
      <c r="I799" s="38"/>
      <c r="J799" s="38"/>
      <c r="K799" s="38"/>
      <c r="L799" s="38"/>
      <c r="M799" s="38"/>
      <c r="N799" s="38"/>
      <c r="O799" s="38"/>
      <c r="P799" s="38"/>
      <c r="Q799" s="38"/>
      <c r="R799" s="38"/>
      <c r="S799" s="38"/>
      <c r="T799" s="38"/>
      <c r="U799" s="38"/>
      <c r="V799" s="38"/>
      <c r="W799" s="38"/>
      <c r="X799" s="38"/>
      <c r="Y799" s="38"/>
    </row>
    <row r="800">
      <c r="A800" s="38"/>
      <c r="B800" s="143"/>
      <c r="C800" s="38"/>
      <c r="D800" s="38"/>
      <c r="E800" s="38"/>
      <c r="F800" s="38"/>
      <c r="G800" s="38"/>
      <c r="H800" s="38"/>
      <c r="I800" s="38"/>
      <c r="J800" s="38"/>
      <c r="K800" s="38"/>
      <c r="L800" s="38"/>
      <c r="M800" s="38"/>
      <c r="N800" s="38"/>
      <c r="O800" s="38"/>
      <c r="P800" s="38"/>
      <c r="Q800" s="38"/>
      <c r="R800" s="38"/>
      <c r="S800" s="38"/>
      <c r="T800" s="38"/>
      <c r="U800" s="38"/>
      <c r="V800" s="38"/>
      <c r="W800" s="38"/>
      <c r="X800" s="38"/>
      <c r="Y800" s="38"/>
    </row>
    <row r="801">
      <c r="A801" s="38"/>
      <c r="B801" s="143"/>
      <c r="C801" s="38"/>
      <c r="D801" s="38"/>
      <c r="E801" s="38"/>
      <c r="F801" s="38"/>
      <c r="G801" s="38"/>
      <c r="H801" s="38"/>
      <c r="I801" s="38"/>
      <c r="J801" s="38"/>
      <c r="K801" s="38"/>
      <c r="L801" s="38"/>
      <c r="M801" s="38"/>
      <c r="N801" s="38"/>
      <c r="O801" s="38"/>
      <c r="P801" s="38"/>
      <c r="Q801" s="38"/>
      <c r="R801" s="38"/>
      <c r="S801" s="38"/>
      <c r="T801" s="38"/>
      <c r="U801" s="38"/>
      <c r="V801" s="38"/>
      <c r="W801" s="38"/>
      <c r="X801" s="38"/>
      <c r="Y801" s="38"/>
    </row>
    <row r="802">
      <c r="A802" s="38"/>
      <c r="B802" s="143"/>
      <c r="C802" s="38"/>
      <c r="D802" s="38"/>
      <c r="E802" s="38"/>
      <c r="F802" s="38"/>
      <c r="G802" s="38"/>
      <c r="H802" s="38"/>
      <c r="I802" s="38"/>
      <c r="J802" s="38"/>
      <c r="K802" s="38"/>
      <c r="L802" s="38"/>
      <c r="M802" s="38"/>
      <c r="N802" s="38"/>
      <c r="O802" s="38"/>
      <c r="P802" s="38"/>
      <c r="Q802" s="38"/>
      <c r="R802" s="38"/>
      <c r="S802" s="38"/>
      <c r="T802" s="38"/>
      <c r="U802" s="38"/>
      <c r="V802" s="38"/>
      <c r="W802" s="38"/>
      <c r="X802" s="38"/>
      <c r="Y802" s="38"/>
    </row>
    <row r="803">
      <c r="A803" s="38"/>
      <c r="B803" s="143"/>
      <c r="C803" s="38"/>
      <c r="D803" s="38"/>
      <c r="E803" s="38"/>
      <c r="F803" s="38"/>
      <c r="G803" s="38"/>
      <c r="H803" s="38"/>
      <c r="I803" s="38"/>
      <c r="J803" s="38"/>
      <c r="K803" s="38"/>
      <c r="L803" s="38"/>
      <c r="M803" s="38"/>
      <c r="N803" s="38"/>
      <c r="O803" s="38"/>
      <c r="P803" s="38"/>
      <c r="Q803" s="38"/>
      <c r="R803" s="38"/>
      <c r="S803" s="38"/>
      <c r="T803" s="38"/>
      <c r="U803" s="38"/>
      <c r="V803" s="38"/>
      <c r="W803" s="38"/>
      <c r="X803" s="38"/>
      <c r="Y803" s="38"/>
    </row>
    <row r="804">
      <c r="A804" s="38"/>
      <c r="B804" s="143"/>
      <c r="C804" s="38"/>
      <c r="D804" s="38"/>
      <c r="E804" s="38"/>
      <c r="F804" s="38"/>
      <c r="G804" s="38"/>
      <c r="H804" s="38"/>
      <c r="I804" s="38"/>
      <c r="J804" s="38"/>
      <c r="K804" s="38"/>
      <c r="L804" s="38"/>
      <c r="M804" s="38"/>
      <c r="N804" s="38"/>
      <c r="O804" s="38"/>
      <c r="P804" s="38"/>
      <c r="Q804" s="38"/>
      <c r="R804" s="38"/>
      <c r="S804" s="38"/>
      <c r="T804" s="38"/>
      <c r="U804" s="38"/>
      <c r="V804" s="38"/>
      <c r="W804" s="38"/>
      <c r="X804" s="38"/>
      <c r="Y804" s="38"/>
    </row>
    <row r="805">
      <c r="A805" s="38"/>
      <c r="B805" s="143"/>
      <c r="C805" s="38"/>
      <c r="D805" s="38"/>
      <c r="E805" s="38"/>
      <c r="F805" s="38"/>
      <c r="G805" s="38"/>
      <c r="H805" s="38"/>
      <c r="I805" s="38"/>
      <c r="J805" s="38"/>
      <c r="K805" s="38"/>
      <c r="L805" s="38"/>
      <c r="M805" s="38"/>
      <c r="N805" s="38"/>
      <c r="O805" s="38"/>
      <c r="P805" s="38"/>
      <c r="Q805" s="38"/>
      <c r="R805" s="38"/>
      <c r="S805" s="38"/>
      <c r="T805" s="38"/>
      <c r="U805" s="38"/>
      <c r="V805" s="38"/>
      <c r="W805" s="38"/>
      <c r="X805" s="38"/>
      <c r="Y805" s="38"/>
    </row>
    <row r="806">
      <c r="A806" s="38"/>
      <c r="B806" s="143"/>
      <c r="C806" s="38"/>
      <c r="D806" s="38"/>
      <c r="E806" s="38"/>
      <c r="F806" s="38"/>
      <c r="G806" s="38"/>
      <c r="H806" s="38"/>
      <c r="I806" s="38"/>
      <c r="J806" s="38"/>
      <c r="K806" s="38"/>
      <c r="L806" s="38"/>
      <c r="M806" s="38"/>
      <c r="N806" s="38"/>
      <c r="O806" s="38"/>
      <c r="P806" s="38"/>
      <c r="Q806" s="38"/>
      <c r="R806" s="38"/>
      <c r="S806" s="38"/>
      <c r="T806" s="38"/>
      <c r="U806" s="38"/>
      <c r="V806" s="38"/>
      <c r="W806" s="38"/>
      <c r="X806" s="38"/>
      <c r="Y806" s="38"/>
    </row>
    <row r="807">
      <c r="A807" s="38"/>
      <c r="B807" s="143"/>
      <c r="C807" s="38"/>
      <c r="D807" s="38"/>
      <c r="E807" s="38"/>
      <c r="F807" s="38"/>
      <c r="G807" s="38"/>
      <c r="H807" s="38"/>
      <c r="I807" s="38"/>
      <c r="J807" s="38"/>
      <c r="K807" s="38"/>
      <c r="L807" s="38"/>
      <c r="M807" s="38"/>
      <c r="N807" s="38"/>
      <c r="O807" s="38"/>
      <c r="P807" s="38"/>
      <c r="Q807" s="38"/>
      <c r="R807" s="38"/>
      <c r="S807" s="38"/>
      <c r="T807" s="38"/>
      <c r="U807" s="38"/>
      <c r="V807" s="38"/>
      <c r="W807" s="38"/>
      <c r="X807" s="38"/>
      <c r="Y807" s="38"/>
    </row>
    <row r="808">
      <c r="A808" s="38"/>
      <c r="B808" s="143"/>
      <c r="C808" s="38"/>
      <c r="D808" s="38"/>
      <c r="E808" s="38"/>
      <c r="F808" s="38"/>
      <c r="G808" s="38"/>
      <c r="H808" s="38"/>
      <c r="I808" s="38"/>
      <c r="J808" s="38"/>
      <c r="K808" s="38"/>
      <c r="L808" s="38"/>
      <c r="M808" s="38"/>
      <c r="N808" s="38"/>
      <c r="O808" s="38"/>
      <c r="P808" s="38"/>
      <c r="Q808" s="38"/>
      <c r="R808" s="38"/>
      <c r="S808" s="38"/>
      <c r="T808" s="38"/>
      <c r="U808" s="38"/>
      <c r="V808" s="38"/>
      <c r="W808" s="38"/>
      <c r="X808" s="38"/>
      <c r="Y808" s="38"/>
    </row>
    <row r="809">
      <c r="A809" s="38"/>
      <c r="B809" s="143"/>
      <c r="C809" s="38"/>
      <c r="D809" s="38"/>
      <c r="E809" s="38"/>
      <c r="F809" s="38"/>
      <c r="G809" s="38"/>
      <c r="H809" s="38"/>
      <c r="I809" s="38"/>
      <c r="J809" s="38"/>
      <c r="K809" s="38"/>
      <c r="L809" s="38"/>
      <c r="M809" s="38"/>
      <c r="N809" s="38"/>
      <c r="O809" s="38"/>
      <c r="P809" s="38"/>
      <c r="Q809" s="38"/>
      <c r="R809" s="38"/>
      <c r="S809" s="38"/>
      <c r="T809" s="38"/>
      <c r="U809" s="38"/>
      <c r="V809" s="38"/>
      <c r="W809" s="38"/>
      <c r="X809" s="38"/>
      <c r="Y809" s="38"/>
    </row>
    <row r="810">
      <c r="A810" s="38"/>
      <c r="B810" s="143"/>
      <c r="C810" s="38"/>
      <c r="D810" s="38"/>
      <c r="E810" s="38"/>
      <c r="F810" s="38"/>
      <c r="G810" s="38"/>
      <c r="H810" s="38"/>
      <c r="I810" s="38"/>
      <c r="J810" s="38"/>
      <c r="K810" s="38"/>
      <c r="L810" s="38"/>
      <c r="M810" s="38"/>
      <c r="N810" s="38"/>
      <c r="O810" s="38"/>
      <c r="P810" s="38"/>
      <c r="Q810" s="38"/>
      <c r="R810" s="38"/>
      <c r="S810" s="38"/>
      <c r="T810" s="38"/>
      <c r="U810" s="38"/>
      <c r="V810" s="38"/>
      <c r="W810" s="38"/>
      <c r="X810" s="38"/>
      <c r="Y810" s="38"/>
    </row>
    <row r="811">
      <c r="A811" s="38"/>
      <c r="B811" s="143"/>
      <c r="C811" s="38"/>
      <c r="D811" s="38"/>
      <c r="E811" s="38"/>
      <c r="F811" s="38"/>
      <c r="G811" s="38"/>
      <c r="H811" s="38"/>
      <c r="I811" s="38"/>
      <c r="J811" s="38"/>
      <c r="K811" s="38"/>
      <c r="L811" s="38"/>
      <c r="M811" s="38"/>
      <c r="N811" s="38"/>
      <c r="O811" s="38"/>
      <c r="P811" s="38"/>
      <c r="Q811" s="38"/>
      <c r="R811" s="38"/>
      <c r="S811" s="38"/>
      <c r="T811" s="38"/>
      <c r="U811" s="38"/>
      <c r="V811" s="38"/>
      <c r="W811" s="38"/>
      <c r="X811" s="38"/>
      <c r="Y811" s="38"/>
    </row>
    <row r="812">
      <c r="A812" s="38"/>
      <c r="B812" s="143"/>
      <c r="C812" s="38"/>
      <c r="D812" s="38"/>
      <c r="E812" s="38"/>
      <c r="F812" s="38"/>
      <c r="G812" s="38"/>
      <c r="H812" s="38"/>
      <c r="I812" s="38"/>
      <c r="J812" s="38"/>
      <c r="K812" s="38"/>
      <c r="L812" s="38"/>
      <c r="M812" s="38"/>
      <c r="N812" s="38"/>
      <c r="O812" s="38"/>
      <c r="P812" s="38"/>
      <c r="Q812" s="38"/>
      <c r="R812" s="38"/>
      <c r="S812" s="38"/>
      <c r="T812" s="38"/>
      <c r="U812" s="38"/>
      <c r="V812" s="38"/>
      <c r="W812" s="38"/>
      <c r="X812" s="38"/>
      <c r="Y812" s="38"/>
    </row>
    <row r="813">
      <c r="A813" s="38"/>
      <c r="B813" s="143"/>
      <c r="C813" s="38"/>
      <c r="D813" s="38"/>
      <c r="E813" s="38"/>
      <c r="F813" s="38"/>
      <c r="G813" s="38"/>
      <c r="H813" s="38"/>
      <c r="I813" s="38"/>
      <c r="J813" s="38"/>
      <c r="K813" s="38"/>
      <c r="L813" s="38"/>
      <c r="M813" s="38"/>
      <c r="N813" s="38"/>
      <c r="O813" s="38"/>
      <c r="P813" s="38"/>
      <c r="Q813" s="38"/>
      <c r="R813" s="38"/>
      <c r="S813" s="38"/>
      <c r="T813" s="38"/>
      <c r="U813" s="38"/>
      <c r="V813" s="38"/>
      <c r="W813" s="38"/>
      <c r="X813" s="38"/>
      <c r="Y813" s="38"/>
    </row>
    <row r="814">
      <c r="A814" s="38"/>
      <c r="B814" s="143"/>
      <c r="C814" s="38"/>
      <c r="D814" s="38"/>
      <c r="E814" s="38"/>
      <c r="F814" s="38"/>
      <c r="G814" s="38"/>
      <c r="H814" s="38"/>
      <c r="I814" s="38"/>
      <c r="J814" s="38"/>
      <c r="K814" s="38"/>
      <c r="L814" s="38"/>
      <c r="M814" s="38"/>
      <c r="N814" s="38"/>
      <c r="O814" s="38"/>
      <c r="P814" s="38"/>
      <c r="Q814" s="38"/>
      <c r="R814" s="38"/>
      <c r="S814" s="38"/>
      <c r="T814" s="38"/>
      <c r="U814" s="38"/>
      <c r="V814" s="38"/>
      <c r="W814" s="38"/>
      <c r="X814" s="38"/>
      <c r="Y814" s="38"/>
    </row>
    <row r="815">
      <c r="A815" s="38"/>
      <c r="B815" s="143"/>
      <c r="C815" s="38"/>
      <c r="D815" s="38"/>
      <c r="E815" s="38"/>
      <c r="F815" s="38"/>
      <c r="G815" s="38"/>
      <c r="H815" s="38"/>
      <c r="I815" s="38"/>
      <c r="J815" s="38"/>
      <c r="K815" s="38"/>
      <c r="L815" s="38"/>
      <c r="M815" s="38"/>
      <c r="N815" s="38"/>
      <c r="O815" s="38"/>
      <c r="P815" s="38"/>
      <c r="Q815" s="38"/>
      <c r="R815" s="38"/>
      <c r="S815" s="38"/>
      <c r="T815" s="38"/>
      <c r="U815" s="38"/>
      <c r="V815" s="38"/>
      <c r="W815" s="38"/>
      <c r="X815" s="38"/>
      <c r="Y815" s="38"/>
    </row>
    <row r="816">
      <c r="A816" s="38"/>
      <c r="B816" s="143"/>
      <c r="C816" s="38"/>
      <c r="D816" s="38"/>
      <c r="E816" s="38"/>
      <c r="F816" s="38"/>
      <c r="G816" s="38"/>
      <c r="H816" s="38"/>
      <c r="I816" s="38"/>
      <c r="J816" s="38"/>
      <c r="K816" s="38"/>
      <c r="L816" s="38"/>
      <c r="M816" s="38"/>
      <c r="N816" s="38"/>
      <c r="O816" s="38"/>
      <c r="P816" s="38"/>
      <c r="Q816" s="38"/>
      <c r="R816" s="38"/>
      <c r="S816" s="38"/>
      <c r="T816" s="38"/>
      <c r="U816" s="38"/>
      <c r="V816" s="38"/>
      <c r="W816" s="38"/>
      <c r="X816" s="38"/>
      <c r="Y816" s="38"/>
    </row>
    <row r="817">
      <c r="A817" s="38"/>
      <c r="B817" s="143"/>
      <c r="C817" s="38"/>
      <c r="D817" s="38"/>
      <c r="E817" s="38"/>
      <c r="F817" s="38"/>
      <c r="G817" s="38"/>
      <c r="H817" s="38"/>
      <c r="I817" s="38"/>
      <c r="J817" s="38"/>
      <c r="K817" s="38"/>
      <c r="L817" s="38"/>
      <c r="M817" s="38"/>
      <c r="N817" s="38"/>
      <c r="O817" s="38"/>
      <c r="P817" s="38"/>
      <c r="Q817" s="38"/>
      <c r="R817" s="38"/>
      <c r="S817" s="38"/>
      <c r="T817" s="38"/>
      <c r="U817" s="38"/>
      <c r="V817" s="38"/>
      <c r="W817" s="38"/>
      <c r="X817" s="38"/>
      <c r="Y817" s="38"/>
    </row>
    <row r="818">
      <c r="A818" s="38"/>
      <c r="B818" s="143"/>
      <c r="C818" s="38"/>
      <c r="D818" s="38"/>
      <c r="E818" s="38"/>
      <c r="F818" s="38"/>
      <c r="G818" s="38"/>
      <c r="H818" s="38"/>
      <c r="I818" s="38"/>
      <c r="J818" s="38"/>
      <c r="K818" s="38"/>
      <c r="L818" s="38"/>
      <c r="M818" s="38"/>
      <c r="N818" s="38"/>
      <c r="O818" s="38"/>
      <c r="P818" s="38"/>
      <c r="Q818" s="38"/>
      <c r="R818" s="38"/>
      <c r="S818" s="38"/>
      <c r="T818" s="38"/>
      <c r="U818" s="38"/>
      <c r="V818" s="38"/>
      <c r="W818" s="38"/>
      <c r="X818" s="38"/>
      <c r="Y818" s="38"/>
    </row>
    <row r="819">
      <c r="A819" s="38"/>
      <c r="B819" s="143"/>
      <c r="C819" s="38"/>
      <c r="D819" s="38"/>
      <c r="E819" s="38"/>
      <c r="F819" s="38"/>
      <c r="G819" s="38"/>
      <c r="H819" s="38"/>
      <c r="I819" s="38"/>
      <c r="J819" s="38"/>
      <c r="K819" s="38"/>
      <c r="L819" s="38"/>
      <c r="M819" s="38"/>
      <c r="N819" s="38"/>
      <c r="O819" s="38"/>
      <c r="P819" s="38"/>
      <c r="Q819" s="38"/>
      <c r="R819" s="38"/>
      <c r="S819" s="38"/>
      <c r="T819" s="38"/>
      <c r="U819" s="38"/>
      <c r="V819" s="38"/>
      <c r="W819" s="38"/>
      <c r="X819" s="38"/>
      <c r="Y819" s="38"/>
    </row>
    <row r="820">
      <c r="A820" s="38"/>
      <c r="B820" s="143"/>
      <c r="C820" s="38"/>
      <c r="D820" s="38"/>
      <c r="E820" s="38"/>
      <c r="F820" s="38"/>
      <c r="G820" s="38"/>
      <c r="H820" s="38"/>
      <c r="I820" s="38"/>
      <c r="J820" s="38"/>
      <c r="K820" s="38"/>
      <c r="L820" s="38"/>
      <c r="M820" s="38"/>
      <c r="N820" s="38"/>
      <c r="O820" s="38"/>
      <c r="P820" s="38"/>
      <c r="Q820" s="38"/>
      <c r="R820" s="38"/>
      <c r="S820" s="38"/>
      <c r="T820" s="38"/>
      <c r="U820" s="38"/>
      <c r="V820" s="38"/>
      <c r="W820" s="38"/>
      <c r="X820" s="38"/>
      <c r="Y820" s="38"/>
    </row>
    <row r="821">
      <c r="A821" s="38"/>
      <c r="B821" s="143"/>
      <c r="C821" s="38"/>
      <c r="D821" s="38"/>
      <c r="E821" s="38"/>
      <c r="F821" s="38"/>
      <c r="G821" s="38"/>
      <c r="H821" s="38"/>
      <c r="I821" s="38"/>
      <c r="J821" s="38"/>
      <c r="K821" s="38"/>
      <c r="L821" s="38"/>
      <c r="M821" s="38"/>
      <c r="N821" s="38"/>
      <c r="O821" s="38"/>
      <c r="P821" s="38"/>
      <c r="Q821" s="38"/>
      <c r="R821" s="38"/>
      <c r="S821" s="38"/>
      <c r="T821" s="38"/>
      <c r="U821" s="38"/>
      <c r="V821" s="38"/>
      <c r="W821" s="38"/>
      <c r="X821" s="38"/>
      <c r="Y821" s="38"/>
    </row>
    <row r="822">
      <c r="A822" s="38"/>
      <c r="B822" s="143"/>
      <c r="C822" s="38"/>
      <c r="D822" s="38"/>
      <c r="E822" s="38"/>
      <c r="F822" s="38"/>
      <c r="G822" s="38"/>
      <c r="H822" s="38"/>
      <c r="I822" s="38"/>
      <c r="J822" s="38"/>
      <c r="K822" s="38"/>
      <c r="L822" s="38"/>
      <c r="M822" s="38"/>
      <c r="N822" s="38"/>
      <c r="O822" s="38"/>
      <c r="P822" s="38"/>
      <c r="Q822" s="38"/>
      <c r="R822" s="38"/>
      <c r="S822" s="38"/>
      <c r="T822" s="38"/>
      <c r="U822" s="38"/>
      <c r="V822" s="38"/>
      <c r="W822" s="38"/>
      <c r="X822" s="38"/>
      <c r="Y822" s="38"/>
    </row>
    <row r="823">
      <c r="A823" s="38"/>
      <c r="B823" s="143"/>
      <c r="C823" s="38"/>
      <c r="D823" s="38"/>
      <c r="E823" s="38"/>
      <c r="F823" s="38"/>
      <c r="G823" s="38"/>
      <c r="H823" s="38"/>
      <c r="I823" s="38"/>
      <c r="J823" s="38"/>
      <c r="K823" s="38"/>
      <c r="L823" s="38"/>
      <c r="M823" s="38"/>
      <c r="N823" s="38"/>
      <c r="O823" s="38"/>
      <c r="P823" s="38"/>
      <c r="Q823" s="38"/>
      <c r="R823" s="38"/>
      <c r="S823" s="38"/>
      <c r="T823" s="38"/>
      <c r="U823" s="38"/>
      <c r="V823" s="38"/>
      <c r="W823" s="38"/>
      <c r="X823" s="38"/>
      <c r="Y823" s="38"/>
    </row>
    <row r="824">
      <c r="A824" s="38"/>
      <c r="B824" s="143"/>
      <c r="C824" s="38"/>
      <c r="D824" s="38"/>
      <c r="E824" s="38"/>
      <c r="F824" s="38"/>
      <c r="G824" s="38"/>
      <c r="H824" s="38"/>
      <c r="I824" s="38"/>
      <c r="J824" s="38"/>
      <c r="K824" s="38"/>
      <c r="L824" s="38"/>
      <c r="M824" s="38"/>
      <c r="N824" s="38"/>
      <c r="O824" s="38"/>
      <c r="P824" s="38"/>
      <c r="Q824" s="38"/>
      <c r="R824" s="38"/>
      <c r="S824" s="38"/>
      <c r="T824" s="38"/>
      <c r="U824" s="38"/>
      <c r="V824" s="38"/>
      <c r="W824" s="38"/>
      <c r="X824" s="38"/>
      <c r="Y824" s="38"/>
    </row>
    <row r="825">
      <c r="A825" s="38"/>
      <c r="B825" s="143"/>
      <c r="C825" s="38"/>
      <c r="D825" s="38"/>
      <c r="E825" s="38"/>
      <c r="F825" s="38"/>
      <c r="G825" s="38"/>
      <c r="H825" s="38"/>
      <c r="I825" s="38"/>
      <c r="J825" s="38"/>
      <c r="K825" s="38"/>
      <c r="L825" s="38"/>
      <c r="M825" s="38"/>
      <c r="N825" s="38"/>
      <c r="O825" s="38"/>
      <c r="P825" s="38"/>
      <c r="Q825" s="38"/>
      <c r="R825" s="38"/>
      <c r="S825" s="38"/>
      <c r="T825" s="38"/>
      <c r="U825" s="38"/>
      <c r="V825" s="38"/>
      <c r="W825" s="38"/>
      <c r="X825" s="38"/>
      <c r="Y825" s="38"/>
    </row>
    <row r="826">
      <c r="A826" s="38"/>
      <c r="B826" s="143"/>
      <c r="C826" s="38"/>
      <c r="D826" s="38"/>
      <c r="E826" s="38"/>
      <c r="F826" s="38"/>
      <c r="G826" s="38"/>
      <c r="H826" s="38"/>
      <c r="I826" s="38"/>
      <c r="J826" s="38"/>
      <c r="K826" s="38"/>
      <c r="L826" s="38"/>
      <c r="M826" s="38"/>
      <c r="N826" s="38"/>
      <c r="O826" s="38"/>
      <c r="P826" s="38"/>
      <c r="Q826" s="38"/>
      <c r="R826" s="38"/>
      <c r="S826" s="38"/>
      <c r="T826" s="38"/>
      <c r="U826" s="38"/>
      <c r="V826" s="38"/>
      <c r="W826" s="38"/>
      <c r="X826" s="38"/>
      <c r="Y826" s="38"/>
    </row>
    <row r="827">
      <c r="A827" s="38"/>
      <c r="B827" s="143"/>
      <c r="C827" s="38"/>
      <c r="D827" s="38"/>
      <c r="E827" s="38"/>
      <c r="F827" s="38"/>
      <c r="G827" s="38"/>
      <c r="H827" s="38"/>
      <c r="I827" s="38"/>
      <c r="J827" s="38"/>
      <c r="K827" s="38"/>
      <c r="L827" s="38"/>
      <c r="M827" s="38"/>
      <c r="N827" s="38"/>
      <c r="O827" s="38"/>
      <c r="P827" s="38"/>
      <c r="Q827" s="38"/>
      <c r="R827" s="38"/>
      <c r="S827" s="38"/>
      <c r="T827" s="38"/>
      <c r="U827" s="38"/>
      <c r="V827" s="38"/>
      <c r="W827" s="38"/>
      <c r="X827" s="38"/>
      <c r="Y827" s="38"/>
    </row>
    <row r="828">
      <c r="A828" s="38"/>
      <c r="B828" s="143"/>
      <c r="C828" s="38"/>
      <c r="D828" s="38"/>
      <c r="E828" s="38"/>
      <c r="F828" s="38"/>
      <c r="G828" s="38"/>
      <c r="H828" s="38"/>
      <c r="I828" s="38"/>
      <c r="J828" s="38"/>
      <c r="K828" s="38"/>
      <c r="L828" s="38"/>
      <c r="M828" s="38"/>
      <c r="N828" s="38"/>
      <c r="O828" s="38"/>
      <c r="P828" s="38"/>
      <c r="Q828" s="38"/>
      <c r="R828" s="38"/>
      <c r="S828" s="38"/>
      <c r="T828" s="38"/>
      <c r="U828" s="38"/>
      <c r="V828" s="38"/>
      <c r="W828" s="38"/>
      <c r="X828" s="38"/>
      <c r="Y828" s="38"/>
    </row>
    <row r="829">
      <c r="A829" s="38"/>
      <c r="B829" s="143"/>
      <c r="C829" s="38"/>
      <c r="D829" s="38"/>
      <c r="E829" s="38"/>
      <c r="F829" s="38"/>
      <c r="G829" s="38"/>
      <c r="H829" s="38"/>
      <c r="I829" s="38"/>
      <c r="J829" s="38"/>
      <c r="K829" s="38"/>
      <c r="L829" s="38"/>
      <c r="M829" s="38"/>
      <c r="N829" s="38"/>
      <c r="O829" s="38"/>
      <c r="P829" s="38"/>
      <c r="Q829" s="38"/>
      <c r="R829" s="38"/>
      <c r="S829" s="38"/>
      <c r="T829" s="38"/>
      <c r="U829" s="38"/>
      <c r="V829" s="38"/>
      <c r="W829" s="38"/>
      <c r="X829" s="38"/>
      <c r="Y829" s="38"/>
    </row>
    <row r="830">
      <c r="A830" s="38"/>
      <c r="B830" s="143"/>
      <c r="C830" s="38"/>
      <c r="D830" s="38"/>
      <c r="E830" s="38"/>
      <c r="F830" s="38"/>
      <c r="G830" s="38"/>
      <c r="H830" s="38"/>
      <c r="I830" s="38"/>
      <c r="J830" s="38"/>
      <c r="K830" s="38"/>
      <c r="L830" s="38"/>
      <c r="M830" s="38"/>
      <c r="N830" s="38"/>
      <c r="O830" s="38"/>
      <c r="P830" s="38"/>
      <c r="Q830" s="38"/>
      <c r="R830" s="38"/>
      <c r="S830" s="38"/>
      <c r="T830" s="38"/>
      <c r="U830" s="38"/>
      <c r="V830" s="38"/>
      <c r="W830" s="38"/>
      <c r="X830" s="38"/>
      <c r="Y830" s="38"/>
    </row>
    <row r="831">
      <c r="A831" s="38"/>
      <c r="B831" s="143"/>
      <c r="C831" s="38"/>
      <c r="D831" s="38"/>
      <c r="E831" s="38"/>
      <c r="F831" s="38"/>
      <c r="G831" s="38"/>
      <c r="H831" s="38"/>
      <c r="I831" s="38"/>
      <c r="J831" s="38"/>
      <c r="K831" s="38"/>
      <c r="L831" s="38"/>
      <c r="M831" s="38"/>
      <c r="N831" s="38"/>
      <c r="O831" s="38"/>
      <c r="P831" s="38"/>
      <c r="Q831" s="38"/>
      <c r="R831" s="38"/>
      <c r="S831" s="38"/>
      <c r="T831" s="38"/>
      <c r="U831" s="38"/>
      <c r="V831" s="38"/>
      <c r="W831" s="38"/>
      <c r="X831" s="38"/>
      <c r="Y831" s="38"/>
    </row>
    <row r="832">
      <c r="A832" s="38"/>
      <c r="B832" s="143"/>
      <c r="C832" s="38"/>
      <c r="D832" s="38"/>
      <c r="E832" s="38"/>
      <c r="F832" s="38"/>
      <c r="G832" s="38"/>
      <c r="H832" s="38"/>
      <c r="I832" s="38"/>
      <c r="J832" s="38"/>
      <c r="K832" s="38"/>
      <c r="L832" s="38"/>
      <c r="M832" s="38"/>
      <c r="N832" s="38"/>
      <c r="O832" s="38"/>
      <c r="P832" s="38"/>
      <c r="Q832" s="38"/>
      <c r="R832" s="38"/>
      <c r="S832" s="38"/>
      <c r="T832" s="38"/>
      <c r="U832" s="38"/>
      <c r="V832" s="38"/>
      <c r="W832" s="38"/>
      <c r="X832" s="38"/>
      <c r="Y832" s="38"/>
    </row>
    <row r="833">
      <c r="A833" s="38"/>
      <c r="B833" s="143"/>
      <c r="C833" s="38"/>
      <c r="D833" s="38"/>
      <c r="E833" s="38"/>
      <c r="F833" s="38"/>
      <c r="G833" s="38"/>
      <c r="H833" s="38"/>
      <c r="I833" s="38"/>
      <c r="J833" s="38"/>
      <c r="K833" s="38"/>
      <c r="L833" s="38"/>
      <c r="M833" s="38"/>
      <c r="N833" s="38"/>
      <c r="O833" s="38"/>
      <c r="P833" s="38"/>
      <c r="Q833" s="38"/>
      <c r="R833" s="38"/>
      <c r="S833" s="38"/>
      <c r="T833" s="38"/>
      <c r="U833" s="38"/>
      <c r="V833" s="38"/>
      <c r="W833" s="38"/>
      <c r="X833" s="38"/>
      <c r="Y833" s="38"/>
    </row>
    <row r="834">
      <c r="A834" s="38"/>
      <c r="B834" s="143"/>
      <c r="C834" s="38"/>
      <c r="D834" s="38"/>
      <c r="E834" s="38"/>
      <c r="F834" s="38"/>
      <c r="G834" s="38"/>
      <c r="H834" s="38"/>
      <c r="I834" s="38"/>
      <c r="J834" s="38"/>
      <c r="K834" s="38"/>
      <c r="L834" s="38"/>
      <c r="M834" s="38"/>
      <c r="N834" s="38"/>
      <c r="O834" s="38"/>
      <c r="P834" s="38"/>
      <c r="Q834" s="38"/>
      <c r="R834" s="38"/>
      <c r="S834" s="38"/>
      <c r="T834" s="38"/>
      <c r="U834" s="38"/>
      <c r="V834" s="38"/>
      <c r="W834" s="38"/>
      <c r="X834" s="38"/>
      <c r="Y834" s="38"/>
    </row>
    <row r="835">
      <c r="A835" s="38"/>
      <c r="B835" s="143"/>
      <c r="C835" s="38"/>
      <c r="D835" s="38"/>
      <c r="E835" s="38"/>
      <c r="F835" s="38"/>
      <c r="G835" s="38"/>
      <c r="H835" s="38"/>
      <c r="I835" s="38"/>
      <c r="J835" s="38"/>
      <c r="K835" s="38"/>
      <c r="L835" s="38"/>
      <c r="M835" s="38"/>
      <c r="N835" s="38"/>
      <c r="O835" s="38"/>
      <c r="P835" s="38"/>
      <c r="Q835" s="38"/>
      <c r="R835" s="38"/>
      <c r="S835" s="38"/>
      <c r="T835" s="38"/>
      <c r="U835" s="38"/>
      <c r="V835" s="38"/>
      <c r="W835" s="38"/>
      <c r="X835" s="38"/>
      <c r="Y835" s="38"/>
    </row>
    <row r="836">
      <c r="A836" s="38"/>
      <c r="B836" s="143"/>
      <c r="C836" s="38"/>
      <c r="D836" s="38"/>
      <c r="E836" s="38"/>
      <c r="F836" s="38"/>
      <c r="G836" s="38"/>
      <c r="H836" s="38"/>
      <c r="I836" s="38"/>
      <c r="J836" s="38"/>
      <c r="K836" s="38"/>
      <c r="L836" s="38"/>
      <c r="M836" s="38"/>
      <c r="N836" s="38"/>
      <c r="O836" s="38"/>
      <c r="P836" s="38"/>
      <c r="Q836" s="38"/>
      <c r="R836" s="38"/>
      <c r="S836" s="38"/>
      <c r="T836" s="38"/>
      <c r="U836" s="38"/>
      <c r="V836" s="38"/>
      <c r="W836" s="38"/>
      <c r="X836" s="38"/>
      <c r="Y836" s="38"/>
    </row>
    <row r="837">
      <c r="A837" s="38"/>
      <c r="B837" s="143"/>
      <c r="C837" s="38"/>
      <c r="D837" s="38"/>
      <c r="E837" s="38"/>
      <c r="F837" s="38"/>
      <c r="G837" s="38"/>
      <c r="H837" s="38"/>
      <c r="I837" s="38"/>
      <c r="J837" s="38"/>
      <c r="K837" s="38"/>
      <c r="L837" s="38"/>
      <c r="M837" s="38"/>
      <c r="N837" s="38"/>
      <c r="O837" s="38"/>
      <c r="P837" s="38"/>
      <c r="Q837" s="38"/>
      <c r="R837" s="38"/>
      <c r="S837" s="38"/>
      <c r="T837" s="38"/>
      <c r="U837" s="38"/>
      <c r="V837" s="38"/>
      <c r="W837" s="38"/>
      <c r="X837" s="38"/>
      <c r="Y837" s="38"/>
    </row>
    <row r="838">
      <c r="A838" s="38"/>
      <c r="B838" s="143"/>
      <c r="C838" s="38"/>
      <c r="D838" s="38"/>
      <c r="E838" s="38"/>
      <c r="F838" s="38"/>
      <c r="G838" s="38"/>
      <c r="H838" s="38"/>
      <c r="I838" s="38"/>
      <c r="J838" s="38"/>
      <c r="K838" s="38"/>
      <c r="L838" s="38"/>
      <c r="M838" s="38"/>
      <c r="N838" s="38"/>
      <c r="O838" s="38"/>
      <c r="P838" s="38"/>
      <c r="Q838" s="38"/>
      <c r="R838" s="38"/>
      <c r="S838" s="38"/>
      <c r="T838" s="38"/>
      <c r="U838" s="38"/>
      <c r="V838" s="38"/>
      <c r="W838" s="38"/>
      <c r="X838" s="38"/>
      <c r="Y838" s="38"/>
    </row>
    <row r="839">
      <c r="A839" s="38"/>
      <c r="B839" s="143"/>
      <c r="C839" s="38"/>
      <c r="D839" s="38"/>
      <c r="E839" s="38"/>
      <c r="F839" s="38"/>
      <c r="G839" s="38"/>
      <c r="H839" s="38"/>
      <c r="I839" s="38"/>
      <c r="J839" s="38"/>
      <c r="K839" s="38"/>
      <c r="L839" s="38"/>
      <c r="M839" s="38"/>
      <c r="N839" s="38"/>
      <c r="O839" s="38"/>
      <c r="P839" s="38"/>
      <c r="Q839" s="38"/>
      <c r="R839" s="38"/>
      <c r="S839" s="38"/>
      <c r="T839" s="38"/>
      <c r="U839" s="38"/>
      <c r="V839" s="38"/>
      <c r="W839" s="38"/>
      <c r="X839" s="38"/>
      <c r="Y839" s="38"/>
    </row>
    <row r="840">
      <c r="A840" s="38"/>
      <c r="B840" s="143"/>
      <c r="C840" s="38"/>
      <c r="D840" s="38"/>
      <c r="E840" s="38"/>
      <c r="F840" s="38"/>
      <c r="G840" s="38"/>
      <c r="H840" s="38"/>
      <c r="I840" s="38"/>
      <c r="J840" s="38"/>
      <c r="K840" s="38"/>
      <c r="L840" s="38"/>
      <c r="M840" s="38"/>
      <c r="N840" s="38"/>
      <c r="O840" s="38"/>
      <c r="P840" s="38"/>
      <c r="Q840" s="38"/>
      <c r="R840" s="38"/>
      <c r="S840" s="38"/>
      <c r="T840" s="38"/>
      <c r="U840" s="38"/>
      <c r="V840" s="38"/>
      <c r="W840" s="38"/>
      <c r="X840" s="38"/>
      <c r="Y840" s="38"/>
    </row>
    <row r="841">
      <c r="A841" s="38"/>
      <c r="B841" s="143"/>
      <c r="C841" s="38"/>
      <c r="D841" s="38"/>
      <c r="E841" s="38"/>
      <c r="F841" s="38"/>
      <c r="G841" s="38"/>
      <c r="H841" s="38"/>
      <c r="I841" s="38"/>
      <c r="J841" s="38"/>
      <c r="K841" s="38"/>
      <c r="L841" s="38"/>
      <c r="M841" s="38"/>
      <c r="N841" s="38"/>
      <c r="O841" s="38"/>
      <c r="P841" s="38"/>
      <c r="Q841" s="38"/>
      <c r="R841" s="38"/>
      <c r="S841" s="38"/>
      <c r="T841" s="38"/>
      <c r="U841" s="38"/>
      <c r="V841" s="38"/>
      <c r="W841" s="38"/>
      <c r="X841" s="38"/>
      <c r="Y841" s="38"/>
    </row>
    <row r="842">
      <c r="A842" s="38"/>
      <c r="B842" s="143"/>
      <c r="C842" s="38"/>
      <c r="D842" s="38"/>
      <c r="E842" s="38"/>
      <c r="F842" s="38"/>
      <c r="G842" s="38"/>
      <c r="H842" s="38"/>
      <c r="I842" s="38"/>
      <c r="J842" s="38"/>
      <c r="K842" s="38"/>
      <c r="L842" s="38"/>
      <c r="M842" s="38"/>
      <c r="N842" s="38"/>
      <c r="O842" s="38"/>
      <c r="P842" s="38"/>
      <c r="Q842" s="38"/>
      <c r="R842" s="38"/>
      <c r="S842" s="38"/>
      <c r="T842" s="38"/>
      <c r="U842" s="38"/>
      <c r="V842" s="38"/>
      <c r="W842" s="38"/>
      <c r="X842" s="38"/>
      <c r="Y842" s="38"/>
    </row>
    <row r="843">
      <c r="A843" s="38"/>
      <c r="B843" s="143"/>
      <c r="C843" s="38"/>
      <c r="D843" s="38"/>
      <c r="E843" s="38"/>
      <c r="F843" s="38"/>
      <c r="G843" s="38"/>
      <c r="H843" s="38"/>
      <c r="I843" s="38"/>
      <c r="J843" s="38"/>
      <c r="K843" s="38"/>
      <c r="L843" s="38"/>
      <c r="M843" s="38"/>
      <c r="N843" s="38"/>
      <c r="O843" s="38"/>
      <c r="P843" s="38"/>
      <c r="Q843" s="38"/>
      <c r="R843" s="38"/>
      <c r="S843" s="38"/>
      <c r="T843" s="38"/>
      <c r="U843" s="38"/>
      <c r="V843" s="38"/>
      <c r="W843" s="38"/>
      <c r="X843" s="38"/>
      <c r="Y843" s="38"/>
    </row>
    <row r="844">
      <c r="A844" s="38"/>
      <c r="B844" s="143"/>
      <c r="C844" s="38"/>
      <c r="D844" s="38"/>
      <c r="E844" s="38"/>
      <c r="F844" s="38"/>
      <c r="G844" s="38"/>
      <c r="H844" s="38"/>
      <c r="I844" s="38"/>
      <c r="J844" s="38"/>
      <c r="K844" s="38"/>
      <c r="L844" s="38"/>
      <c r="M844" s="38"/>
      <c r="N844" s="38"/>
      <c r="O844" s="38"/>
      <c r="P844" s="38"/>
      <c r="Q844" s="38"/>
      <c r="R844" s="38"/>
      <c r="S844" s="38"/>
      <c r="T844" s="38"/>
      <c r="U844" s="38"/>
      <c r="V844" s="38"/>
      <c r="W844" s="38"/>
      <c r="X844" s="38"/>
      <c r="Y844" s="38"/>
    </row>
    <row r="845">
      <c r="A845" s="38"/>
      <c r="B845" s="143"/>
      <c r="C845" s="38"/>
      <c r="D845" s="38"/>
      <c r="E845" s="38"/>
      <c r="F845" s="38"/>
      <c r="G845" s="38"/>
      <c r="H845" s="38"/>
      <c r="I845" s="38"/>
      <c r="J845" s="38"/>
      <c r="K845" s="38"/>
      <c r="L845" s="38"/>
      <c r="M845" s="38"/>
      <c r="N845" s="38"/>
      <c r="O845" s="38"/>
      <c r="P845" s="38"/>
      <c r="Q845" s="38"/>
      <c r="R845" s="38"/>
      <c r="S845" s="38"/>
      <c r="T845" s="38"/>
      <c r="U845" s="38"/>
      <c r="V845" s="38"/>
      <c r="W845" s="38"/>
      <c r="X845" s="38"/>
      <c r="Y845" s="38"/>
    </row>
    <row r="846">
      <c r="A846" s="38"/>
      <c r="B846" s="143"/>
      <c r="C846" s="38"/>
      <c r="D846" s="38"/>
      <c r="E846" s="38"/>
      <c r="F846" s="38"/>
      <c r="G846" s="38"/>
      <c r="H846" s="38"/>
      <c r="I846" s="38"/>
      <c r="J846" s="38"/>
      <c r="K846" s="38"/>
      <c r="L846" s="38"/>
      <c r="M846" s="38"/>
      <c r="N846" s="38"/>
      <c r="O846" s="38"/>
      <c r="P846" s="38"/>
      <c r="Q846" s="38"/>
      <c r="R846" s="38"/>
      <c r="S846" s="38"/>
      <c r="T846" s="38"/>
      <c r="U846" s="38"/>
      <c r="V846" s="38"/>
      <c r="W846" s="38"/>
      <c r="X846" s="38"/>
      <c r="Y846" s="38"/>
    </row>
    <row r="847">
      <c r="A847" s="38"/>
      <c r="B847" s="143"/>
      <c r="C847" s="38"/>
      <c r="D847" s="38"/>
      <c r="E847" s="38"/>
      <c r="F847" s="38"/>
      <c r="G847" s="38"/>
      <c r="H847" s="38"/>
      <c r="I847" s="38"/>
      <c r="J847" s="38"/>
      <c r="K847" s="38"/>
      <c r="L847" s="38"/>
      <c r="M847" s="38"/>
      <c r="N847" s="38"/>
      <c r="O847" s="38"/>
      <c r="P847" s="38"/>
      <c r="Q847" s="38"/>
      <c r="R847" s="38"/>
      <c r="S847" s="38"/>
      <c r="T847" s="38"/>
      <c r="U847" s="38"/>
      <c r="V847" s="38"/>
      <c r="W847" s="38"/>
      <c r="X847" s="38"/>
      <c r="Y847" s="38"/>
    </row>
    <row r="848">
      <c r="A848" s="38"/>
      <c r="B848" s="143"/>
      <c r="C848" s="38"/>
      <c r="D848" s="38"/>
      <c r="E848" s="38"/>
      <c r="F848" s="38"/>
      <c r="G848" s="38"/>
      <c r="H848" s="38"/>
      <c r="I848" s="38"/>
      <c r="J848" s="38"/>
      <c r="K848" s="38"/>
      <c r="L848" s="38"/>
      <c r="M848" s="38"/>
      <c r="N848" s="38"/>
      <c r="O848" s="38"/>
      <c r="P848" s="38"/>
      <c r="Q848" s="38"/>
      <c r="R848" s="38"/>
      <c r="S848" s="38"/>
      <c r="T848" s="38"/>
      <c r="U848" s="38"/>
      <c r="V848" s="38"/>
      <c r="W848" s="38"/>
      <c r="X848" s="38"/>
      <c r="Y848" s="38"/>
    </row>
    <row r="849">
      <c r="A849" s="38"/>
      <c r="B849" s="143"/>
      <c r="C849" s="38"/>
      <c r="D849" s="38"/>
      <c r="E849" s="38"/>
      <c r="F849" s="38"/>
      <c r="G849" s="38"/>
      <c r="H849" s="38"/>
      <c r="I849" s="38"/>
      <c r="J849" s="38"/>
      <c r="K849" s="38"/>
      <c r="L849" s="38"/>
      <c r="M849" s="38"/>
      <c r="N849" s="38"/>
      <c r="O849" s="38"/>
      <c r="P849" s="38"/>
      <c r="Q849" s="38"/>
      <c r="R849" s="38"/>
      <c r="S849" s="38"/>
      <c r="T849" s="38"/>
      <c r="U849" s="38"/>
      <c r="V849" s="38"/>
      <c r="W849" s="38"/>
      <c r="X849" s="38"/>
      <c r="Y849" s="38"/>
    </row>
    <row r="850">
      <c r="A850" s="38"/>
      <c r="B850" s="143"/>
      <c r="C850" s="38"/>
      <c r="D850" s="38"/>
      <c r="E850" s="38"/>
      <c r="F850" s="38"/>
      <c r="G850" s="38"/>
      <c r="H850" s="38"/>
      <c r="I850" s="38"/>
      <c r="J850" s="38"/>
      <c r="K850" s="38"/>
      <c r="L850" s="38"/>
      <c r="M850" s="38"/>
      <c r="N850" s="38"/>
      <c r="O850" s="38"/>
      <c r="P850" s="38"/>
      <c r="Q850" s="38"/>
      <c r="R850" s="38"/>
      <c r="S850" s="38"/>
      <c r="T850" s="38"/>
      <c r="U850" s="38"/>
      <c r="V850" s="38"/>
      <c r="W850" s="38"/>
      <c r="X850" s="38"/>
      <c r="Y850" s="38"/>
    </row>
    <row r="851">
      <c r="A851" s="38"/>
      <c r="B851" s="143"/>
      <c r="C851" s="38"/>
      <c r="D851" s="38"/>
      <c r="E851" s="38"/>
      <c r="F851" s="38"/>
      <c r="G851" s="38"/>
      <c r="H851" s="38"/>
      <c r="I851" s="38"/>
      <c r="J851" s="38"/>
      <c r="K851" s="38"/>
      <c r="L851" s="38"/>
      <c r="M851" s="38"/>
      <c r="N851" s="38"/>
      <c r="O851" s="38"/>
      <c r="P851" s="38"/>
      <c r="Q851" s="38"/>
      <c r="R851" s="38"/>
      <c r="S851" s="38"/>
      <c r="T851" s="38"/>
      <c r="U851" s="38"/>
      <c r="V851" s="38"/>
      <c r="W851" s="38"/>
      <c r="X851" s="38"/>
      <c r="Y851" s="38"/>
    </row>
    <row r="852">
      <c r="A852" s="38"/>
      <c r="B852" s="143"/>
      <c r="C852" s="38"/>
      <c r="D852" s="38"/>
      <c r="E852" s="38"/>
      <c r="F852" s="38"/>
      <c r="G852" s="38"/>
      <c r="H852" s="38"/>
      <c r="I852" s="38"/>
      <c r="J852" s="38"/>
      <c r="K852" s="38"/>
      <c r="L852" s="38"/>
      <c r="M852" s="38"/>
      <c r="N852" s="38"/>
      <c r="O852" s="38"/>
      <c r="P852" s="38"/>
      <c r="Q852" s="38"/>
      <c r="R852" s="38"/>
      <c r="S852" s="38"/>
      <c r="T852" s="38"/>
      <c r="U852" s="38"/>
      <c r="V852" s="38"/>
      <c r="W852" s="38"/>
      <c r="X852" s="38"/>
      <c r="Y852" s="38"/>
    </row>
    <row r="853">
      <c r="A853" s="38"/>
      <c r="B853" s="143"/>
      <c r="C853" s="38"/>
      <c r="D853" s="38"/>
      <c r="E853" s="38"/>
      <c r="F853" s="38"/>
      <c r="G853" s="38"/>
      <c r="H853" s="38"/>
      <c r="I853" s="38"/>
      <c r="J853" s="38"/>
      <c r="K853" s="38"/>
      <c r="L853" s="38"/>
      <c r="M853" s="38"/>
      <c r="N853" s="38"/>
      <c r="O853" s="38"/>
      <c r="P853" s="38"/>
      <c r="Q853" s="38"/>
      <c r="R853" s="38"/>
      <c r="S853" s="38"/>
      <c r="T853" s="38"/>
      <c r="U853" s="38"/>
      <c r="V853" s="38"/>
      <c r="W853" s="38"/>
      <c r="X853" s="38"/>
      <c r="Y853" s="38"/>
    </row>
    <row r="854">
      <c r="A854" s="38"/>
      <c r="B854" s="143"/>
      <c r="C854" s="38"/>
      <c r="D854" s="38"/>
      <c r="E854" s="38"/>
      <c r="F854" s="38"/>
      <c r="G854" s="38"/>
      <c r="H854" s="38"/>
      <c r="I854" s="38"/>
      <c r="J854" s="38"/>
      <c r="K854" s="38"/>
      <c r="L854" s="38"/>
      <c r="M854" s="38"/>
      <c r="N854" s="38"/>
      <c r="O854" s="38"/>
      <c r="P854" s="38"/>
      <c r="Q854" s="38"/>
      <c r="R854" s="38"/>
      <c r="S854" s="38"/>
      <c r="T854" s="38"/>
      <c r="U854" s="38"/>
      <c r="V854" s="38"/>
      <c r="W854" s="38"/>
      <c r="X854" s="38"/>
      <c r="Y854" s="38"/>
    </row>
    <row r="855">
      <c r="A855" s="38"/>
      <c r="B855" s="143"/>
      <c r="C855" s="38"/>
      <c r="D855" s="38"/>
      <c r="E855" s="38"/>
      <c r="F855" s="38"/>
      <c r="G855" s="38"/>
      <c r="H855" s="38"/>
      <c r="I855" s="38"/>
      <c r="J855" s="38"/>
      <c r="K855" s="38"/>
      <c r="L855" s="38"/>
      <c r="M855" s="38"/>
      <c r="N855" s="38"/>
      <c r="O855" s="38"/>
      <c r="P855" s="38"/>
      <c r="Q855" s="38"/>
      <c r="R855" s="38"/>
      <c r="S855" s="38"/>
      <c r="T855" s="38"/>
      <c r="U855" s="38"/>
      <c r="V855" s="38"/>
      <c r="W855" s="38"/>
      <c r="X855" s="38"/>
      <c r="Y855" s="38"/>
    </row>
    <row r="856">
      <c r="A856" s="38"/>
      <c r="B856" s="143"/>
      <c r="C856" s="38"/>
      <c r="D856" s="38"/>
      <c r="E856" s="38"/>
      <c r="F856" s="38"/>
      <c r="G856" s="38"/>
      <c r="H856" s="38"/>
      <c r="I856" s="38"/>
      <c r="J856" s="38"/>
      <c r="K856" s="38"/>
      <c r="L856" s="38"/>
      <c r="M856" s="38"/>
      <c r="N856" s="38"/>
      <c r="O856" s="38"/>
      <c r="P856" s="38"/>
      <c r="Q856" s="38"/>
      <c r="R856" s="38"/>
      <c r="S856" s="38"/>
      <c r="T856" s="38"/>
      <c r="U856" s="38"/>
      <c r="V856" s="38"/>
      <c r="W856" s="38"/>
      <c r="X856" s="38"/>
      <c r="Y856" s="38"/>
    </row>
    <row r="857">
      <c r="A857" s="38"/>
      <c r="B857" s="143"/>
      <c r="C857" s="38"/>
      <c r="D857" s="38"/>
      <c r="E857" s="38"/>
      <c r="F857" s="38"/>
      <c r="G857" s="38"/>
      <c r="H857" s="38"/>
      <c r="I857" s="38"/>
      <c r="J857" s="38"/>
      <c r="K857" s="38"/>
      <c r="L857" s="38"/>
      <c r="M857" s="38"/>
      <c r="N857" s="38"/>
      <c r="O857" s="38"/>
      <c r="P857" s="38"/>
      <c r="Q857" s="38"/>
      <c r="R857" s="38"/>
      <c r="S857" s="38"/>
      <c r="T857" s="38"/>
      <c r="U857" s="38"/>
      <c r="V857" s="38"/>
      <c r="W857" s="38"/>
      <c r="X857" s="38"/>
      <c r="Y857" s="38"/>
    </row>
    <row r="858">
      <c r="A858" s="38"/>
      <c r="B858" s="143"/>
      <c r="C858" s="38"/>
      <c r="D858" s="38"/>
      <c r="E858" s="38"/>
      <c r="F858" s="38"/>
      <c r="G858" s="38"/>
      <c r="H858" s="38"/>
      <c r="I858" s="38"/>
      <c r="J858" s="38"/>
      <c r="K858" s="38"/>
      <c r="L858" s="38"/>
      <c r="M858" s="38"/>
      <c r="N858" s="38"/>
      <c r="O858" s="38"/>
      <c r="P858" s="38"/>
      <c r="Q858" s="38"/>
      <c r="R858" s="38"/>
      <c r="S858" s="38"/>
      <c r="T858" s="38"/>
      <c r="U858" s="38"/>
      <c r="V858" s="38"/>
      <c r="W858" s="38"/>
      <c r="X858" s="38"/>
      <c r="Y858" s="38"/>
    </row>
    <row r="859">
      <c r="A859" s="38"/>
      <c r="B859" s="143"/>
      <c r="C859" s="38"/>
      <c r="D859" s="38"/>
      <c r="E859" s="38"/>
      <c r="F859" s="38"/>
      <c r="G859" s="38"/>
      <c r="H859" s="38"/>
      <c r="I859" s="38"/>
      <c r="J859" s="38"/>
      <c r="K859" s="38"/>
      <c r="L859" s="38"/>
      <c r="M859" s="38"/>
      <c r="N859" s="38"/>
      <c r="O859" s="38"/>
      <c r="P859" s="38"/>
      <c r="Q859" s="38"/>
      <c r="R859" s="38"/>
      <c r="S859" s="38"/>
      <c r="T859" s="38"/>
      <c r="U859" s="38"/>
      <c r="V859" s="38"/>
      <c r="W859" s="38"/>
      <c r="X859" s="38"/>
      <c r="Y859" s="38"/>
    </row>
    <row r="860">
      <c r="A860" s="38"/>
      <c r="B860" s="143"/>
      <c r="C860" s="38"/>
      <c r="D860" s="38"/>
      <c r="E860" s="38"/>
      <c r="F860" s="38"/>
      <c r="G860" s="38"/>
      <c r="H860" s="38"/>
      <c r="I860" s="38"/>
      <c r="J860" s="38"/>
      <c r="K860" s="38"/>
      <c r="L860" s="38"/>
      <c r="M860" s="38"/>
      <c r="N860" s="38"/>
      <c r="O860" s="38"/>
      <c r="P860" s="38"/>
      <c r="Q860" s="38"/>
      <c r="R860" s="38"/>
      <c r="S860" s="38"/>
      <c r="T860" s="38"/>
      <c r="U860" s="38"/>
      <c r="V860" s="38"/>
      <c r="W860" s="38"/>
      <c r="X860" s="38"/>
      <c r="Y860" s="38"/>
    </row>
    <row r="861">
      <c r="A861" s="38"/>
      <c r="B861" s="143"/>
      <c r="C861" s="38"/>
      <c r="D861" s="38"/>
      <c r="E861" s="38"/>
      <c r="F861" s="38"/>
      <c r="G861" s="38"/>
      <c r="H861" s="38"/>
      <c r="I861" s="38"/>
      <c r="J861" s="38"/>
      <c r="K861" s="38"/>
      <c r="L861" s="38"/>
      <c r="M861" s="38"/>
      <c r="N861" s="38"/>
      <c r="O861" s="38"/>
      <c r="P861" s="38"/>
      <c r="Q861" s="38"/>
      <c r="R861" s="38"/>
      <c r="S861" s="38"/>
      <c r="T861" s="38"/>
      <c r="U861" s="38"/>
      <c r="V861" s="38"/>
      <c r="W861" s="38"/>
      <c r="X861" s="38"/>
      <c r="Y861" s="38"/>
    </row>
    <row r="862">
      <c r="A862" s="38"/>
      <c r="B862" s="143"/>
      <c r="C862" s="38"/>
      <c r="D862" s="38"/>
      <c r="E862" s="38"/>
      <c r="F862" s="38"/>
      <c r="G862" s="38"/>
      <c r="H862" s="38"/>
      <c r="I862" s="38"/>
      <c r="J862" s="38"/>
      <c r="K862" s="38"/>
      <c r="L862" s="38"/>
      <c r="M862" s="38"/>
      <c r="N862" s="38"/>
      <c r="O862" s="38"/>
      <c r="P862" s="38"/>
      <c r="Q862" s="38"/>
      <c r="R862" s="38"/>
      <c r="S862" s="38"/>
      <c r="T862" s="38"/>
      <c r="U862" s="38"/>
      <c r="V862" s="38"/>
      <c r="W862" s="38"/>
      <c r="X862" s="38"/>
      <c r="Y862" s="38"/>
    </row>
    <row r="863">
      <c r="A863" s="38"/>
      <c r="B863" s="143"/>
      <c r="C863" s="38"/>
      <c r="D863" s="38"/>
      <c r="E863" s="38"/>
      <c r="F863" s="38"/>
      <c r="G863" s="38"/>
      <c r="H863" s="38"/>
      <c r="I863" s="38"/>
      <c r="J863" s="38"/>
      <c r="K863" s="38"/>
      <c r="L863" s="38"/>
      <c r="M863" s="38"/>
      <c r="N863" s="38"/>
      <c r="O863" s="38"/>
      <c r="P863" s="38"/>
      <c r="Q863" s="38"/>
      <c r="R863" s="38"/>
      <c r="S863" s="38"/>
      <c r="T863" s="38"/>
      <c r="U863" s="38"/>
      <c r="V863" s="38"/>
      <c r="W863" s="38"/>
      <c r="X863" s="38"/>
      <c r="Y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row>
  </sheetData>
  <autoFilter ref="$A$1:$F$27"/>
  <printOptions/>
  <pageMargins bottom="0.0" footer="0.0" header="0.0" left="0.0" right="0.0" top="0.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1.14"/>
    <col customWidth="1" min="2" max="2" width="38.86"/>
    <col customWidth="1" min="3" max="5" width="15.71"/>
    <col customWidth="1" min="6" max="9" width="7.29"/>
  </cols>
  <sheetData>
    <row r="1">
      <c r="C1" s="148"/>
      <c r="D1" s="148"/>
      <c r="E1" s="148"/>
      <c r="F1" s="148"/>
      <c r="G1" s="148"/>
      <c r="H1" s="148"/>
      <c r="I1" s="148"/>
      <c r="J1" s="148"/>
      <c r="K1" s="148"/>
      <c r="L1" s="148"/>
      <c r="M1" s="148"/>
      <c r="N1" s="148"/>
      <c r="O1" s="148"/>
      <c r="P1" s="148"/>
      <c r="Q1" s="148"/>
      <c r="R1" s="148"/>
      <c r="S1" s="148"/>
      <c r="T1" s="148"/>
    </row>
    <row r="2">
      <c r="B2" s="149" t="s">
        <v>1669</v>
      </c>
      <c r="C2" s="149" t="s">
        <v>10</v>
      </c>
      <c r="D2" s="149" t="s">
        <v>11</v>
      </c>
      <c r="E2" s="149" t="s">
        <v>1670</v>
      </c>
      <c r="F2" s="148"/>
      <c r="G2" s="148"/>
      <c r="H2" s="148"/>
      <c r="I2" s="148"/>
      <c r="J2" s="148"/>
      <c r="K2" s="148"/>
      <c r="L2" s="148"/>
      <c r="M2" s="148"/>
      <c r="N2" s="148"/>
      <c r="O2" s="148"/>
      <c r="P2" s="148"/>
      <c r="Q2" s="148"/>
      <c r="R2" s="148"/>
      <c r="S2" s="148"/>
      <c r="T2" s="148"/>
    </row>
    <row r="3">
      <c r="B3" s="150" t="s">
        <v>1671</v>
      </c>
      <c r="C3" s="151">
        <v>83.0</v>
      </c>
      <c r="D3" s="151">
        <v>2.0</v>
      </c>
      <c r="E3" s="152" t="s">
        <v>10</v>
      </c>
      <c r="F3" s="148"/>
      <c r="G3" s="148"/>
      <c r="H3" s="148"/>
      <c r="I3" s="148"/>
      <c r="J3" s="148"/>
      <c r="K3" s="148"/>
      <c r="L3" s="148"/>
      <c r="M3" s="148"/>
      <c r="N3" s="148"/>
      <c r="O3" s="148"/>
      <c r="P3" s="148"/>
      <c r="Q3" s="148"/>
      <c r="R3" s="148"/>
      <c r="S3" s="148"/>
      <c r="T3" s="148"/>
    </row>
    <row r="4">
      <c r="B4" s="150" t="s">
        <v>1672</v>
      </c>
      <c r="C4" s="151">
        <v>68.0</v>
      </c>
      <c r="D4" s="151">
        <v>4.0</v>
      </c>
      <c r="E4" s="152" t="s">
        <v>10</v>
      </c>
      <c r="F4" s="148"/>
      <c r="G4" s="148"/>
      <c r="H4" s="148"/>
      <c r="I4" s="148"/>
      <c r="J4" s="148"/>
      <c r="K4" s="148"/>
      <c r="L4" s="148"/>
      <c r="M4" s="148"/>
      <c r="N4" s="148"/>
      <c r="O4" s="148"/>
      <c r="P4" s="148"/>
      <c r="Q4" s="148"/>
      <c r="R4" s="148"/>
      <c r="S4" s="148"/>
      <c r="T4" s="148"/>
    </row>
    <row r="5">
      <c r="B5" s="150" t="s">
        <v>1673</v>
      </c>
      <c r="C5" s="151">
        <v>81.0</v>
      </c>
      <c r="D5" s="151">
        <v>1.0</v>
      </c>
      <c r="E5" s="152" t="s">
        <v>10</v>
      </c>
      <c r="F5" s="148"/>
      <c r="G5" s="148"/>
      <c r="H5" s="148"/>
      <c r="I5" s="148"/>
      <c r="J5" s="148"/>
      <c r="K5" s="148"/>
      <c r="L5" s="148"/>
      <c r="M5" s="148"/>
      <c r="N5" s="148"/>
      <c r="O5" s="148"/>
      <c r="P5" s="148"/>
      <c r="Q5" s="148"/>
      <c r="R5" s="148"/>
      <c r="S5" s="148"/>
      <c r="T5" s="148"/>
    </row>
    <row r="6">
      <c r="B6" s="150" t="s">
        <v>1674</v>
      </c>
      <c r="C6" s="151">
        <v>71.0</v>
      </c>
      <c r="D6" s="151">
        <v>1.0</v>
      </c>
      <c r="E6" s="152" t="s">
        <v>10</v>
      </c>
      <c r="F6" s="148"/>
      <c r="G6" s="148"/>
      <c r="H6" s="148"/>
      <c r="I6" s="148"/>
      <c r="J6" s="148"/>
      <c r="K6" s="148"/>
      <c r="L6" s="148"/>
      <c r="M6" s="148"/>
      <c r="N6" s="148"/>
      <c r="O6" s="148"/>
      <c r="P6" s="148"/>
      <c r="Q6" s="148"/>
      <c r="R6" s="148"/>
      <c r="S6" s="148"/>
      <c r="T6" s="148"/>
    </row>
    <row r="7">
      <c r="B7" s="150" t="s">
        <v>1675</v>
      </c>
      <c r="C7" s="151">
        <v>23.0</v>
      </c>
      <c r="D7" s="151">
        <v>3.0</v>
      </c>
      <c r="E7" s="152" t="s">
        <v>10</v>
      </c>
      <c r="F7" s="148"/>
      <c r="G7" s="148"/>
      <c r="H7" s="148"/>
      <c r="I7" s="148"/>
      <c r="J7" s="148"/>
      <c r="K7" s="148"/>
      <c r="L7" s="148"/>
      <c r="M7" s="148"/>
      <c r="N7" s="148"/>
      <c r="O7" s="148"/>
      <c r="P7" s="148"/>
      <c r="Q7" s="148"/>
      <c r="R7" s="148"/>
      <c r="S7" s="148"/>
      <c r="T7" s="148"/>
    </row>
    <row r="8">
      <c r="B8" s="150" t="s">
        <v>1676</v>
      </c>
      <c r="C8" s="151">
        <v>33.0</v>
      </c>
      <c r="D8" s="151">
        <v>10.0</v>
      </c>
      <c r="E8" s="152" t="s">
        <v>10</v>
      </c>
      <c r="F8" s="148"/>
      <c r="G8" s="148"/>
      <c r="H8" s="148"/>
      <c r="I8" s="148"/>
      <c r="J8" s="148"/>
      <c r="K8" s="148"/>
      <c r="L8" s="148"/>
      <c r="M8" s="148"/>
      <c r="N8" s="148"/>
      <c r="O8" s="148"/>
      <c r="P8" s="148"/>
      <c r="Q8" s="148"/>
      <c r="R8" s="148"/>
      <c r="S8" s="148"/>
      <c r="T8" s="148"/>
    </row>
    <row r="9">
      <c r="B9" s="150" t="s">
        <v>1677</v>
      </c>
      <c r="C9" s="151">
        <v>41.0</v>
      </c>
      <c r="D9" s="151">
        <v>7.0</v>
      </c>
      <c r="E9" s="152" t="s">
        <v>10</v>
      </c>
      <c r="F9" s="148"/>
      <c r="G9" s="148"/>
      <c r="H9" s="148"/>
      <c r="I9" s="148"/>
      <c r="J9" s="148"/>
      <c r="K9" s="148"/>
      <c r="L9" s="148"/>
      <c r="M9" s="148"/>
      <c r="N9" s="148"/>
      <c r="O9" s="148"/>
      <c r="P9" s="148"/>
      <c r="Q9" s="148"/>
      <c r="R9" s="148"/>
      <c r="S9" s="148"/>
      <c r="T9" s="148"/>
    </row>
    <row r="10">
      <c r="B10" s="150" t="s">
        <v>1678</v>
      </c>
      <c r="C10" s="151">
        <v>57.0</v>
      </c>
      <c r="D10" s="151">
        <v>7.0</v>
      </c>
      <c r="E10" s="152" t="s">
        <v>10</v>
      </c>
      <c r="F10" s="148"/>
      <c r="G10" s="148"/>
      <c r="H10" s="148"/>
      <c r="I10" s="148"/>
      <c r="J10" s="148"/>
      <c r="K10" s="148"/>
      <c r="L10" s="148"/>
      <c r="M10" s="148"/>
      <c r="N10" s="148"/>
      <c r="O10" s="148"/>
      <c r="P10" s="148"/>
      <c r="Q10" s="148"/>
      <c r="R10" s="148"/>
      <c r="S10" s="148"/>
      <c r="T10" s="148"/>
    </row>
    <row r="11">
      <c r="B11" s="153" t="s">
        <v>1679</v>
      </c>
      <c r="C11" s="151">
        <v>5.0</v>
      </c>
      <c r="D11" s="151">
        <v>0.0</v>
      </c>
      <c r="E11" s="152" t="s">
        <v>10</v>
      </c>
      <c r="F11" s="148"/>
      <c r="G11" s="148"/>
      <c r="H11" s="148"/>
      <c r="I11" s="148"/>
      <c r="J11" s="148"/>
      <c r="K11" s="148"/>
      <c r="L11" s="148"/>
      <c r="M11" s="148"/>
      <c r="N11" s="148"/>
      <c r="O11" s="148"/>
      <c r="P11" s="148"/>
      <c r="Q11" s="148"/>
      <c r="R11" s="148"/>
      <c r="S11" s="148"/>
      <c r="T11" s="148"/>
    </row>
    <row r="12">
      <c r="A12" s="154"/>
      <c r="B12" s="153" t="s">
        <v>1680</v>
      </c>
      <c r="C12" s="151">
        <v>12.0</v>
      </c>
      <c r="D12" s="151">
        <v>0.0</v>
      </c>
      <c r="E12" s="152" t="s">
        <v>10</v>
      </c>
      <c r="F12" s="148"/>
      <c r="G12" s="148"/>
      <c r="H12" s="148"/>
      <c r="I12" s="148"/>
      <c r="J12" s="148"/>
      <c r="K12" s="148"/>
      <c r="L12" s="148"/>
      <c r="M12" s="148"/>
      <c r="N12" s="148"/>
      <c r="O12" s="148"/>
      <c r="P12" s="148"/>
      <c r="Q12" s="148"/>
      <c r="R12" s="148"/>
      <c r="S12" s="148"/>
      <c r="T12" s="148"/>
    </row>
    <row r="13">
      <c r="A13" s="154"/>
      <c r="B13" s="155" t="s">
        <v>1681</v>
      </c>
      <c r="C13" s="156">
        <v>36.0</v>
      </c>
      <c r="D13" s="156">
        <v>1.0</v>
      </c>
      <c r="E13" s="152" t="s">
        <v>10</v>
      </c>
      <c r="F13" s="148"/>
      <c r="G13" s="148"/>
      <c r="H13" s="148"/>
      <c r="I13" s="148"/>
      <c r="J13" s="148"/>
      <c r="K13" s="148"/>
      <c r="L13" s="148"/>
      <c r="M13" s="148"/>
      <c r="N13" s="148"/>
      <c r="O13" s="148"/>
      <c r="P13" s="148"/>
      <c r="Q13" s="148"/>
      <c r="R13" s="148"/>
      <c r="S13" s="148"/>
      <c r="T13" s="148"/>
    </row>
    <row r="14" ht="32.25" customHeight="1">
      <c r="A14" s="148"/>
      <c r="B14" s="157" t="s">
        <v>1682</v>
      </c>
      <c r="C14" s="156">
        <v>12.0</v>
      </c>
      <c r="D14" s="156">
        <v>0.0</v>
      </c>
      <c r="E14" s="152" t="s">
        <v>10</v>
      </c>
      <c r="F14" s="148"/>
      <c r="G14" s="148"/>
      <c r="H14" s="148"/>
      <c r="I14" s="148"/>
      <c r="J14" s="148"/>
      <c r="K14" s="148"/>
      <c r="L14" s="148"/>
      <c r="M14" s="148"/>
      <c r="N14" s="148"/>
      <c r="O14" s="148"/>
      <c r="P14" s="148"/>
      <c r="Q14" s="148"/>
      <c r="R14" s="148"/>
      <c r="S14" s="148"/>
      <c r="T14" s="148"/>
    </row>
    <row r="15" ht="30.75" customHeight="1">
      <c r="A15" s="148"/>
      <c r="B15" s="157" t="s">
        <v>1683</v>
      </c>
      <c r="C15" s="156">
        <v>14.0</v>
      </c>
      <c r="D15" s="156">
        <v>0.0</v>
      </c>
      <c r="E15" s="152" t="s">
        <v>10</v>
      </c>
      <c r="F15" s="148"/>
      <c r="G15" s="148"/>
      <c r="H15" s="148"/>
      <c r="I15" s="148"/>
      <c r="J15" s="148"/>
      <c r="K15" s="148"/>
      <c r="L15" s="148"/>
      <c r="M15" s="148"/>
      <c r="N15" s="148"/>
      <c r="O15" s="148"/>
      <c r="P15" s="148"/>
      <c r="Q15" s="148"/>
      <c r="R15" s="148"/>
      <c r="S15" s="148"/>
      <c r="T15" s="148"/>
    </row>
    <row r="16" ht="15.75" customHeight="1">
      <c r="A16" s="148"/>
      <c r="B16" s="157" t="s">
        <v>1684</v>
      </c>
      <c r="C16" s="157">
        <v>31.0</v>
      </c>
      <c r="D16" s="158">
        <v>0.0</v>
      </c>
      <c r="E16" s="152" t="s">
        <v>10</v>
      </c>
      <c r="F16" s="148"/>
      <c r="G16" s="148"/>
      <c r="H16" s="148"/>
      <c r="I16" s="148"/>
      <c r="J16" s="148"/>
      <c r="K16" s="148"/>
      <c r="L16" s="148"/>
      <c r="M16" s="148"/>
      <c r="N16" s="148"/>
      <c r="O16" s="148"/>
      <c r="P16" s="148"/>
      <c r="Q16" s="148"/>
      <c r="R16" s="148"/>
      <c r="S16" s="148"/>
      <c r="T16" s="148"/>
    </row>
    <row r="17" ht="15.75" customHeight="1">
      <c r="A17" s="148"/>
      <c r="B17" s="157" t="s">
        <v>1685</v>
      </c>
      <c r="C17" s="157">
        <v>18.0</v>
      </c>
      <c r="D17" s="158">
        <v>0.0</v>
      </c>
      <c r="E17" s="152" t="s">
        <v>10</v>
      </c>
      <c r="F17" s="148"/>
      <c r="G17" s="148"/>
      <c r="H17" s="148"/>
      <c r="I17" s="148"/>
      <c r="J17" s="148"/>
      <c r="K17" s="148"/>
      <c r="L17" s="148"/>
      <c r="M17" s="148"/>
      <c r="N17" s="148"/>
      <c r="O17" s="148"/>
      <c r="P17" s="148"/>
      <c r="Q17" s="148"/>
      <c r="R17" s="148"/>
      <c r="S17" s="148"/>
      <c r="T17" s="148"/>
    </row>
    <row r="18" ht="15.75" customHeight="1">
      <c r="A18" s="148"/>
      <c r="B18" s="157" t="s">
        <v>1686</v>
      </c>
      <c r="C18" s="157">
        <v>17.0</v>
      </c>
      <c r="D18" s="158">
        <v>0.0</v>
      </c>
      <c r="E18" s="152" t="s">
        <v>10</v>
      </c>
      <c r="F18" s="148"/>
      <c r="G18" s="148"/>
      <c r="H18" s="148"/>
      <c r="I18" s="148"/>
      <c r="J18" s="148"/>
      <c r="K18" s="148"/>
      <c r="L18" s="148"/>
      <c r="M18" s="148"/>
      <c r="N18" s="148"/>
      <c r="O18" s="148"/>
      <c r="P18" s="148"/>
      <c r="Q18" s="148"/>
      <c r="R18" s="148"/>
      <c r="S18" s="148"/>
      <c r="T18" s="148"/>
    </row>
    <row r="19" ht="15.75" customHeight="1">
      <c r="A19" s="148"/>
      <c r="B19" s="157" t="s">
        <v>1687</v>
      </c>
      <c r="C19" s="157">
        <v>11.0</v>
      </c>
      <c r="D19" s="158">
        <v>1.0</v>
      </c>
      <c r="E19" s="152" t="s">
        <v>10</v>
      </c>
      <c r="F19" s="148"/>
      <c r="G19" s="148"/>
      <c r="H19" s="148"/>
      <c r="I19" s="148"/>
      <c r="J19" s="148"/>
      <c r="K19" s="148"/>
      <c r="L19" s="148"/>
      <c r="M19" s="148"/>
      <c r="N19" s="148"/>
      <c r="O19" s="148"/>
      <c r="P19" s="148"/>
      <c r="Q19" s="148"/>
      <c r="R19" s="148"/>
      <c r="S19" s="148"/>
      <c r="T19" s="148"/>
    </row>
    <row r="20" ht="15.75" customHeight="1">
      <c r="A20" s="148"/>
      <c r="B20" s="157" t="s">
        <v>1688</v>
      </c>
      <c r="C20" s="157">
        <v>19.0</v>
      </c>
      <c r="D20" s="158">
        <v>0.0</v>
      </c>
      <c r="E20" s="152" t="s">
        <v>10</v>
      </c>
      <c r="F20" s="148"/>
      <c r="G20" s="148"/>
      <c r="H20" s="148"/>
      <c r="I20" s="148"/>
      <c r="J20" s="148"/>
      <c r="K20" s="148"/>
      <c r="L20" s="148"/>
      <c r="M20" s="148"/>
      <c r="N20" s="148"/>
      <c r="O20" s="148"/>
      <c r="P20" s="148"/>
      <c r="Q20" s="148"/>
      <c r="R20" s="148"/>
      <c r="S20" s="148"/>
      <c r="T20" s="148"/>
    </row>
    <row r="21" ht="32.25" customHeight="1">
      <c r="A21" s="148"/>
      <c r="B21" s="157" t="s">
        <v>1689</v>
      </c>
      <c r="C21" s="157">
        <v>8.0</v>
      </c>
      <c r="D21" s="158">
        <v>2.0</v>
      </c>
      <c r="E21" s="152" t="s">
        <v>10</v>
      </c>
      <c r="F21" s="148"/>
      <c r="G21" s="148"/>
      <c r="H21" s="148"/>
      <c r="I21" s="148"/>
      <c r="J21" s="148"/>
      <c r="K21" s="148"/>
      <c r="L21" s="148"/>
      <c r="M21" s="148"/>
      <c r="N21" s="148"/>
      <c r="O21" s="148"/>
      <c r="P21" s="148"/>
      <c r="Q21" s="148"/>
      <c r="R21" s="148"/>
      <c r="S21" s="148"/>
      <c r="T21" s="148"/>
    </row>
    <row r="22" ht="15.75" customHeight="1">
      <c r="A22" s="148"/>
      <c r="B22" s="157" t="s">
        <v>1690</v>
      </c>
      <c r="C22" s="159">
        <v>23.0</v>
      </c>
      <c r="D22" s="159">
        <v>2.0</v>
      </c>
      <c r="E22" s="152" t="s">
        <v>10</v>
      </c>
      <c r="F22" s="148"/>
      <c r="G22" s="148"/>
      <c r="H22" s="148"/>
      <c r="I22" s="148"/>
      <c r="J22" s="148"/>
      <c r="K22" s="148"/>
      <c r="L22" s="148"/>
      <c r="M22" s="148"/>
      <c r="N22" s="148"/>
      <c r="O22" s="148"/>
      <c r="P22" s="148"/>
      <c r="Q22" s="148"/>
      <c r="R22" s="148"/>
      <c r="S22" s="148"/>
      <c r="T22" s="148"/>
    </row>
    <row r="23" ht="15.75" customHeight="1">
      <c r="A23" s="148"/>
      <c r="B23" s="157" t="s">
        <v>1691</v>
      </c>
      <c r="C23" s="157">
        <v>8.0</v>
      </c>
      <c r="D23" s="157">
        <v>0.0</v>
      </c>
      <c r="E23" s="152" t="s">
        <v>10</v>
      </c>
      <c r="F23" s="148"/>
      <c r="G23" s="148"/>
      <c r="H23" s="148"/>
      <c r="I23" s="148"/>
      <c r="J23" s="148"/>
      <c r="K23" s="148"/>
      <c r="L23" s="148"/>
      <c r="M23" s="148"/>
      <c r="N23" s="148"/>
      <c r="O23" s="148"/>
      <c r="P23" s="148"/>
      <c r="Q23" s="148"/>
      <c r="R23" s="148"/>
      <c r="S23" s="148"/>
      <c r="T23" s="148"/>
    </row>
    <row r="24" ht="15.75" customHeight="1">
      <c r="A24" s="148"/>
      <c r="B24" s="157" t="s">
        <v>1692</v>
      </c>
      <c r="C24" s="159">
        <v>6.0</v>
      </c>
      <c r="D24" s="159">
        <v>0.0</v>
      </c>
      <c r="E24" s="152" t="s">
        <v>10</v>
      </c>
      <c r="F24" s="148"/>
      <c r="G24" s="148"/>
      <c r="H24" s="148"/>
      <c r="I24" s="148"/>
      <c r="J24" s="148"/>
      <c r="K24" s="148"/>
      <c r="L24" s="148"/>
      <c r="M24" s="148"/>
      <c r="N24" s="148"/>
      <c r="O24" s="148"/>
      <c r="P24" s="148"/>
      <c r="Q24" s="148"/>
      <c r="R24" s="148"/>
      <c r="S24" s="148"/>
      <c r="T24" s="148"/>
    </row>
    <row r="25" ht="15.75" customHeight="1">
      <c r="A25" s="148"/>
      <c r="B25" s="157" t="s">
        <v>1693</v>
      </c>
      <c r="C25" s="159">
        <v>18.0</v>
      </c>
      <c r="D25" s="159">
        <v>1.0</v>
      </c>
      <c r="E25" s="160" t="s">
        <v>10</v>
      </c>
      <c r="F25" s="148"/>
      <c r="G25" s="148"/>
      <c r="H25" s="148"/>
      <c r="I25" s="148"/>
      <c r="J25" s="148"/>
      <c r="K25" s="148"/>
      <c r="L25" s="148"/>
      <c r="M25" s="148"/>
      <c r="N25" s="148"/>
      <c r="O25" s="148"/>
      <c r="P25" s="148"/>
      <c r="Q25" s="148"/>
      <c r="R25" s="148"/>
      <c r="S25" s="148"/>
      <c r="T25" s="148"/>
    </row>
    <row r="26" ht="15.75" customHeight="1">
      <c r="A26" s="148"/>
      <c r="B26" s="157" t="s">
        <v>1694</v>
      </c>
      <c r="C26" s="159">
        <v>10.0</v>
      </c>
      <c r="D26" s="159">
        <v>2.0</v>
      </c>
      <c r="E26" s="160" t="s">
        <v>10</v>
      </c>
      <c r="F26" s="148"/>
      <c r="G26" s="148"/>
      <c r="H26" s="148"/>
      <c r="I26" s="148"/>
      <c r="J26" s="148"/>
      <c r="K26" s="148"/>
      <c r="L26" s="148"/>
      <c r="M26" s="148"/>
      <c r="N26" s="148"/>
      <c r="O26" s="148"/>
      <c r="P26" s="148"/>
      <c r="Q26" s="148"/>
      <c r="R26" s="148"/>
      <c r="S26" s="148"/>
      <c r="T26" s="148"/>
    </row>
    <row r="27" ht="15.75" customHeight="1">
      <c r="A27" s="148"/>
      <c r="B27" s="157" t="s">
        <v>1695</v>
      </c>
      <c r="C27" s="159">
        <v>7.0</v>
      </c>
      <c r="D27" s="159">
        <v>1.0</v>
      </c>
      <c r="E27" s="160" t="s">
        <v>10</v>
      </c>
      <c r="F27" s="148"/>
      <c r="G27" s="148"/>
      <c r="H27" s="148"/>
      <c r="I27" s="148"/>
      <c r="J27" s="148"/>
      <c r="K27" s="148"/>
      <c r="L27" s="148"/>
      <c r="M27" s="148"/>
      <c r="N27" s="148"/>
      <c r="O27" s="148"/>
      <c r="P27" s="148"/>
      <c r="Q27" s="148"/>
      <c r="R27" s="148"/>
      <c r="S27" s="148"/>
      <c r="T27" s="148"/>
    </row>
    <row r="28" ht="15.75" customHeight="1">
      <c r="A28" s="148"/>
      <c r="B28" s="161" t="s">
        <v>1696</v>
      </c>
      <c r="C28" s="161">
        <v>10.0</v>
      </c>
      <c r="D28" s="161">
        <v>0.0</v>
      </c>
      <c r="E28" s="160" t="s">
        <v>10</v>
      </c>
      <c r="F28" s="148"/>
      <c r="G28" s="148"/>
      <c r="H28" s="148"/>
      <c r="I28" s="148"/>
      <c r="J28" s="148"/>
      <c r="K28" s="148"/>
      <c r="L28" s="148"/>
      <c r="M28" s="148"/>
      <c r="N28" s="148"/>
      <c r="O28" s="148"/>
      <c r="P28" s="148"/>
      <c r="Q28" s="148"/>
      <c r="R28" s="148"/>
      <c r="S28" s="148"/>
      <c r="T28" s="148"/>
    </row>
    <row r="29" ht="15.75" customHeight="1">
      <c r="A29" s="148"/>
      <c r="B29" s="161" t="s">
        <v>1697</v>
      </c>
      <c r="C29" s="161">
        <v>10.0</v>
      </c>
      <c r="D29" s="161">
        <v>0.0</v>
      </c>
      <c r="E29" s="160" t="s">
        <v>10</v>
      </c>
      <c r="F29" s="148"/>
      <c r="G29" s="148"/>
      <c r="H29" s="148"/>
      <c r="I29" s="148"/>
      <c r="J29" s="148"/>
      <c r="K29" s="148"/>
      <c r="L29" s="148"/>
      <c r="M29" s="148"/>
      <c r="N29" s="148"/>
      <c r="O29" s="148"/>
      <c r="P29" s="148"/>
      <c r="Q29" s="148"/>
      <c r="R29" s="148"/>
      <c r="S29" s="148"/>
      <c r="T29" s="148"/>
    </row>
    <row r="30" ht="15.75" customHeight="1">
      <c r="A30" s="148"/>
      <c r="B30" s="161" t="s">
        <v>1698</v>
      </c>
      <c r="C30" s="161">
        <v>8.0</v>
      </c>
      <c r="D30" s="161">
        <v>1.0</v>
      </c>
      <c r="E30" s="160" t="s">
        <v>10</v>
      </c>
      <c r="F30" s="148"/>
      <c r="G30" s="148"/>
      <c r="H30" s="148"/>
      <c r="I30" s="148"/>
      <c r="J30" s="148"/>
      <c r="K30" s="148"/>
      <c r="L30" s="148"/>
      <c r="M30" s="148"/>
      <c r="N30" s="148"/>
      <c r="O30" s="148"/>
      <c r="P30" s="148"/>
      <c r="Q30" s="148"/>
      <c r="R30" s="148"/>
      <c r="S30" s="148"/>
      <c r="T30" s="148"/>
    </row>
    <row r="31" ht="15.75" customHeight="1">
      <c r="A31" s="148"/>
      <c r="B31" s="161" t="s">
        <v>1699</v>
      </c>
      <c r="C31" s="161">
        <v>18.0</v>
      </c>
      <c r="D31" s="161">
        <v>3.0</v>
      </c>
      <c r="E31" s="160" t="s">
        <v>10</v>
      </c>
      <c r="F31" s="148"/>
      <c r="G31" s="148"/>
      <c r="H31" s="148"/>
      <c r="I31" s="148"/>
      <c r="J31" s="148"/>
      <c r="K31" s="148"/>
      <c r="L31" s="148"/>
      <c r="M31" s="148"/>
      <c r="N31" s="148"/>
      <c r="O31" s="148"/>
      <c r="P31" s="148"/>
      <c r="Q31" s="148"/>
      <c r="R31" s="148"/>
      <c r="S31" s="148"/>
      <c r="T31" s="148"/>
    </row>
    <row r="32" ht="15.75" customHeight="1">
      <c r="A32" s="148"/>
      <c r="B32" s="161" t="s">
        <v>1700</v>
      </c>
      <c r="C32" s="161">
        <v>8.0</v>
      </c>
      <c r="D32" s="161">
        <v>0.0</v>
      </c>
      <c r="E32" s="160" t="s">
        <v>10</v>
      </c>
      <c r="F32" s="148"/>
      <c r="G32" s="148"/>
      <c r="H32" s="148"/>
      <c r="I32" s="148"/>
      <c r="J32" s="148"/>
      <c r="K32" s="148"/>
      <c r="L32" s="148"/>
      <c r="M32" s="148"/>
      <c r="N32" s="148"/>
      <c r="O32" s="148"/>
      <c r="P32" s="148"/>
      <c r="Q32" s="148"/>
      <c r="R32" s="148"/>
      <c r="S32" s="148"/>
      <c r="T32" s="148"/>
    </row>
    <row r="33" ht="15.75" customHeight="1">
      <c r="A33" s="148"/>
      <c r="B33" s="161" t="s">
        <v>1701</v>
      </c>
      <c r="C33" s="161">
        <v>7.0</v>
      </c>
      <c r="D33" s="161">
        <v>0.0</v>
      </c>
      <c r="E33" s="160" t="s">
        <v>10</v>
      </c>
      <c r="F33" s="148"/>
      <c r="G33" s="148"/>
      <c r="H33" s="148"/>
      <c r="I33" s="148"/>
      <c r="J33" s="148"/>
      <c r="K33" s="148"/>
      <c r="L33" s="148"/>
      <c r="M33" s="148"/>
      <c r="N33" s="148"/>
      <c r="O33" s="148"/>
      <c r="P33" s="148"/>
      <c r="Q33" s="148"/>
      <c r="R33" s="148"/>
      <c r="S33" s="148"/>
      <c r="T33" s="148"/>
    </row>
    <row r="34" ht="15.75" customHeight="1">
      <c r="A34" s="148"/>
      <c r="B34" s="161" t="s">
        <v>1702</v>
      </c>
      <c r="C34" s="161">
        <v>8.0</v>
      </c>
      <c r="D34" s="161">
        <v>2.0</v>
      </c>
      <c r="E34" s="160" t="s">
        <v>10</v>
      </c>
      <c r="F34" s="148"/>
      <c r="G34" s="148"/>
      <c r="H34" s="148"/>
      <c r="I34" s="148"/>
      <c r="J34" s="148"/>
      <c r="K34" s="148"/>
      <c r="L34" s="148"/>
      <c r="M34" s="148"/>
      <c r="N34" s="148"/>
      <c r="O34" s="148"/>
      <c r="P34" s="148"/>
      <c r="Q34" s="148"/>
      <c r="R34" s="148"/>
      <c r="S34" s="148"/>
      <c r="T34" s="148"/>
    </row>
    <row r="35" ht="15.75" customHeight="1">
      <c r="A35" s="148"/>
      <c r="B35" s="161" t="s">
        <v>1703</v>
      </c>
      <c r="C35" s="161">
        <v>10.0</v>
      </c>
      <c r="D35" s="161">
        <v>2.0</v>
      </c>
      <c r="E35" s="160" t="s">
        <v>10</v>
      </c>
      <c r="F35" s="148"/>
      <c r="G35" s="148"/>
      <c r="H35" s="148"/>
      <c r="I35" s="148"/>
      <c r="J35" s="148"/>
      <c r="K35" s="148"/>
      <c r="L35" s="148"/>
      <c r="M35" s="148"/>
      <c r="N35" s="148"/>
      <c r="O35" s="148"/>
      <c r="P35" s="148"/>
      <c r="Q35" s="148"/>
      <c r="R35" s="148"/>
      <c r="S35" s="148"/>
      <c r="T35" s="148"/>
    </row>
    <row r="36" ht="15.75" customHeight="1">
      <c r="A36" s="148"/>
      <c r="B36" s="161" t="s">
        <v>1704</v>
      </c>
      <c r="C36" s="161">
        <v>6.0</v>
      </c>
      <c r="D36" s="161">
        <v>0.0</v>
      </c>
      <c r="E36" s="160" t="s">
        <v>10</v>
      </c>
      <c r="F36" s="148"/>
      <c r="G36" s="148"/>
      <c r="H36" s="148"/>
      <c r="I36" s="148"/>
      <c r="J36" s="148"/>
      <c r="K36" s="148"/>
      <c r="L36" s="148"/>
      <c r="M36" s="148"/>
      <c r="N36" s="148"/>
      <c r="O36" s="148"/>
      <c r="P36" s="148"/>
      <c r="Q36" s="148"/>
      <c r="R36" s="148"/>
      <c r="S36" s="148"/>
      <c r="T36" s="148"/>
    </row>
    <row r="37" ht="15.75" customHeight="1">
      <c r="A37" s="148"/>
      <c r="B37" s="162"/>
      <c r="C37" s="148"/>
      <c r="D37" s="148"/>
      <c r="E37" s="148"/>
      <c r="F37" s="148"/>
      <c r="G37" s="148"/>
      <c r="H37" s="148"/>
      <c r="I37" s="148"/>
      <c r="J37" s="148"/>
      <c r="K37" s="148"/>
      <c r="L37" s="148"/>
      <c r="M37" s="148"/>
      <c r="N37" s="148"/>
      <c r="O37" s="148"/>
      <c r="P37" s="148"/>
      <c r="Q37" s="148"/>
      <c r="R37" s="148"/>
      <c r="S37" s="148"/>
      <c r="T37" s="148"/>
    </row>
    <row r="38" ht="15.75" customHeight="1">
      <c r="A38" s="148"/>
      <c r="B38" s="162"/>
      <c r="C38" s="148"/>
      <c r="D38" s="148"/>
      <c r="E38" s="148"/>
      <c r="F38" s="148"/>
      <c r="G38" s="148"/>
      <c r="H38" s="148"/>
      <c r="I38" s="148"/>
      <c r="J38" s="148"/>
      <c r="K38" s="148"/>
      <c r="L38" s="148"/>
      <c r="M38" s="148"/>
      <c r="N38" s="148"/>
      <c r="O38" s="148"/>
      <c r="P38" s="148"/>
      <c r="Q38" s="148"/>
      <c r="R38" s="148"/>
      <c r="S38" s="148"/>
      <c r="T38" s="148"/>
    </row>
    <row r="39" ht="15.75" customHeight="1">
      <c r="A39" s="148"/>
      <c r="B39" s="162"/>
      <c r="C39" s="148"/>
      <c r="D39" s="148"/>
      <c r="E39" s="148"/>
      <c r="F39" s="148"/>
      <c r="G39" s="148"/>
      <c r="H39" s="148"/>
      <c r="I39" s="148"/>
      <c r="J39" s="148"/>
      <c r="K39" s="148"/>
      <c r="L39" s="148"/>
      <c r="M39" s="148"/>
      <c r="N39" s="148"/>
      <c r="O39" s="148"/>
      <c r="P39" s="148"/>
      <c r="Q39" s="148"/>
      <c r="R39" s="148"/>
      <c r="S39" s="148"/>
      <c r="T39" s="148"/>
    </row>
    <row r="40" ht="15.75" customHeight="1">
      <c r="A40" s="148"/>
      <c r="B40" s="162"/>
      <c r="C40" s="148"/>
      <c r="D40" s="148"/>
      <c r="E40" s="148"/>
      <c r="F40" s="148"/>
      <c r="G40" s="148"/>
      <c r="H40" s="148"/>
      <c r="I40" s="148"/>
      <c r="J40" s="148"/>
      <c r="K40" s="148"/>
      <c r="L40" s="148"/>
      <c r="M40" s="148"/>
      <c r="N40" s="148"/>
      <c r="O40" s="148"/>
      <c r="P40" s="148"/>
      <c r="Q40" s="148"/>
      <c r="R40" s="148"/>
      <c r="S40" s="148"/>
      <c r="T40" s="148"/>
    </row>
    <row r="41" ht="15.75" customHeight="1">
      <c r="A41" s="148"/>
      <c r="B41" s="162"/>
      <c r="C41" s="148"/>
      <c r="D41" s="148"/>
      <c r="E41" s="148"/>
      <c r="F41" s="148"/>
      <c r="G41" s="148"/>
      <c r="H41" s="148"/>
      <c r="I41" s="148"/>
      <c r="J41" s="148"/>
      <c r="K41" s="148"/>
      <c r="L41" s="148"/>
      <c r="M41" s="148"/>
      <c r="N41" s="148"/>
      <c r="O41" s="148"/>
      <c r="P41" s="148"/>
      <c r="Q41" s="148"/>
      <c r="R41" s="148"/>
      <c r="S41" s="148"/>
      <c r="T41" s="148"/>
    </row>
    <row r="42" ht="15.75" customHeight="1">
      <c r="A42" s="148"/>
      <c r="B42" s="162"/>
      <c r="C42" s="148"/>
      <c r="D42" s="148"/>
      <c r="E42" s="148"/>
      <c r="F42" s="148"/>
      <c r="G42" s="148"/>
      <c r="H42" s="148"/>
      <c r="I42" s="148"/>
      <c r="J42" s="148"/>
      <c r="K42" s="148"/>
      <c r="L42" s="148"/>
      <c r="M42" s="148"/>
      <c r="N42" s="148"/>
      <c r="O42" s="148"/>
      <c r="P42" s="148"/>
      <c r="Q42" s="148"/>
      <c r="R42" s="148"/>
      <c r="S42" s="148"/>
      <c r="T42" s="148"/>
    </row>
    <row r="43" ht="15.75" customHeight="1">
      <c r="A43" s="148"/>
      <c r="B43" s="162"/>
      <c r="C43" s="148"/>
      <c r="D43" s="148"/>
      <c r="E43" s="148"/>
      <c r="F43" s="148"/>
      <c r="G43" s="148"/>
      <c r="H43" s="148"/>
      <c r="I43" s="148"/>
      <c r="J43" s="148"/>
      <c r="K43" s="148"/>
      <c r="L43" s="148"/>
      <c r="M43" s="148"/>
      <c r="N43" s="148"/>
      <c r="O43" s="148"/>
      <c r="P43" s="148"/>
      <c r="Q43" s="148"/>
      <c r="R43" s="148"/>
      <c r="S43" s="148"/>
      <c r="T43" s="148"/>
    </row>
    <row r="44" ht="15.75" customHeight="1">
      <c r="A44" s="148"/>
      <c r="B44" s="162"/>
      <c r="C44" s="148"/>
      <c r="D44" s="148"/>
      <c r="E44" s="148"/>
      <c r="F44" s="148"/>
      <c r="G44" s="148"/>
      <c r="H44" s="148"/>
      <c r="I44" s="148"/>
      <c r="J44" s="148"/>
      <c r="K44" s="148"/>
      <c r="L44" s="148"/>
      <c r="M44" s="148"/>
      <c r="N44" s="148"/>
      <c r="O44" s="148"/>
      <c r="P44" s="148"/>
      <c r="Q44" s="148"/>
      <c r="R44" s="148"/>
      <c r="S44" s="148"/>
      <c r="T44" s="148"/>
    </row>
    <row r="45" ht="15.75" customHeight="1">
      <c r="A45" s="148"/>
      <c r="B45" s="162"/>
      <c r="C45" s="148"/>
      <c r="D45" s="148"/>
      <c r="E45" s="148"/>
      <c r="F45" s="148"/>
      <c r="G45" s="148"/>
      <c r="H45" s="148"/>
      <c r="I45" s="148"/>
      <c r="J45" s="148"/>
      <c r="K45" s="148"/>
      <c r="L45" s="148"/>
      <c r="M45" s="148"/>
      <c r="N45" s="148"/>
      <c r="O45" s="148"/>
      <c r="P45" s="148"/>
      <c r="Q45" s="148"/>
      <c r="R45" s="148"/>
      <c r="S45" s="148"/>
      <c r="T45" s="148"/>
    </row>
    <row r="46" ht="15.75" customHeight="1">
      <c r="A46" s="148"/>
      <c r="B46" s="162"/>
      <c r="C46" s="148"/>
      <c r="D46" s="148"/>
      <c r="E46" s="148"/>
      <c r="F46" s="148"/>
      <c r="G46" s="148"/>
      <c r="H46" s="148"/>
      <c r="I46" s="148"/>
      <c r="J46" s="148"/>
      <c r="K46" s="148"/>
      <c r="L46" s="148"/>
      <c r="M46" s="148"/>
      <c r="N46" s="148"/>
      <c r="O46" s="148"/>
      <c r="P46" s="148"/>
      <c r="Q46" s="148"/>
      <c r="R46" s="148"/>
      <c r="S46" s="148"/>
      <c r="T46" s="148"/>
    </row>
    <row r="47" ht="15.75" customHeight="1">
      <c r="A47" s="148"/>
      <c r="B47" s="162"/>
      <c r="C47" s="148"/>
      <c r="D47" s="148"/>
      <c r="E47" s="148"/>
      <c r="F47" s="148"/>
      <c r="G47" s="148"/>
      <c r="H47" s="148"/>
      <c r="I47" s="148"/>
      <c r="J47" s="148"/>
      <c r="K47" s="148"/>
      <c r="L47" s="148"/>
      <c r="M47" s="148"/>
      <c r="N47" s="148"/>
      <c r="O47" s="148"/>
      <c r="P47" s="148"/>
      <c r="Q47" s="148"/>
      <c r="R47" s="148"/>
      <c r="S47" s="148"/>
      <c r="T47" s="148"/>
    </row>
    <row r="48" ht="15.75" customHeight="1">
      <c r="A48" s="148"/>
      <c r="B48" s="162"/>
      <c r="C48" s="148"/>
      <c r="D48" s="148"/>
      <c r="E48" s="148"/>
      <c r="F48" s="148"/>
      <c r="G48" s="148"/>
      <c r="H48" s="148"/>
      <c r="I48" s="148"/>
      <c r="J48" s="148"/>
      <c r="K48" s="148"/>
      <c r="L48" s="148"/>
      <c r="M48" s="148"/>
      <c r="N48" s="148"/>
      <c r="O48" s="148"/>
      <c r="P48" s="148"/>
      <c r="Q48" s="148"/>
      <c r="R48" s="148"/>
      <c r="S48" s="148"/>
      <c r="T48" s="148"/>
    </row>
    <row r="49" ht="15.75" customHeight="1">
      <c r="A49" s="148"/>
      <c r="B49" s="162"/>
      <c r="C49" s="148"/>
      <c r="D49" s="148"/>
      <c r="E49" s="148"/>
      <c r="F49" s="148"/>
      <c r="G49" s="148"/>
      <c r="H49" s="148"/>
      <c r="I49" s="148"/>
      <c r="J49" s="148"/>
      <c r="K49" s="148"/>
      <c r="L49" s="148"/>
      <c r="M49" s="148"/>
      <c r="N49" s="148"/>
      <c r="O49" s="148"/>
      <c r="P49" s="148"/>
      <c r="Q49" s="148"/>
      <c r="R49" s="148"/>
      <c r="S49" s="148"/>
      <c r="T49" s="148"/>
    </row>
    <row r="50" ht="15.75" customHeight="1">
      <c r="A50" s="148"/>
      <c r="B50" s="162"/>
      <c r="C50" s="148"/>
      <c r="D50" s="148"/>
      <c r="E50" s="148"/>
      <c r="F50" s="148"/>
      <c r="G50" s="148"/>
      <c r="H50" s="148"/>
      <c r="I50" s="148"/>
      <c r="J50" s="148"/>
      <c r="K50" s="148"/>
      <c r="L50" s="148"/>
      <c r="M50" s="148"/>
      <c r="N50" s="148"/>
      <c r="O50" s="148"/>
      <c r="P50" s="148"/>
      <c r="Q50" s="148"/>
      <c r="R50" s="148"/>
      <c r="S50" s="148"/>
      <c r="T50" s="148"/>
    </row>
    <row r="51" ht="15.75" customHeight="1">
      <c r="A51" s="148"/>
      <c r="B51" s="162"/>
      <c r="C51" s="148"/>
      <c r="D51" s="148"/>
      <c r="E51" s="148"/>
      <c r="F51" s="148"/>
      <c r="G51" s="148"/>
      <c r="H51" s="148"/>
      <c r="I51" s="148"/>
      <c r="J51" s="148"/>
      <c r="K51" s="148"/>
      <c r="L51" s="148"/>
      <c r="M51" s="148"/>
      <c r="N51" s="148"/>
      <c r="O51" s="148"/>
      <c r="P51" s="148"/>
      <c r="Q51" s="148"/>
      <c r="R51" s="148"/>
      <c r="S51" s="148"/>
      <c r="T51" s="148"/>
    </row>
    <row r="52" ht="15.75" customHeight="1">
      <c r="A52" s="148"/>
      <c r="B52" s="162"/>
      <c r="C52" s="148"/>
      <c r="D52" s="148"/>
      <c r="E52" s="148"/>
      <c r="F52" s="148"/>
      <c r="G52" s="148"/>
      <c r="H52" s="148"/>
      <c r="I52" s="148"/>
      <c r="J52" s="148"/>
      <c r="K52" s="148"/>
      <c r="L52" s="148"/>
      <c r="M52" s="148"/>
      <c r="N52" s="148"/>
      <c r="O52" s="148"/>
      <c r="P52" s="148"/>
      <c r="Q52" s="148"/>
      <c r="R52" s="148"/>
      <c r="S52" s="148"/>
      <c r="T52" s="148"/>
    </row>
    <row r="53" ht="15.75" customHeight="1">
      <c r="A53" s="148"/>
      <c r="B53" s="162"/>
      <c r="C53" s="148"/>
      <c r="D53" s="148"/>
      <c r="E53" s="148"/>
      <c r="F53" s="148"/>
      <c r="G53" s="148"/>
      <c r="H53" s="148"/>
      <c r="I53" s="148"/>
      <c r="J53" s="148"/>
      <c r="K53" s="148"/>
      <c r="L53" s="148"/>
      <c r="M53" s="148"/>
      <c r="N53" s="148"/>
      <c r="O53" s="148"/>
      <c r="P53" s="148"/>
      <c r="Q53" s="148"/>
      <c r="R53" s="148"/>
      <c r="S53" s="148"/>
      <c r="T53" s="148"/>
    </row>
    <row r="54" ht="15.75" customHeight="1">
      <c r="A54" s="148"/>
      <c r="B54" s="162"/>
      <c r="C54" s="148"/>
      <c r="D54" s="148"/>
      <c r="E54" s="148"/>
      <c r="F54" s="148"/>
      <c r="G54" s="148"/>
      <c r="H54" s="148"/>
      <c r="I54" s="148"/>
      <c r="J54" s="148"/>
      <c r="K54" s="148"/>
      <c r="L54" s="148"/>
      <c r="M54" s="148"/>
      <c r="N54" s="148"/>
      <c r="O54" s="148"/>
      <c r="P54" s="148"/>
      <c r="Q54" s="148"/>
      <c r="R54" s="148"/>
      <c r="S54" s="148"/>
      <c r="T54" s="148"/>
    </row>
    <row r="55" ht="15.75" customHeight="1">
      <c r="A55" s="148"/>
      <c r="B55" s="162"/>
      <c r="C55" s="148"/>
      <c r="D55" s="148"/>
      <c r="E55" s="148"/>
      <c r="F55" s="148"/>
      <c r="G55" s="148"/>
      <c r="H55" s="148"/>
      <c r="I55" s="148"/>
      <c r="J55" s="148"/>
      <c r="K55" s="148"/>
      <c r="L55" s="148"/>
      <c r="M55" s="148"/>
      <c r="N55" s="148"/>
      <c r="O55" s="148"/>
      <c r="P55" s="148"/>
      <c r="Q55" s="148"/>
      <c r="R55" s="148"/>
      <c r="S55" s="148"/>
      <c r="T55" s="148"/>
    </row>
    <row r="56" ht="15.75" customHeight="1">
      <c r="A56" s="148"/>
      <c r="B56" s="162"/>
      <c r="C56" s="148"/>
      <c r="D56" s="148"/>
      <c r="E56" s="148"/>
      <c r="F56" s="148"/>
      <c r="G56" s="148"/>
      <c r="H56" s="148"/>
      <c r="I56" s="148"/>
      <c r="J56" s="148"/>
      <c r="K56" s="148"/>
      <c r="L56" s="148"/>
      <c r="M56" s="148"/>
      <c r="N56" s="148"/>
      <c r="O56" s="148"/>
      <c r="P56" s="148"/>
      <c r="Q56" s="148"/>
      <c r="R56" s="148"/>
      <c r="S56" s="148"/>
      <c r="T56" s="148"/>
    </row>
    <row r="57" ht="15.75" customHeight="1">
      <c r="A57" s="148"/>
      <c r="B57" s="162"/>
      <c r="C57" s="148"/>
      <c r="D57" s="148"/>
      <c r="E57" s="148"/>
      <c r="F57" s="148"/>
      <c r="G57" s="148"/>
      <c r="H57" s="148"/>
      <c r="I57" s="148"/>
      <c r="J57" s="148"/>
      <c r="K57" s="148"/>
      <c r="L57" s="148"/>
      <c r="M57" s="148"/>
      <c r="N57" s="148"/>
      <c r="O57" s="148"/>
      <c r="P57" s="148"/>
      <c r="Q57" s="148"/>
      <c r="R57" s="148"/>
      <c r="S57" s="148"/>
      <c r="T57" s="148"/>
    </row>
    <row r="58" ht="15.75" customHeight="1">
      <c r="A58" s="148"/>
      <c r="B58" s="162"/>
      <c r="C58" s="148"/>
      <c r="D58" s="148"/>
      <c r="E58" s="148"/>
      <c r="F58" s="148"/>
      <c r="G58" s="148"/>
      <c r="H58" s="148"/>
      <c r="I58" s="148"/>
      <c r="J58" s="148"/>
      <c r="K58" s="148"/>
      <c r="L58" s="148"/>
      <c r="M58" s="148"/>
      <c r="N58" s="148"/>
      <c r="O58" s="148"/>
      <c r="P58" s="148"/>
      <c r="Q58" s="148"/>
      <c r="R58" s="148"/>
      <c r="S58" s="148"/>
      <c r="T58" s="148"/>
    </row>
    <row r="59" ht="15.75" customHeight="1">
      <c r="A59" s="148"/>
      <c r="B59" s="162"/>
      <c r="C59" s="148"/>
      <c r="D59" s="148"/>
      <c r="E59" s="148"/>
      <c r="F59" s="148"/>
      <c r="G59" s="148"/>
      <c r="H59" s="148"/>
      <c r="I59" s="148"/>
      <c r="J59" s="148"/>
      <c r="K59" s="148"/>
      <c r="L59" s="148"/>
      <c r="M59" s="148"/>
      <c r="N59" s="148"/>
      <c r="O59" s="148"/>
      <c r="P59" s="148"/>
      <c r="Q59" s="148"/>
      <c r="R59" s="148"/>
      <c r="S59" s="148"/>
      <c r="T59" s="148"/>
    </row>
    <row r="60" ht="15.75" customHeight="1">
      <c r="A60" s="148"/>
      <c r="B60" s="162"/>
      <c r="C60" s="148"/>
      <c r="D60" s="148"/>
      <c r="E60" s="148"/>
      <c r="F60" s="148"/>
      <c r="G60" s="148"/>
      <c r="H60" s="148"/>
      <c r="I60" s="148"/>
      <c r="J60" s="148"/>
      <c r="K60" s="148"/>
      <c r="L60" s="148"/>
      <c r="M60" s="148"/>
      <c r="N60" s="148"/>
      <c r="O60" s="148"/>
      <c r="P60" s="148"/>
      <c r="Q60" s="148"/>
      <c r="R60" s="148"/>
      <c r="S60" s="148"/>
      <c r="T60" s="148"/>
    </row>
    <row r="61" ht="15.75" customHeight="1">
      <c r="A61" s="148"/>
      <c r="B61" s="162"/>
      <c r="C61" s="148"/>
      <c r="D61" s="148"/>
      <c r="E61" s="148"/>
      <c r="F61" s="148"/>
      <c r="G61" s="148"/>
      <c r="H61" s="148"/>
      <c r="I61" s="148"/>
      <c r="J61" s="148"/>
      <c r="K61" s="148"/>
      <c r="L61" s="148"/>
      <c r="M61" s="148"/>
      <c r="N61" s="148"/>
      <c r="O61" s="148"/>
      <c r="P61" s="148"/>
      <c r="Q61" s="148"/>
      <c r="R61" s="148"/>
      <c r="S61" s="148"/>
      <c r="T61" s="148"/>
    </row>
    <row r="62" ht="15.75" customHeight="1">
      <c r="A62" s="148"/>
      <c r="B62" s="162"/>
      <c r="C62" s="148"/>
      <c r="D62" s="148"/>
      <c r="E62" s="148"/>
      <c r="F62" s="148"/>
      <c r="G62" s="148"/>
      <c r="H62" s="148"/>
      <c r="I62" s="148"/>
      <c r="J62" s="148"/>
      <c r="K62" s="148"/>
      <c r="L62" s="148"/>
      <c r="M62" s="148"/>
      <c r="N62" s="148"/>
      <c r="O62" s="148"/>
      <c r="P62" s="148"/>
      <c r="Q62" s="148"/>
      <c r="R62" s="148"/>
      <c r="S62" s="148"/>
      <c r="T62" s="148"/>
    </row>
    <row r="63" ht="15.75" customHeight="1">
      <c r="A63" s="148"/>
      <c r="B63" s="162"/>
      <c r="C63" s="148"/>
      <c r="D63" s="148"/>
      <c r="E63" s="148"/>
      <c r="F63" s="148"/>
      <c r="G63" s="148"/>
      <c r="H63" s="148"/>
      <c r="I63" s="148"/>
      <c r="J63" s="148"/>
      <c r="K63" s="148"/>
      <c r="L63" s="148"/>
      <c r="M63" s="148"/>
      <c r="N63" s="148"/>
      <c r="O63" s="148"/>
      <c r="P63" s="148"/>
      <c r="Q63" s="148"/>
      <c r="R63" s="148"/>
      <c r="S63" s="148"/>
      <c r="T63" s="148"/>
    </row>
    <row r="64" ht="15.75" customHeight="1">
      <c r="A64" s="148"/>
      <c r="B64" s="162"/>
      <c r="C64" s="148"/>
      <c r="D64" s="148"/>
      <c r="E64" s="148"/>
      <c r="F64" s="148"/>
      <c r="G64" s="148"/>
      <c r="H64" s="148"/>
      <c r="I64" s="148"/>
      <c r="J64" s="148"/>
      <c r="K64" s="148"/>
      <c r="L64" s="148"/>
      <c r="M64" s="148"/>
      <c r="N64" s="148"/>
      <c r="O64" s="148"/>
      <c r="P64" s="148"/>
      <c r="Q64" s="148"/>
      <c r="R64" s="148"/>
      <c r="S64" s="148"/>
      <c r="T64" s="148"/>
    </row>
    <row r="65" ht="15.75" customHeight="1">
      <c r="A65" s="148"/>
      <c r="B65" s="162"/>
      <c r="C65" s="148"/>
      <c r="D65" s="148"/>
      <c r="E65" s="148"/>
      <c r="F65" s="148"/>
      <c r="G65" s="148"/>
      <c r="H65" s="148"/>
      <c r="I65" s="148"/>
      <c r="J65" s="148"/>
      <c r="K65" s="148"/>
      <c r="L65" s="148"/>
      <c r="M65" s="148"/>
      <c r="N65" s="148"/>
      <c r="O65" s="148"/>
      <c r="P65" s="148"/>
      <c r="Q65" s="148"/>
      <c r="R65" s="148"/>
      <c r="S65" s="148"/>
      <c r="T65" s="148"/>
    </row>
    <row r="66" ht="15.75" customHeight="1">
      <c r="A66" s="148"/>
      <c r="B66" s="162"/>
      <c r="C66" s="148"/>
      <c r="D66" s="148"/>
      <c r="E66" s="148"/>
      <c r="F66" s="148"/>
      <c r="G66" s="148"/>
      <c r="H66" s="148"/>
      <c r="I66" s="148"/>
      <c r="J66" s="148"/>
      <c r="K66" s="148"/>
      <c r="L66" s="148"/>
      <c r="M66" s="148"/>
      <c r="N66" s="148"/>
      <c r="O66" s="148"/>
      <c r="P66" s="148"/>
      <c r="Q66" s="148"/>
      <c r="R66" s="148"/>
      <c r="S66" s="148"/>
      <c r="T66" s="148"/>
    </row>
    <row r="67" ht="15.75" customHeight="1">
      <c r="A67" s="148"/>
      <c r="B67" s="162"/>
      <c r="C67" s="148"/>
      <c r="D67" s="148"/>
      <c r="E67" s="148"/>
      <c r="F67" s="148"/>
      <c r="G67" s="148"/>
      <c r="H67" s="148"/>
      <c r="I67" s="148"/>
      <c r="J67" s="148"/>
      <c r="K67" s="148"/>
      <c r="L67" s="148"/>
      <c r="M67" s="148"/>
      <c r="N67" s="148"/>
      <c r="O67" s="148"/>
      <c r="P67" s="148"/>
      <c r="Q67" s="148"/>
      <c r="R67" s="148"/>
      <c r="S67" s="148"/>
      <c r="T67" s="148"/>
    </row>
    <row r="68" ht="15.75" customHeight="1">
      <c r="A68" s="148"/>
      <c r="B68" s="162"/>
      <c r="C68" s="148"/>
      <c r="D68" s="148"/>
      <c r="E68" s="148"/>
      <c r="F68" s="148"/>
      <c r="G68" s="148"/>
      <c r="H68" s="148"/>
      <c r="I68" s="148"/>
      <c r="J68" s="148"/>
      <c r="K68" s="148"/>
      <c r="L68" s="148"/>
      <c r="M68" s="148"/>
      <c r="N68" s="148"/>
      <c r="O68" s="148"/>
      <c r="P68" s="148"/>
      <c r="Q68" s="148"/>
      <c r="R68" s="148"/>
      <c r="S68" s="148"/>
      <c r="T68" s="148"/>
    </row>
    <row r="69" ht="15.75" customHeight="1">
      <c r="A69" s="148"/>
      <c r="B69" s="162"/>
      <c r="C69" s="148"/>
      <c r="D69" s="148"/>
      <c r="E69" s="148"/>
      <c r="F69" s="148"/>
      <c r="G69" s="148"/>
      <c r="H69" s="148"/>
      <c r="I69" s="148"/>
      <c r="J69" s="148"/>
      <c r="K69" s="148"/>
      <c r="L69" s="148"/>
      <c r="M69" s="148"/>
      <c r="N69" s="148"/>
      <c r="O69" s="148"/>
      <c r="P69" s="148"/>
      <c r="Q69" s="148"/>
      <c r="R69" s="148"/>
      <c r="S69" s="148"/>
      <c r="T69" s="148"/>
    </row>
    <row r="70" ht="15.75" customHeight="1">
      <c r="A70" s="148"/>
      <c r="B70" s="162"/>
      <c r="C70" s="148"/>
      <c r="D70" s="148"/>
      <c r="E70" s="148"/>
      <c r="F70" s="148"/>
      <c r="G70" s="148"/>
      <c r="H70" s="148"/>
      <c r="I70" s="148"/>
      <c r="J70" s="148"/>
      <c r="K70" s="148"/>
      <c r="L70" s="148"/>
      <c r="M70" s="148"/>
      <c r="N70" s="148"/>
      <c r="O70" s="148"/>
      <c r="P70" s="148"/>
      <c r="Q70" s="148"/>
      <c r="R70" s="148"/>
      <c r="S70" s="148"/>
      <c r="T70" s="148"/>
    </row>
    <row r="71" ht="15.75" customHeight="1">
      <c r="A71" s="148"/>
      <c r="B71" s="162"/>
      <c r="C71" s="148"/>
      <c r="D71" s="148"/>
      <c r="E71" s="148"/>
      <c r="F71" s="148"/>
      <c r="G71" s="148"/>
      <c r="H71" s="148"/>
      <c r="I71" s="148"/>
      <c r="J71" s="148"/>
      <c r="K71" s="148"/>
      <c r="L71" s="148"/>
      <c r="M71" s="148"/>
      <c r="N71" s="148"/>
      <c r="O71" s="148"/>
      <c r="P71" s="148"/>
      <c r="Q71" s="148"/>
      <c r="R71" s="148"/>
      <c r="S71" s="148"/>
      <c r="T71" s="148"/>
    </row>
    <row r="72" ht="15.75" customHeight="1">
      <c r="A72" s="148"/>
      <c r="B72" s="162"/>
      <c r="C72" s="148"/>
      <c r="D72" s="148"/>
      <c r="E72" s="148"/>
      <c r="F72" s="148"/>
      <c r="G72" s="148"/>
      <c r="H72" s="148"/>
      <c r="I72" s="148"/>
      <c r="J72" s="148"/>
      <c r="K72" s="148"/>
      <c r="L72" s="148"/>
      <c r="M72" s="148"/>
      <c r="N72" s="148"/>
      <c r="O72" s="148"/>
      <c r="P72" s="148"/>
      <c r="Q72" s="148"/>
      <c r="R72" s="148"/>
      <c r="S72" s="148"/>
      <c r="T72" s="148"/>
    </row>
    <row r="73" ht="15.75" customHeight="1">
      <c r="A73" s="148"/>
      <c r="B73" s="162"/>
      <c r="C73" s="148"/>
      <c r="D73" s="148"/>
      <c r="E73" s="148"/>
      <c r="F73" s="148"/>
      <c r="G73" s="148"/>
      <c r="H73" s="148"/>
      <c r="I73" s="148"/>
      <c r="J73" s="148"/>
      <c r="K73" s="148"/>
      <c r="L73" s="148"/>
      <c r="M73" s="148"/>
      <c r="N73" s="148"/>
      <c r="O73" s="148"/>
      <c r="P73" s="148"/>
      <c r="Q73" s="148"/>
      <c r="R73" s="148"/>
      <c r="S73" s="148"/>
      <c r="T73" s="148"/>
    </row>
    <row r="74" ht="15.75" customHeight="1">
      <c r="A74" s="148"/>
      <c r="B74" s="162"/>
      <c r="C74" s="148"/>
      <c r="D74" s="148"/>
      <c r="E74" s="148"/>
      <c r="F74" s="148"/>
      <c r="G74" s="148"/>
      <c r="H74" s="148"/>
      <c r="I74" s="148"/>
      <c r="J74" s="148"/>
      <c r="K74" s="148"/>
      <c r="L74" s="148"/>
      <c r="M74" s="148"/>
      <c r="N74" s="148"/>
      <c r="O74" s="148"/>
      <c r="P74" s="148"/>
      <c r="Q74" s="148"/>
      <c r="R74" s="148"/>
      <c r="S74" s="148"/>
      <c r="T74" s="148"/>
    </row>
    <row r="75" ht="15.75" customHeight="1">
      <c r="A75" s="148"/>
      <c r="B75" s="162"/>
      <c r="C75" s="148"/>
      <c r="D75" s="148"/>
      <c r="E75" s="148"/>
      <c r="F75" s="148"/>
      <c r="G75" s="148"/>
      <c r="H75" s="148"/>
      <c r="I75" s="148"/>
      <c r="J75" s="148"/>
      <c r="K75" s="148"/>
      <c r="L75" s="148"/>
      <c r="M75" s="148"/>
      <c r="N75" s="148"/>
      <c r="O75" s="148"/>
      <c r="P75" s="148"/>
      <c r="Q75" s="148"/>
      <c r="R75" s="148"/>
      <c r="S75" s="148"/>
      <c r="T75" s="148"/>
    </row>
    <row r="76" ht="15.75" customHeight="1">
      <c r="A76" s="148"/>
      <c r="B76" s="162"/>
      <c r="C76" s="148"/>
      <c r="D76" s="148"/>
      <c r="E76" s="148"/>
      <c r="F76" s="148"/>
      <c r="G76" s="148"/>
      <c r="H76" s="148"/>
      <c r="I76" s="148"/>
      <c r="J76" s="148"/>
      <c r="K76" s="148"/>
      <c r="L76" s="148"/>
      <c r="M76" s="148"/>
      <c r="N76" s="148"/>
      <c r="O76" s="148"/>
      <c r="P76" s="148"/>
      <c r="Q76" s="148"/>
      <c r="R76" s="148"/>
      <c r="S76" s="148"/>
      <c r="T76" s="148"/>
    </row>
    <row r="77" ht="15.75" customHeight="1">
      <c r="A77" s="148"/>
      <c r="B77" s="162"/>
      <c r="C77" s="148"/>
      <c r="D77" s="148"/>
      <c r="E77" s="148"/>
      <c r="F77" s="148"/>
      <c r="G77" s="148"/>
      <c r="H77" s="148"/>
      <c r="I77" s="148"/>
      <c r="J77" s="148"/>
      <c r="K77" s="148"/>
      <c r="L77" s="148"/>
      <c r="M77" s="148"/>
      <c r="N77" s="148"/>
      <c r="O77" s="148"/>
      <c r="P77" s="148"/>
      <c r="Q77" s="148"/>
      <c r="R77" s="148"/>
      <c r="S77" s="148"/>
      <c r="T77" s="148"/>
    </row>
    <row r="78" ht="15.75" customHeight="1">
      <c r="A78" s="148"/>
      <c r="B78" s="162"/>
      <c r="C78" s="148"/>
      <c r="D78" s="148"/>
      <c r="E78" s="148"/>
      <c r="F78" s="148"/>
      <c r="G78" s="148"/>
      <c r="H78" s="148"/>
      <c r="I78" s="148"/>
      <c r="J78" s="148"/>
      <c r="K78" s="148"/>
      <c r="L78" s="148"/>
      <c r="M78" s="148"/>
      <c r="N78" s="148"/>
      <c r="O78" s="148"/>
      <c r="P78" s="148"/>
      <c r="Q78" s="148"/>
      <c r="R78" s="148"/>
      <c r="S78" s="148"/>
      <c r="T78" s="148"/>
    </row>
    <row r="79" ht="15.75" customHeight="1">
      <c r="A79" s="148"/>
      <c r="B79" s="162"/>
      <c r="C79" s="148"/>
      <c r="D79" s="148"/>
      <c r="E79" s="148"/>
      <c r="F79" s="148"/>
      <c r="G79" s="148"/>
      <c r="H79" s="148"/>
      <c r="I79" s="148"/>
      <c r="J79" s="148"/>
      <c r="K79" s="148"/>
      <c r="L79" s="148"/>
      <c r="M79" s="148"/>
      <c r="N79" s="148"/>
      <c r="O79" s="148"/>
      <c r="P79" s="148"/>
      <c r="Q79" s="148"/>
      <c r="R79" s="148"/>
      <c r="S79" s="148"/>
      <c r="T79" s="148"/>
    </row>
    <row r="80" ht="15.75" customHeight="1">
      <c r="A80" s="148"/>
      <c r="B80" s="162"/>
      <c r="C80" s="148"/>
      <c r="D80" s="148"/>
      <c r="E80" s="148"/>
      <c r="F80" s="148"/>
      <c r="G80" s="148"/>
      <c r="H80" s="148"/>
      <c r="I80" s="148"/>
      <c r="J80" s="148"/>
      <c r="K80" s="148"/>
      <c r="L80" s="148"/>
      <c r="M80" s="148"/>
      <c r="N80" s="148"/>
      <c r="O80" s="148"/>
      <c r="P80" s="148"/>
      <c r="Q80" s="148"/>
      <c r="R80" s="148"/>
      <c r="S80" s="148"/>
      <c r="T80" s="148"/>
    </row>
    <row r="81" ht="15.75" customHeight="1">
      <c r="A81" s="148"/>
      <c r="B81" s="162"/>
      <c r="C81" s="148"/>
      <c r="D81" s="148"/>
      <c r="E81" s="148"/>
      <c r="F81" s="148"/>
      <c r="G81" s="148"/>
      <c r="H81" s="148"/>
      <c r="I81" s="148"/>
      <c r="J81" s="148"/>
      <c r="K81" s="148"/>
      <c r="L81" s="148"/>
      <c r="M81" s="148"/>
      <c r="N81" s="148"/>
      <c r="O81" s="148"/>
      <c r="P81" s="148"/>
      <c r="Q81" s="148"/>
      <c r="R81" s="148"/>
      <c r="S81" s="148"/>
      <c r="T81" s="148"/>
    </row>
    <row r="82" ht="15.75" customHeight="1">
      <c r="A82" s="148"/>
      <c r="B82" s="162"/>
      <c r="C82" s="148"/>
      <c r="D82" s="148"/>
      <c r="E82" s="148"/>
      <c r="F82" s="148"/>
      <c r="G82" s="148"/>
      <c r="H82" s="148"/>
      <c r="I82" s="148"/>
      <c r="J82" s="148"/>
      <c r="K82" s="148"/>
      <c r="L82" s="148"/>
      <c r="M82" s="148"/>
      <c r="N82" s="148"/>
      <c r="O82" s="148"/>
      <c r="P82" s="148"/>
      <c r="Q82" s="148"/>
      <c r="R82" s="148"/>
      <c r="S82" s="148"/>
      <c r="T82" s="148"/>
    </row>
    <row r="83" ht="15.75" customHeight="1">
      <c r="A83" s="148"/>
      <c r="B83" s="162"/>
      <c r="C83" s="148"/>
      <c r="D83" s="148"/>
      <c r="E83" s="148"/>
      <c r="F83" s="148"/>
      <c r="G83" s="148"/>
      <c r="H83" s="148"/>
      <c r="I83" s="148"/>
      <c r="J83" s="148"/>
      <c r="K83" s="148"/>
      <c r="L83" s="148"/>
      <c r="M83" s="148"/>
      <c r="N83" s="148"/>
      <c r="O83" s="148"/>
      <c r="P83" s="148"/>
      <c r="Q83" s="148"/>
      <c r="R83" s="148"/>
      <c r="S83" s="148"/>
      <c r="T83" s="148"/>
    </row>
    <row r="84" ht="15.75" customHeight="1">
      <c r="A84" s="148"/>
      <c r="B84" s="162"/>
      <c r="C84" s="148"/>
      <c r="D84" s="148"/>
      <c r="E84" s="148"/>
      <c r="F84" s="148"/>
      <c r="G84" s="148"/>
      <c r="H84" s="148"/>
      <c r="I84" s="148"/>
      <c r="J84" s="148"/>
      <c r="K84" s="148"/>
      <c r="L84" s="148"/>
      <c r="M84" s="148"/>
      <c r="N84" s="148"/>
      <c r="O84" s="148"/>
      <c r="P84" s="148"/>
      <c r="Q84" s="148"/>
      <c r="R84" s="148"/>
      <c r="S84" s="148"/>
      <c r="T84" s="148"/>
    </row>
    <row r="85" ht="15.75" customHeight="1">
      <c r="A85" s="148"/>
      <c r="B85" s="162"/>
      <c r="C85" s="148"/>
      <c r="D85" s="148"/>
      <c r="E85" s="148"/>
      <c r="F85" s="148"/>
      <c r="G85" s="148"/>
      <c r="H85" s="148"/>
      <c r="I85" s="148"/>
      <c r="J85" s="148"/>
      <c r="K85" s="148"/>
      <c r="L85" s="148"/>
      <c r="M85" s="148"/>
      <c r="N85" s="148"/>
      <c r="O85" s="148"/>
      <c r="P85" s="148"/>
      <c r="Q85" s="148"/>
      <c r="R85" s="148"/>
      <c r="S85" s="148"/>
      <c r="T85" s="148"/>
    </row>
    <row r="86" ht="15.75" customHeight="1">
      <c r="A86" s="148"/>
      <c r="B86" s="162"/>
      <c r="C86" s="148"/>
      <c r="D86" s="148"/>
      <c r="E86" s="148"/>
      <c r="F86" s="148"/>
      <c r="G86" s="148"/>
      <c r="H86" s="148"/>
      <c r="I86" s="148"/>
      <c r="J86" s="148"/>
      <c r="K86" s="148"/>
      <c r="L86" s="148"/>
      <c r="M86" s="148"/>
      <c r="N86" s="148"/>
      <c r="O86" s="148"/>
      <c r="P86" s="148"/>
      <c r="Q86" s="148"/>
      <c r="R86" s="148"/>
      <c r="S86" s="148"/>
      <c r="T86" s="148"/>
    </row>
    <row r="87" ht="15.75" customHeight="1">
      <c r="A87" s="148"/>
      <c r="B87" s="162"/>
      <c r="C87" s="148"/>
      <c r="D87" s="148"/>
      <c r="E87" s="148"/>
      <c r="F87" s="148"/>
      <c r="G87" s="148"/>
      <c r="H87" s="148"/>
      <c r="I87" s="148"/>
      <c r="J87" s="148"/>
      <c r="K87" s="148"/>
      <c r="L87" s="148"/>
      <c r="M87" s="148"/>
      <c r="N87" s="148"/>
      <c r="O87" s="148"/>
      <c r="P87" s="148"/>
      <c r="Q87" s="148"/>
      <c r="R87" s="148"/>
      <c r="S87" s="148"/>
      <c r="T87" s="148"/>
    </row>
    <row r="88" ht="15.75" customHeight="1">
      <c r="A88" s="148"/>
      <c r="B88" s="162"/>
      <c r="C88" s="148"/>
      <c r="D88" s="148"/>
      <c r="E88" s="148"/>
      <c r="F88" s="148"/>
      <c r="G88" s="148"/>
      <c r="H88" s="148"/>
      <c r="I88" s="148"/>
      <c r="J88" s="148"/>
      <c r="K88" s="148"/>
      <c r="L88" s="148"/>
      <c r="M88" s="148"/>
      <c r="N88" s="148"/>
      <c r="O88" s="148"/>
      <c r="P88" s="148"/>
      <c r="Q88" s="148"/>
      <c r="R88" s="148"/>
      <c r="S88" s="148"/>
      <c r="T88" s="148"/>
    </row>
    <row r="89" ht="15.75" customHeight="1">
      <c r="A89" s="148"/>
      <c r="B89" s="162"/>
      <c r="C89" s="148"/>
      <c r="D89" s="148"/>
      <c r="E89" s="148"/>
      <c r="F89" s="148"/>
      <c r="G89" s="148"/>
      <c r="H89" s="148"/>
      <c r="I89" s="148"/>
      <c r="J89" s="148"/>
      <c r="K89" s="148"/>
      <c r="L89" s="148"/>
      <c r="M89" s="148"/>
      <c r="N89" s="148"/>
      <c r="O89" s="148"/>
      <c r="P89" s="148"/>
      <c r="Q89" s="148"/>
      <c r="R89" s="148"/>
      <c r="S89" s="148"/>
      <c r="T89" s="148"/>
    </row>
    <row r="90" ht="15.75" customHeight="1">
      <c r="A90" s="148"/>
      <c r="B90" s="162"/>
      <c r="C90" s="148"/>
      <c r="D90" s="148"/>
      <c r="E90" s="148"/>
      <c r="F90" s="148"/>
      <c r="G90" s="148"/>
      <c r="H90" s="148"/>
      <c r="I90" s="148"/>
      <c r="J90" s="148"/>
      <c r="K90" s="148"/>
      <c r="L90" s="148"/>
      <c r="M90" s="148"/>
      <c r="N90" s="148"/>
      <c r="O90" s="148"/>
      <c r="P90" s="148"/>
      <c r="Q90" s="148"/>
      <c r="R90" s="148"/>
      <c r="S90" s="148"/>
      <c r="T90" s="148"/>
    </row>
    <row r="91" ht="15.75" customHeight="1">
      <c r="A91" s="148"/>
      <c r="B91" s="162"/>
      <c r="C91" s="148"/>
      <c r="D91" s="148"/>
      <c r="E91" s="148"/>
      <c r="F91" s="148"/>
      <c r="G91" s="148"/>
      <c r="H91" s="148"/>
      <c r="I91" s="148"/>
      <c r="J91" s="148"/>
      <c r="K91" s="148"/>
      <c r="L91" s="148"/>
      <c r="M91" s="148"/>
      <c r="N91" s="148"/>
      <c r="O91" s="148"/>
      <c r="P91" s="148"/>
      <c r="Q91" s="148"/>
      <c r="R91" s="148"/>
      <c r="S91" s="148"/>
      <c r="T91" s="148"/>
    </row>
    <row r="92" ht="15.75" customHeight="1">
      <c r="A92" s="148"/>
      <c r="B92" s="162"/>
      <c r="C92" s="148"/>
      <c r="D92" s="148"/>
      <c r="E92" s="148"/>
      <c r="F92" s="148"/>
      <c r="G92" s="148"/>
      <c r="H92" s="148"/>
      <c r="I92" s="148"/>
      <c r="J92" s="148"/>
      <c r="K92" s="148"/>
      <c r="L92" s="148"/>
      <c r="M92" s="148"/>
      <c r="N92" s="148"/>
      <c r="O92" s="148"/>
      <c r="P92" s="148"/>
      <c r="Q92" s="148"/>
      <c r="R92" s="148"/>
      <c r="S92" s="148"/>
      <c r="T92" s="148"/>
    </row>
    <row r="93" ht="15.75" customHeight="1">
      <c r="A93" s="148"/>
      <c r="B93" s="162"/>
      <c r="C93" s="148"/>
      <c r="D93" s="148"/>
      <c r="E93" s="148"/>
      <c r="F93" s="148"/>
      <c r="G93" s="148"/>
      <c r="H93" s="148"/>
      <c r="I93" s="148"/>
      <c r="J93" s="148"/>
      <c r="K93" s="148"/>
      <c r="L93" s="148"/>
      <c r="M93" s="148"/>
      <c r="N93" s="148"/>
      <c r="O93" s="148"/>
      <c r="P93" s="148"/>
      <c r="Q93" s="148"/>
      <c r="R93" s="148"/>
      <c r="S93" s="148"/>
      <c r="T93" s="148"/>
    </row>
    <row r="94" ht="15.75" customHeight="1">
      <c r="A94" s="148"/>
      <c r="B94" s="162"/>
      <c r="C94" s="148"/>
      <c r="D94" s="148"/>
      <c r="E94" s="148"/>
      <c r="F94" s="148"/>
      <c r="G94" s="148"/>
      <c r="H94" s="148"/>
      <c r="I94" s="148"/>
      <c r="J94" s="148"/>
      <c r="K94" s="148"/>
      <c r="L94" s="148"/>
      <c r="M94" s="148"/>
      <c r="N94" s="148"/>
      <c r="O94" s="148"/>
      <c r="P94" s="148"/>
      <c r="Q94" s="148"/>
      <c r="R94" s="148"/>
      <c r="S94" s="148"/>
      <c r="T94" s="148"/>
    </row>
    <row r="95" ht="15.75" customHeight="1">
      <c r="A95" s="148"/>
      <c r="B95" s="162"/>
      <c r="C95" s="148"/>
      <c r="D95" s="148"/>
      <c r="E95" s="148"/>
      <c r="F95" s="148"/>
      <c r="G95" s="148"/>
      <c r="H95" s="148"/>
      <c r="I95" s="148"/>
      <c r="J95" s="148"/>
      <c r="K95" s="148"/>
      <c r="L95" s="148"/>
      <c r="M95" s="148"/>
      <c r="N95" s="148"/>
      <c r="O95" s="148"/>
      <c r="P95" s="148"/>
      <c r="Q95" s="148"/>
      <c r="R95" s="148"/>
      <c r="S95" s="148"/>
      <c r="T95" s="148"/>
    </row>
    <row r="96" ht="15.75" customHeight="1">
      <c r="A96" s="148"/>
      <c r="B96" s="162"/>
      <c r="C96" s="148"/>
      <c r="D96" s="148"/>
      <c r="E96" s="148"/>
      <c r="F96" s="148"/>
      <c r="G96" s="148"/>
      <c r="H96" s="148"/>
      <c r="I96" s="148"/>
      <c r="J96" s="148"/>
      <c r="K96" s="148"/>
      <c r="L96" s="148"/>
      <c r="M96" s="148"/>
      <c r="N96" s="148"/>
      <c r="O96" s="148"/>
      <c r="P96" s="148"/>
      <c r="Q96" s="148"/>
      <c r="R96" s="148"/>
      <c r="S96" s="148"/>
      <c r="T96" s="148"/>
    </row>
    <row r="97" ht="15.75" customHeight="1">
      <c r="A97" s="148"/>
      <c r="B97" s="162"/>
      <c r="C97" s="148"/>
      <c r="D97" s="148"/>
      <c r="E97" s="148"/>
      <c r="F97" s="148"/>
      <c r="G97" s="148"/>
      <c r="H97" s="148"/>
      <c r="I97" s="148"/>
      <c r="J97" s="148"/>
      <c r="K97" s="148"/>
      <c r="L97" s="148"/>
      <c r="M97" s="148"/>
      <c r="N97" s="148"/>
      <c r="O97" s="148"/>
      <c r="P97" s="148"/>
      <c r="Q97" s="148"/>
      <c r="R97" s="148"/>
      <c r="S97" s="148"/>
      <c r="T97" s="148"/>
    </row>
    <row r="98" ht="15.75" customHeight="1">
      <c r="A98" s="148"/>
      <c r="B98" s="162"/>
      <c r="C98" s="148"/>
      <c r="D98" s="148"/>
      <c r="E98" s="148"/>
      <c r="F98" s="148"/>
      <c r="G98" s="148"/>
      <c r="H98" s="148"/>
      <c r="I98" s="148"/>
      <c r="J98" s="148"/>
      <c r="K98" s="148"/>
      <c r="L98" s="148"/>
      <c r="M98" s="148"/>
      <c r="N98" s="148"/>
      <c r="O98" s="148"/>
      <c r="P98" s="148"/>
      <c r="Q98" s="148"/>
      <c r="R98" s="148"/>
      <c r="S98" s="148"/>
      <c r="T98" s="148"/>
    </row>
    <row r="99" ht="15.75" customHeight="1">
      <c r="A99" s="148"/>
      <c r="B99" s="162"/>
      <c r="C99" s="148"/>
      <c r="D99" s="148"/>
      <c r="E99" s="148"/>
      <c r="F99" s="148"/>
      <c r="G99" s="148"/>
      <c r="H99" s="148"/>
      <c r="I99" s="148"/>
      <c r="J99" s="148"/>
      <c r="K99" s="148"/>
      <c r="L99" s="148"/>
      <c r="M99" s="148"/>
      <c r="N99" s="148"/>
      <c r="O99" s="148"/>
      <c r="P99" s="148"/>
      <c r="Q99" s="148"/>
      <c r="R99" s="148"/>
      <c r="S99" s="148"/>
      <c r="T99" s="148"/>
    </row>
    <row r="100" ht="15.75" customHeight="1">
      <c r="A100" s="148"/>
      <c r="B100" s="162"/>
      <c r="C100" s="148"/>
      <c r="D100" s="148"/>
      <c r="E100" s="148"/>
      <c r="F100" s="148"/>
      <c r="G100" s="148"/>
      <c r="H100" s="148"/>
      <c r="I100" s="148"/>
      <c r="J100" s="148"/>
      <c r="K100" s="148"/>
      <c r="L100" s="148"/>
      <c r="M100" s="148"/>
      <c r="N100" s="148"/>
      <c r="O100" s="148"/>
      <c r="P100" s="148"/>
      <c r="Q100" s="148"/>
      <c r="R100" s="148"/>
      <c r="S100" s="148"/>
      <c r="T100" s="148"/>
    </row>
    <row r="101" ht="15.75" customHeight="1">
      <c r="A101" s="148"/>
      <c r="B101" s="162"/>
      <c r="C101" s="148"/>
      <c r="D101" s="148"/>
      <c r="E101" s="148"/>
      <c r="F101" s="148"/>
      <c r="G101" s="148"/>
      <c r="H101" s="148"/>
      <c r="I101" s="148"/>
      <c r="J101" s="148"/>
      <c r="K101" s="148"/>
      <c r="L101" s="148"/>
      <c r="M101" s="148"/>
      <c r="N101" s="148"/>
      <c r="O101" s="148"/>
      <c r="P101" s="148"/>
      <c r="Q101" s="148"/>
      <c r="R101" s="148"/>
      <c r="S101" s="148"/>
      <c r="T101" s="148"/>
    </row>
    <row r="102" ht="15.75" customHeight="1">
      <c r="A102" s="148"/>
      <c r="B102" s="162"/>
      <c r="C102" s="148"/>
      <c r="D102" s="148"/>
      <c r="E102" s="148"/>
      <c r="F102" s="148"/>
      <c r="G102" s="148"/>
      <c r="H102" s="148"/>
      <c r="I102" s="148"/>
      <c r="J102" s="148"/>
      <c r="K102" s="148"/>
      <c r="L102" s="148"/>
      <c r="M102" s="148"/>
      <c r="N102" s="148"/>
      <c r="O102" s="148"/>
      <c r="P102" s="148"/>
      <c r="Q102" s="148"/>
      <c r="R102" s="148"/>
      <c r="S102" s="148"/>
      <c r="T102" s="148"/>
    </row>
    <row r="103" ht="15.75" customHeight="1">
      <c r="A103" s="148"/>
      <c r="B103" s="162"/>
      <c r="C103" s="148"/>
      <c r="D103" s="148"/>
      <c r="E103" s="148"/>
      <c r="F103" s="148"/>
      <c r="G103" s="148"/>
      <c r="H103" s="148"/>
      <c r="I103" s="148"/>
      <c r="J103" s="148"/>
      <c r="K103" s="148"/>
      <c r="L103" s="148"/>
      <c r="M103" s="148"/>
      <c r="N103" s="148"/>
      <c r="O103" s="148"/>
      <c r="P103" s="148"/>
      <c r="Q103" s="148"/>
      <c r="R103" s="148"/>
      <c r="S103" s="148"/>
      <c r="T103" s="148"/>
    </row>
    <row r="104" ht="15.75" customHeight="1">
      <c r="A104" s="148"/>
      <c r="B104" s="162"/>
      <c r="C104" s="148"/>
      <c r="D104" s="148"/>
      <c r="E104" s="148"/>
      <c r="F104" s="148"/>
      <c r="G104" s="148"/>
      <c r="H104" s="148"/>
      <c r="I104" s="148"/>
      <c r="J104" s="148"/>
      <c r="K104" s="148"/>
      <c r="L104" s="148"/>
      <c r="M104" s="148"/>
      <c r="N104" s="148"/>
      <c r="O104" s="148"/>
      <c r="P104" s="148"/>
      <c r="Q104" s="148"/>
      <c r="R104" s="148"/>
      <c r="S104" s="148"/>
      <c r="T104" s="148"/>
    </row>
    <row r="105" ht="15.75" customHeight="1">
      <c r="A105" s="148"/>
      <c r="B105" s="162"/>
      <c r="C105" s="148"/>
      <c r="D105" s="148"/>
      <c r="E105" s="148"/>
      <c r="F105" s="148"/>
      <c r="G105" s="148"/>
      <c r="H105" s="148"/>
      <c r="I105" s="148"/>
      <c r="J105" s="148"/>
      <c r="K105" s="148"/>
      <c r="L105" s="148"/>
      <c r="M105" s="148"/>
      <c r="N105" s="148"/>
      <c r="O105" s="148"/>
      <c r="P105" s="148"/>
      <c r="Q105" s="148"/>
      <c r="R105" s="148"/>
      <c r="S105" s="148"/>
      <c r="T105" s="148"/>
    </row>
    <row r="106" ht="15.75" customHeight="1">
      <c r="A106" s="148"/>
      <c r="B106" s="162"/>
      <c r="C106" s="148"/>
      <c r="D106" s="148"/>
      <c r="E106" s="148"/>
      <c r="F106" s="148"/>
      <c r="G106" s="148"/>
      <c r="H106" s="148"/>
      <c r="I106" s="148"/>
      <c r="J106" s="148"/>
      <c r="K106" s="148"/>
      <c r="L106" s="148"/>
      <c r="M106" s="148"/>
      <c r="N106" s="148"/>
      <c r="O106" s="148"/>
      <c r="P106" s="148"/>
      <c r="Q106" s="148"/>
      <c r="R106" s="148"/>
      <c r="S106" s="148"/>
      <c r="T106" s="148"/>
    </row>
    <row r="107" ht="15.75" customHeight="1">
      <c r="A107" s="148"/>
      <c r="B107" s="162"/>
      <c r="C107" s="148"/>
      <c r="D107" s="148"/>
      <c r="E107" s="148"/>
      <c r="F107" s="148"/>
      <c r="G107" s="148"/>
      <c r="H107" s="148"/>
      <c r="I107" s="148"/>
      <c r="J107" s="148"/>
      <c r="K107" s="148"/>
      <c r="L107" s="148"/>
      <c r="M107" s="148"/>
      <c r="N107" s="148"/>
      <c r="O107" s="148"/>
      <c r="P107" s="148"/>
      <c r="Q107" s="148"/>
      <c r="R107" s="148"/>
      <c r="S107" s="148"/>
      <c r="T107" s="148"/>
    </row>
    <row r="108" ht="15.75" customHeight="1">
      <c r="A108" s="148"/>
      <c r="B108" s="162"/>
      <c r="C108" s="148"/>
      <c r="D108" s="148"/>
      <c r="E108" s="148"/>
      <c r="F108" s="148"/>
      <c r="G108" s="148"/>
      <c r="H108" s="148"/>
      <c r="I108" s="148"/>
      <c r="J108" s="148"/>
      <c r="K108" s="148"/>
      <c r="L108" s="148"/>
      <c r="M108" s="148"/>
      <c r="N108" s="148"/>
      <c r="O108" s="148"/>
      <c r="P108" s="148"/>
      <c r="Q108" s="148"/>
      <c r="R108" s="148"/>
      <c r="S108" s="148"/>
      <c r="T108" s="148"/>
    </row>
    <row r="109" ht="15.75" customHeight="1">
      <c r="A109" s="148"/>
      <c r="B109" s="162"/>
      <c r="C109" s="148"/>
      <c r="D109" s="148"/>
      <c r="E109" s="148"/>
      <c r="F109" s="148"/>
      <c r="G109" s="148"/>
      <c r="H109" s="148"/>
      <c r="I109" s="148"/>
      <c r="J109" s="148"/>
      <c r="K109" s="148"/>
      <c r="L109" s="148"/>
      <c r="M109" s="148"/>
      <c r="N109" s="148"/>
      <c r="O109" s="148"/>
      <c r="P109" s="148"/>
      <c r="Q109" s="148"/>
      <c r="R109" s="148"/>
      <c r="S109" s="148"/>
      <c r="T109" s="148"/>
    </row>
    <row r="110" ht="15.75" customHeight="1">
      <c r="A110" s="148"/>
      <c r="B110" s="162"/>
      <c r="C110" s="148"/>
      <c r="D110" s="148"/>
      <c r="E110" s="148"/>
      <c r="F110" s="148"/>
      <c r="G110" s="148"/>
      <c r="H110" s="148"/>
      <c r="I110" s="148"/>
      <c r="J110" s="148"/>
      <c r="K110" s="148"/>
      <c r="L110" s="148"/>
      <c r="M110" s="148"/>
      <c r="N110" s="148"/>
      <c r="O110" s="148"/>
      <c r="P110" s="148"/>
      <c r="Q110" s="148"/>
      <c r="R110" s="148"/>
      <c r="S110" s="148"/>
      <c r="T110" s="148"/>
    </row>
    <row r="111" ht="15.75" customHeight="1">
      <c r="A111" s="148"/>
      <c r="B111" s="162"/>
      <c r="C111" s="148"/>
      <c r="D111" s="148"/>
      <c r="E111" s="148"/>
      <c r="F111" s="148"/>
      <c r="G111" s="148"/>
      <c r="H111" s="148"/>
      <c r="I111" s="148"/>
      <c r="J111" s="148"/>
      <c r="K111" s="148"/>
      <c r="L111" s="148"/>
      <c r="M111" s="148"/>
      <c r="N111" s="148"/>
      <c r="O111" s="148"/>
      <c r="P111" s="148"/>
      <c r="Q111" s="148"/>
      <c r="R111" s="148"/>
      <c r="S111" s="148"/>
      <c r="T111" s="148"/>
    </row>
    <row r="112" ht="15.75" customHeight="1">
      <c r="A112" s="148"/>
      <c r="B112" s="162"/>
      <c r="C112" s="148"/>
      <c r="D112" s="148"/>
      <c r="E112" s="148"/>
      <c r="F112" s="148"/>
      <c r="G112" s="148"/>
      <c r="H112" s="148"/>
      <c r="I112" s="148"/>
      <c r="J112" s="148"/>
      <c r="K112" s="148"/>
      <c r="L112" s="148"/>
      <c r="M112" s="148"/>
      <c r="N112" s="148"/>
      <c r="O112" s="148"/>
      <c r="P112" s="148"/>
      <c r="Q112" s="148"/>
      <c r="R112" s="148"/>
      <c r="S112" s="148"/>
      <c r="T112" s="148"/>
    </row>
    <row r="113" ht="15.75" customHeight="1">
      <c r="A113" s="148"/>
      <c r="B113" s="162"/>
      <c r="C113" s="148"/>
      <c r="D113" s="148"/>
      <c r="E113" s="148"/>
      <c r="F113" s="148"/>
      <c r="G113" s="148"/>
      <c r="H113" s="148"/>
      <c r="I113" s="148"/>
      <c r="J113" s="148"/>
      <c r="K113" s="148"/>
      <c r="L113" s="148"/>
      <c r="M113" s="148"/>
      <c r="N113" s="148"/>
      <c r="O113" s="148"/>
      <c r="P113" s="148"/>
      <c r="Q113" s="148"/>
      <c r="R113" s="148"/>
      <c r="S113" s="148"/>
      <c r="T113" s="148"/>
    </row>
    <row r="114" ht="15.75" customHeight="1">
      <c r="A114" s="148"/>
      <c r="B114" s="162"/>
      <c r="C114" s="148"/>
      <c r="D114" s="148"/>
      <c r="E114" s="148"/>
      <c r="F114" s="148"/>
      <c r="G114" s="148"/>
      <c r="H114" s="148"/>
      <c r="I114" s="148"/>
      <c r="J114" s="148"/>
      <c r="K114" s="148"/>
      <c r="L114" s="148"/>
      <c r="M114" s="148"/>
      <c r="N114" s="148"/>
      <c r="O114" s="148"/>
      <c r="P114" s="148"/>
      <c r="Q114" s="148"/>
      <c r="R114" s="148"/>
      <c r="S114" s="148"/>
      <c r="T114" s="148"/>
    </row>
    <row r="115" ht="15.75" customHeight="1">
      <c r="A115" s="148"/>
      <c r="B115" s="162"/>
      <c r="C115" s="148"/>
      <c r="D115" s="148"/>
      <c r="E115" s="148"/>
      <c r="F115" s="148"/>
      <c r="G115" s="148"/>
      <c r="H115" s="148"/>
      <c r="I115" s="148"/>
      <c r="J115" s="148"/>
      <c r="K115" s="148"/>
      <c r="L115" s="148"/>
      <c r="M115" s="148"/>
      <c r="N115" s="148"/>
      <c r="O115" s="148"/>
      <c r="P115" s="148"/>
      <c r="Q115" s="148"/>
      <c r="R115" s="148"/>
      <c r="S115" s="148"/>
      <c r="T115" s="148"/>
    </row>
    <row r="116" ht="15.75" customHeight="1">
      <c r="A116" s="148"/>
      <c r="B116" s="162"/>
      <c r="C116" s="148"/>
      <c r="D116" s="148"/>
      <c r="E116" s="148"/>
      <c r="F116" s="148"/>
      <c r="G116" s="148"/>
      <c r="H116" s="148"/>
      <c r="I116" s="148"/>
      <c r="J116" s="148"/>
      <c r="K116" s="148"/>
      <c r="L116" s="148"/>
      <c r="M116" s="148"/>
      <c r="N116" s="148"/>
      <c r="O116" s="148"/>
      <c r="P116" s="148"/>
      <c r="Q116" s="148"/>
      <c r="R116" s="148"/>
      <c r="S116" s="148"/>
      <c r="T116" s="148"/>
    </row>
    <row r="117" ht="15.75" customHeight="1">
      <c r="A117" s="148"/>
      <c r="B117" s="162"/>
      <c r="C117" s="148"/>
      <c r="D117" s="148"/>
      <c r="E117" s="148"/>
      <c r="F117" s="148"/>
      <c r="G117" s="148"/>
      <c r="H117" s="148"/>
      <c r="I117" s="148"/>
      <c r="J117" s="148"/>
      <c r="K117" s="148"/>
      <c r="L117" s="148"/>
      <c r="M117" s="148"/>
      <c r="N117" s="148"/>
      <c r="O117" s="148"/>
      <c r="P117" s="148"/>
      <c r="Q117" s="148"/>
      <c r="R117" s="148"/>
      <c r="S117" s="148"/>
      <c r="T117" s="148"/>
    </row>
    <row r="118" ht="15.75" customHeight="1">
      <c r="A118" s="148"/>
      <c r="B118" s="162"/>
      <c r="C118" s="148"/>
      <c r="D118" s="148"/>
      <c r="E118" s="148"/>
      <c r="F118" s="148"/>
      <c r="G118" s="148"/>
      <c r="H118" s="148"/>
      <c r="I118" s="148"/>
      <c r="J118" s="148"/>
      <c r="K118" s="148"/>
      <c r="L118" s="148"/>
      <c r="M118" s="148"/>
      <c r="N118" s="148"/>
      <c r="O118" s="148"/>
      <c r="P118" s="148"/>
      <c r="Q118" s="148"/>
      <c r="R118" s="148"/>
      <c r="S118" s="148"/>
      <c r="T118" s="148"/>
    </row>
    <row r="119" ht="15.75" customHeight="1">
      <c r="A119" s="148"/>
      <c r="B119" s="162"/>
      <c r="C119" s="148"/>
      <c r="D119" s="148"/>
      <c r="E119" s="148"/>
      <c r="F119" s="148"/>
      <c r="G119" s="148"/>
      <c r="H119" s="148"/>
      <c r="I119" s="148"/>
      <c r="J119" s="148"/>
      <c r="K119" s="148"/>
      <c r="L119" s="148"/>
      <c r="M119" s="148"/>
      <c r="N119" s="148"/>
      <c r="O119" s="148"/>
      <c r="P119" s="148"/>
      <c r="Q119" s="148"/>
      <c r="R119" s="148"/>
      <c r="S119" s="148"/>
      <c r="T119" s="148"/>
    </row>
    <row r="120" ht="15.75" customHeight="1">
      <c r="A120" s="148"/>
      <c r="B120" s="162"/>
      <c r="C120" s="148"/>
      <c r="D120" s="148"/>
      <c r="E120" s="148"/>
      <c r="F120" s="148"/>
      <c r="G120" s="148"/>
      <c r="H120" s="148"/>
      <c r="I120" s="148"/>
      <c r="J120" s="148"/>
      <c r="K120" s="148"/>
      <c r="L120" s="148"/>
      <c r="M120" s="148"/>
      <c r="N120" s="148"/>
      <c r="O120" s="148"/>
      <c r="P120" s="148"/>
      <c r="Q120" s="148"/>
      <c r="R120" s="148"/>
      <c r="S120" s="148"/>
      <c r="T120" s="148"/>
    </row>
    <row r="121" ht="15.75" customHeight="1">
      <c r="A121" s="148"/>
      <c r="B121" s="162"/>
      <c r="C121" s="148"/>
      <c r="D121" s="148"/>
      <c r="E121" s="148"/>
      <c r="F121" s="148"/>
      <c r="G121" s="148"/>
      <c r="H121" s="148"/>
      <c r="I121" s="148"/>
      <c r="J121" s="148"/>
      <c r="K121" s="148"/>
      <c r="L121" s="148"/>
      <c r="M121" s="148"/>
      <c r="N121" s="148"/>
      <c r="O121" s="148"/>
      <c r="P121" s="148"/>
      <c r="Q121" s="148"/>
      <c r="R121" s="148"/>
      <c r="S121" s="148"/>
      <c r="T121" s="148"/>
    </row>
    <row r="122" ht="15.75" customHeight="1">
      <c r="A122" s="148"/>
      <c r="B122" s="162"/>
      <c r="C122" s="148"/>
      <c r="D122" s="148"/>
      <c r="E122" s="148"/>
      <c r="F122" s="148"/>
      <c r="G122" s="148"/>
      <c r="H122" s="148"/>
      <c r="I122" s="148"/>
      <c r="J122" s="148"/>
      <c r="K122" s="148"/>
      <c r="L122" s="148"/>
      <c r="M122" s="148"/>
      <c r="N122" s="148"/>
      <c r="O122" s="148"/>
      <c r="P122" s="148"/>
      <c r="Q122" s="148"/>
      <c r="R122" s="148"/>
      <c r="S122" s="148"/>
      <c r="T122" s="148"/>
    </row>
    <row r="123" ht="15.75" customHeight="1">
      <c r="A123" s="148"/>
      <c r="B123" s="162"/>
      <c r="C123" s="148"/>
      <c r="D123" s="148"/>
      <c r="E123" s="148"/>
      <c r="F123" s="148"/>
      <c r="G123" s="148"/>
      <c r="H123" s="148"/>
      <c r="I123" s="148"/>
      <c r="J123" s="148"/>
      <c r="K123" s="148"/>
      <c r="L123" s="148"/>
      <c r="M123" s="148"/>
      <c r="N123" s="148"/>
      <c r="O123" s="148"/>
      <c r="P123" s="148"/>
      <c r="Q123" s="148"/>
      <c r="R123" s="148"/>
      <c r="S123" s="148"/>
      <c r="T123" s="148"/>
    </row>
    <row r="124" ht="15.75" customHeight="1">
      <c r="A124" s="148"/>
      <c r="B124" s="162"/>
      <c r="C124" s="148"/>
      <c r="D124" s="148"/>
      <c r="E124" s="148"/>
      <c r="F124" s="148"/>
      <c r="G124" s="148"/>
      <c r="H124" s="148"/>
      <c r="I124" s="148"/>
      <c r="J124" s="148"/>
      <c r="K124" s="148"/>
      <c r="L124" s="148"/>
      <c r="M124" s="148"/>
      <c r="N124" s="148"/>
      <c r="O124" s="148"/>
      <c r="P124" s="148"/>
      <c r="Q124" s="148"/>
      <c r="R124" s="148"/>
      <c r="S124" s="148"/>
      <c r="T124" s="148"/>
    </row>
    <row r="125" ht="15.75" customHeight="1">
      <c r="A125" s="148"/>
      <c r="B125" s="162"/>
      <c r="C125" s="148"/>
      <c r="D125" s="148"/>
      <c r="E125" s="148"/>
      <c r="F125" s="148"/>
      <c r="G125" s="148"/>
      <c r="H125" s="148"/>
      <c r="I125" s="148"/>
      <c r="J125" s="148"/>
      <c r="K125" s="148"/>
      <c r="L125" s="148"/>
      <c r="M125" s="148"/>
      <c r="N125" s="148"/>
      <c r="O125" s="148"/>
      <c r="P125" s="148"/>
      <c r="Q125" s="148"/>
      <c r="R125" s="148"/>
      <c r="S125" s="148"/>
      <c r="T125" s="148"/>
    </row>
    <row r="126" ht="15.75" customHeight="1">
      <c r="A126" s="148"/>
      <c r="B126" s="162"/>
      <c r="C126" s="148"/>
      <c r="D126" s="148"/>
      <c r="E126" s="148"/>
      <c r="F126" s="148"/>
      <c r="G126" s="148"/>
      <c r="H126" s="148"/>
      <c r="I126" s="148"/>
      <c r="J126" s="148"/>
      <c r="K126" s="148"/>
      <c r="L126" s="148"/>
      <c r="M126" s="148"/>
      <c r="N126" s="148"/>
      <c r="O126" s="148"/>
      <c r="P126" s="148"/>
      <c r="Q126" s="148"/>
      <c r="R126" s="148"/>
      <c r="S126" s="148"/>
      <c r="T126" s="148"/>
    </row>
    <row r="127" ht="15.75" customHeight="1">
      <c r="A127" s="148"/>
      <c r="B127" s="162"/>
      <c r="C127" s="148"/>
      <c r="D127" s="148"/>
      <c r="E127" s="148"/>
      <c r="F127" s="148"/>
      <c r="G127" s="148"/>
      <c r="H127" s="148"/>
      <c r="I127" s="148"/>
      <c r="J127" s="148"/>
      <c r="K127" s="148"/>
      <c r="L127" s="148"/>
      <c r="M127" s="148"/>
      <c r="N127" s="148"/>
      <c r="O127" s="148"/>
      <c r="P127" s="148"/>
      <c r="Q127" s="148"/>
      <c r="R127" s="148"/>
      <c r="S127" s="148"/>
      <c r="T127" s="148"/>
    </row>
    <row r="128" ht="15.75" customHeight="1">
      <c r="A128" s="148"/>
      <c r="B128" s="162"/>
      <c r="C128" s="148"/>
      <c r="D128" s="148"/>
      <c r="E128" s="148"/>
      <c r="F128" s="148"/>
      <c r="G128" s="148"/>
      <c r="H128" s="148"/>
      <c r="I128" s="148"/>
      <c r="J128" s="148"/>
      <c r="K128" s="148"/>
      <c r="L128" s="148"/>
      <c r="M128" s="148"/>
      <c r="N128" s="148"/>
      <c r="O128" s="148"/>
      <c r="P128" s="148"/>
      <c r="Q128" s="148"/>
      <c r="R128" s="148"/>
      <c r="S128" s="148"/>
      <c r="T128" s="148"/>
    </row>
    <row r="129" ht="15.75" customHeight="1">
      <c r="A129" s="148"/>
      <c r="B129" s="162"/>
      <c r="C129" s="148"/>
      <c r="D129" s="148"/>
      <c r="E129" s="148"/>
      <c r="F129" s="148"/>
      <c r="G129" s="148"/>
      <c r="H129" s="148"/>
      <c r="I129" s="148"/>
      <c r="J129" s="148"/>
      <c r="K129" s="148"/>
      <c r="L129" s="148"/>
      <c r="M129" s="148"/>
      <c r="N129" s="148"/>
      <c r="O129" s="148"/>
      <c r="P129" s="148"/>
      <c r="Q129" s="148"/>
      <c r="R129" s="148"/>
      <c r="S129" s="148"/>
      <c r="T129" s="148"/>
    </row>
    <row r="130" ht="15.75" customHeight="1">
      <c r="A130" s="148"/>
      <c r="B130" s="162"/>
      <c r="C130" s="148"/>
      <c r="D130" s="148"/>
      <c r="E130" s="148"/>
      <c r="F130" s="148"/>
      <c r="G130" s="148"/>
      <c r="H130" s="148"/>
      <c r="I130" s="148"/>
      <c r="J130" s="148"/>
      <c r="K130" s="148"/>
      <c r="L130" s="148"/>
      <c r="M130" s="148"/>
      <c r="N130" s="148"/>
      <c r="O130" s="148"/>
      <c r="P130" s="148"/>
      <c r="Q130" s="148"/>
      <c r="R130" s="148"/>
      <c r="S130" s="148"/>
      <c r="T130" s="148"/>
    </row>
    <row r="131" ht="15.75" customHeight="1">
      <c r="A131" s="148"/>
      <c r="B131" s="162"/>
      <c r="C131" s="148"/>
      <c r="D131" s="148"/>
      <c r="E131" s="148"/>
      <c r="F131" s="148"/>
      <c r="G131" s="148"/>
      <c r="H131" s="148"/>
      <c r="I131" s="148"/>
      <c r="J131" s="148"/>
      <c r="K131" s="148"/>
      <c r="L131" s="148"/>
      <c r="M131" s="148"/>
      <c r="N131" s="148"/>
      <c r="O131" s="148"/>
      <c r="P131" s="148"/>
      <c r="Q131" s="148"/>
      <c r="R131" s="148"/>
      <c r="S131" s="148"/>
      <c r="T131" s="148"/>
    </row>
    <row r="132" ht="15.75" customHeight="1">
      <c r="A132" s="148"/>
      <c r="B132" s="162"/>
      <c r="C132" s="148"/>
      <c r="D132" s="148"/>
      <c r="E132" s="148"/>
      <c r="F132" s="148"/>
      <c r="G132" s="148"/>
      <c r="H132" s="148"/>
      <c r="I132" s="148"/>
      <c r="J132" s="148"/>
      <c r="K132" s="148"/>
      <c r="L132" s="148"/>
      <c r="M132" s="148"/>
      <c r="N132" s="148"/>
      <c r="O132" s="148"/>
      <c r="P132" s="148"/>
      <c r="Q132" s="148"/>
      <c r="R132" s="148"/>
      <c r="S132" s="148"/>
      <c r="T132" s="148"/>
    </row>
    <row r="133" ht="15.75" customHeight="1">
      <c r="A133" s="148"/>
      <c r="B133" s="162"/>
      <c r="C133" s="148"/>
      <c r="D133" s="148"/>
      <c r="E133" s="148"/>
      <c r="F133" s="148"/>
      <c r="G133" s="148"/>
      <c r="H133" s="148"/>
      <c r="I133" s="148"/>
      <c r="J133" s="148"/>
      <c r="K133" s="148"/>
      <c r="L133" s="148"/>
      <c r="M133" s="148"/>
      <c r="N133" s="148"/>
      <c r="O133" s="148"/>
      <c r="P133" s="148"/>
      <c r="Q133" s="148"/>
      <c r="R133" s="148"/>
      <c r="S133" s="148"/>
      <c r="T133" s="148"/>
    </row>
    <row r="134" ht="15.75" customHeight="1">
      <c r="A134" s="148"/>
      <c r="B134" s="162"/>
      <c r="C134" s="148"/>
      <c r="D134" s="148"/>
      <c r="E134" s="148"/>
      <c r="F134" s="148"/>
      <c r="G134" s="148"/>
      <c r="H134" s="148"/>
      <c r="I134" s="148"/>
      <c r="J134" s="148"/>
      <c r="K134" s="148"/>
      <c r="L134" s="148"/>
      <c r="M134" s="148"/>
      <c r="N134" s="148"/>
      <c r="O134" s="148"/>
      <c r="P134" s="148"/>
      <c r="Q134" s="148"/>
      <c r="R134" s="148"/>
      <c r="S134" s="148"/>
      <c r="T134" s="148"/>
    </row>
    <row r="135" ht="15.75" customHeight="1">
      <c r="A135" s="148"/>
      <c r="B135" s="162"/>
      <c r="C135" s="148"/>
      <c r="D135" s="148"/>
      <c r="E135" s="148"/>
      <c r="F135" s="148"/>
      <c r="G135" s="148"/>
      <c r="H135" s="148"/>
      <c r="I135" s="148"/>
      <c r="J135" s="148"/>
      <c r="K135" s="148"/>
      <c r="L135" s="148"/>
      <c r="M135" s="148"/>
      <c r="N135" s="148"/>
      <c r="O135" s="148"/>
      <c r="P135" s="148"/>
      <c r="Q135" s="148"/>
      <c r="R135" s="148"/>
      <c r="S135" s="148"/>
      <c r="T135" s="148"/>
    </row>
    <row r="136" ht="15.75" customHeight="1">
      <c r="A136" s="148"/>
      <c r="B136" s="162"/>
      <c r="C136" s="148"/>
      <c r="D136" s="148"/>
      <c r="E136" s="148"/>
      <c r="F136" s="148"/>
      <c r="G136" s="148"/>
      <c r="H136" s="148"/>
      <c r="I136" s="148"/>
      <c r="J136" s="148"/>
      <c r="K136" s="148"/>
      <c r="L136" s="148"/>
      <c r="M136" s="148"/>
      <c r="N136" s="148"/>
      <c r="O136" s="148"/>
      <c r="P136" s="148"/>
      <c r="Q136" s="148"/>
      <c r="R136" s="148"/>
      <c r="S136" s="148"/>
      <c r="T136" s="148"/>
    </row>
    <row r="137" ht="15.75" customHeight="1">
      <c r="A137" s="148"/>
      <c r="B137" s="162"/>
      <c r="C137" s="148"/>
      <c r="D137" s="148"/>
      <c r="E137" s="148"/>
      <c r="F137" s="148"/>
      <c r="G137" s="148"/>
      <c r="H137" s="148"/>
      <c r="I137" s="148"/>
      <c r="J137" s="148"/>
      <c r="K137" s="148"/>
      <c r="L137" s="148"/>
      <c r="M137" s="148"/>
      <c r="N137" s="148"/>
      <c r="O137" s="148"/>
      <c r="P137" s="148"/>
      <c r="Q137" s="148"/>
      <c r="R137" s="148"/>
      <c r="S137" s="148"/>
      <c r="T137" s="148"/>
    </row>
    <row r="138" ht="15.75" customHeight="1">
      <c r="A138" s="148"/>
      <c r="B138" s="162"/>
      <c r="C138" s="148"/>
      <c r="D138" s="148"/>
      <c r="E138" s="148"/>
      <c r="F138" s="148"/>
      <c r="G138" s="148"/>
      <c r="H138" s="148"/>
      <c r="I138" s="148"/>
      <c r="J138" s="148"/>
      <c r="K138" s="148"/>
      <c r="L138" s="148"/>
      <c r="M138" s="148"/>
      <c r="N138" s="148"/>
      <c r="O138" s="148"/>
      <c r="P138" s="148"/>
      <c r="Q138" s="148"/>
      <c r="R138" s="148"/>
      <c r="S138" s="148"/>
      <c r="T138" s="148"/>
    </row>
    <row r="139" ht="15.75" customHeight="1">
      <c r="A139" s="148"/>
      <c r="B139" s="162"/>
      <c r="C139" s="148"/>
      <c r="D139" s="148"/>
      <c r="E139" s="148"/>
      <c r="F139" s="148"/>
      <c r="G139" s="148"/>
      <c r="H139" s="148"/>
      <c r="I139" s="148"/>
      <c r="J139" s="148"/>
      <c r="K139" s="148"/>
      <c r="L139" s="148"/>
      <c r="M139" s="148"/>
      <c r="N139" s="148"/>
      <c r="O139" s="148"/>
      <c r="P139" s="148"/>
      <c r="Q139" s="148"/>
      <c r="R139" s="148"/>
      <c r="S139" s="148"/>
      <c r="T139" s="148"/>
    </row>
    <row r="140" ht="15.75" customHeight="1">
      <c r="A140" s="148"/>
      <c r="B140" s="162"/>
      <c r="C140" s="148"/>
      <c r="D140" s="148"/>
      <c r="E140" s="148"/>
      <c r="F140" s="148"/>
      <c r="G140" s="148"/>
      <c r="H140" s="148"/>
      <c r="I140" s="148"/>
      <c r="J140" s="148"/>
      <c r="K140" s="148"/>
      <c r="L140" s="148"/>
      <c r="M140" s="148"/>
      <c r="N140" s="148"/>
      <c r="O140" s="148"/>
      <c r="P140" s="148"/>
      <c r="Q140" s="148"/>
      <c r="R140" s="148"/>
      <c r="S140" s="148"/>
      <c r="T140" s="148"/>
    </row>
    <row r="141" ht="15.75" customHeight="1">
      <c r="A141" s="148"/>
      <c r="B141" s="162"/>
      <c r="C141" s="148"/>
      <c r="D141" s="148"/>
      <c r="E141" s="148"/>
      <c r="F141" s="148"/>
      <c r="G141" s="148"/>
      <c r="H141" s="148"/>
      <c r="I141" s="148"/>
      <c r="J141" s="148"/>
      <c r="K141" s="148"/>
      <c r="L141" s="148"/>
      <c r="M141" s="148"/>
      <c r="N141" s="148"/>
      <c r="O141" s="148"/>
      <c r="P141" s="148"/>
      <c r="Q141" s="148"/>
      <c r="R141" s="148"/>
      <c r="S141" s="148"/>
      <c r="T141" s="148"/>
    </row>
    <row r="142" ht="15.75" customHeight="1">
      <c r="A142" s="148"/>
      <c r="B142" s="162"/>
      <c r="C142" s="148"/>
      <c r="D142" s="148"/>
      <c r="E142" s="148"/>
      <c r="F142" s="148"/>
      <c r="G142" s="148"/>
      <c r="H142" s="148"/>
      <c r="I142" s="148"/>
      <c r="J142" s="148"/>
      <c r="K142" s="148"/>
      <c r="L142" s="148"/>
      <c r="M142" s="148"/>
      <c r="N142" s="148"/>
      <c r="O142" s="148"/>
      <c r="P142" s="148"/>
      <c r="Q142" s="148"/>
      <c r="R142" s="148"/>
      <c r="S142" s="148"/>
      <c r="T142" s="148"/>
    </row>
    <row r="143" ht="15.75" customHeight="1">
      <c r="A143" s="148"/>
      <c r="B143" s="162"/>
      <c r="C143" s="148"/>
      <c r="D143" s="148"/>
      <c r="E143" s="148"/>
      <c r="F143" s="148"/>
      <c r="G143" s="148"/>
      <c r="H143" s="148"/>
      <c r="I143" s="148"/>
      <c r="J143" s="148"/>
      <c r="K143" s="148"/>
      <c r="L143" s="148"/>
      <c r="M143" s="148"/>
      <c r="N143" s="148"/>
      <c r="O143" s="148"/>
      <c r="P143" s="148"/>
      <c r="Q143" s="148"/>
      <c r="R143" s="148"/>
      <c r="S143" s="148"/>
      <c r="T143" s="148"/>
    </row>
    <row r="144" ht="15.75" customHeight="1">
      <c r="A144" s="148"/>
      <c r="B144" s="162"/>
      <c r="C144" s="148"/>
      <c r="D144" s="148"/>
      <c r="E144" s="148"/>
      <c r="F144" s="148"/>
      <c r="G144" s="148"/>
      <c r="H144" s="148"/>
      <c r="I144" s="148"/>
      <c r="J144" s="148"/>
      <c r="K144" s="148"/>
      <c r="L144" s="148"/>
      <c r="M144" s="148"/>
      <c r="N144" s="148"/>
      <c r="O144" s="148"/>
      <c r="P144" s="148"/>
      <c r="Q144" s="148"/>
      <c r="R144" s="148"/>
      <c r="S144" s="148"/>
      <c r="T144" s="148"/>
    </row>
    <row r="145" ht="15.75" customHeight="1">
      <c r="A145" s="148"/>
      <c r="B145" s="162"/>
      <c r="C145" s="148"/>
      <c r="D145" s="148"/>
      <c r="E145" s="148"/>
      <c r="F145" s="148"/>
      <c r="G145" s="148"/>
      <c r="H145" s="148"/>
      <c r="I145" s="148"/>
      <c r="J145" s="148"/>
      <c r="K145" s="148"/>
      <c r="L145" s="148"/>
      <c r="M145" s="148"/>
      <c r="N145" s="148"/>
      <c r="O145" s="148"/>
      <c r="P145" s="148"/>
      <c r="Q145" s="148"/>
      <c r="R145" s="148"/>
      <c r="S145" s="148"/>
      <c r="T145" s="148"/>
    </row>
    <row r="146" ht="15.75" customHeight="1">
      <c r="A146" s="148"/>
      <c r="B146" s="162"/>
      <c r="C146" s="148"/>
      <c r="D146" s="148"/>
      <c r="E146" s="148"/>
      <c r="F146" s="148"/>
      <c r="G146" s="148"/>
      <c r="H146" s="148"/>
      <c r="I146" s="148"/>
      <c r="J146" s="148"/>
      <c r="K146" s="148"/>
      <c r="L146" s="148"/>
      <c r="M146" s="148"/>
      <c r="N146" s="148"/>
      <c r="O146" s="148"/>
      <c r="P146" s="148"/>
      <c r="Q146" s="148"/>
      <c r="R146" s="148"/>
      <c r="S146" s="148"/>
      <c r="T146" s="148"/>
    </row>
    <row r="147" ht="15.75" customHeight="1">
      <c r="A147" s="148"/>
      <c r="B147" s="162"/>
      <c r="C147" s="148"/>
      <c r="D147" s="148"/>
      <c r="E147" s="148"/>
      <c r="F147" s="148"/>
      <c r="G147" s="148"/>
      <c r="H147" s="148"/>
      <c r="I147" s="148"/>
      <c r="J147" s="148"/>
      <c r="K147" s="148"/>
      <c r="L147" s="148"/>
      <c r="M147" s="148"/>
      <c r="N147" s="148"/>
      <c r="O147" s="148"/>
      <c r="P147" s="148"/>
      <c r="Q147" s="148"/>
      <c r="R147" s="148"/>
      <c r="S147" s="148"/>
      <c r="T147" s="148"/>
    </row>
    <row r="148" ht="15.75" customHeight="1">
      <c r="A148" s="148"/>
      <c r="B148" s="162"/>
      <c r="C148" s="148"/>
      <c r="D148" s="148"/>
      <c r="E148" s="148"/>
      <c r="F148" s="148"/>
      <c r="G148" s="148"/>
      <c r="H148" s="148"/>
      <c r="I148" s="148"/>
      <c r="J148" s="148"/>
      <c r="K148" s="148"/>
      <c r="L148" s="148"/>
      <c r="M148" s="148"/>
      <c r="N148" s="148"/>
      <c r="O148" s="148"/>
      <c r="P148" s="148"/>
      <c r="Q148" s="148"/>
      <c r="R148" s="148"/>
      <c r="S148" s="148"/>
      <c r="T148" s="148"/>
    </row>
    <row r="149" ht="15.75" customHeight="1">
      <c r="A149" s="148"/>
      <c r="B149" s="162"/>
      <c r="C149" s="148"/>
      <c r="D149" s="148"/>
      <c r="E149" s="148"/>
      <c r="F149" s="148"/>
      <c r="G149" s="148"/>
      <c r="H149" s="148"/>
      <c r="I149" s="148"/>
      <c r="J149" s="148"/>
      <c r="K149" s="148"/>
      <c r="L149" s="148"/>
      <c r="M149" s="148"/>
      <c r="N149" s="148"/>
      <c r="O149" s="148"/>
      <c r="P149" s="148"/>
      <c r="Q149" s="148"/>
      <c r="R149" s="148"/>
      <c r="S149" s="148"/>
      <c r="T149" s="148"/>
    </row>
    <row r="150" ht="15.75" customHeight="1">
      <c r="A150" s="148"/>
      <c r="B150" s="162"/>
      <c r="C150" s="148"/>
      <c r="D150" s="148"/>
      <c r="E150" s="148"/>
      <c r="F150" s="148"/>
      <c r="G150" s="148"/>
      <c r="H150" s="148"/>
      <c r="I150" s="148"/>
      <c r="J150" s="148"/>
      <c r="K150" s="148"/>
      <c r="L150" s="148"/>
      <c r="M150" s="148"/>
      <c r="N150" s="148"/>
      <c r="O150" s="148"/>
      <c r="P150" s="148"/>
      <c r="Q150" s="148"/>
      <c r="R150" s="148"/>
      <c r="S150" s="148"/>
      <c r="T150" s="148"/>
    </row>
    <row r="151" ht="15.75" customHeight="1">
      <c r="A151" s="148"/>
      <c r="B151" s="162"/>
      <c r="C151" s="148"/>
      <c r="D151" s="148"/>
      <c r="E151" s="148"/>
      <c r="F151" s="148"/>
      <c r="G151" s="148"/>
      <c r="H151" s="148"/>
      <c r="I151" s="148"/>
      <c r="J151" s="148"/>
      <c r="K151" s="148"/>
      <c r="L151" s="148"/>
      <c r="M151" s="148"/>
      <c r="N151" s="148"/>
      <c r="O151" s="148"/>
      <c r="P151" s="148"/>
      <c r="Q151" s="148"/>
      <c r="R151" s="148"/>
      <c r="S151" s="148"/>
      <c r="T151" s="148"/>
    </row>
    <row r="152" ht="15.75" customHeight="1">
      <c r="A152" s="148"/>
      <c r="B152" s="162"/>
      <c r="C152" s="148"/>
      <c r="D152" s="148"/>
      <c r="E152" s="148"/>
      <c r="F152" s="148"/>
      <c r="G152" s="148"/>
      <c r="H152" s="148"/>
      <c r="I152" s="148"/>
      <c r="J152" s="148"/>
      <c r="K152" s="148"/>
      <c r="L152" s="148"/>
      <c r="M152" s="148"/>
      <c r="N152" s="148"/>
      <c r="O152" s="148"/>
      <c r="P152" s="148"/>
      <c r="Q152" s="148"/>
      <c r="R152" s="148"/>
      <c r="S152" s="148"/>
      <c r="T152" s="148"/>
    </row>
    <row r="153" ht="15.75" customHeight="1">
      <c r="A153" s="148"/>
      <c r="B153" s="162"/>
      <c r="C153" s="148"/>
      <c r="D153" s="148"/>
      <c r="E153" s="148"/>
      <c r="F153" s="148"/>
      <c r="G153" s="148"/>
      <c r="H153" s="148"/>
      <c r="I153" s="148"/>
      <c r="J153" s="148"/>
      <c r="K153" s="148"/>
      <c r="L153" s="148"/>
      <c r="M153" s="148"/>
      <c r="N153" s="148"/>
      <c r="O153" s="148"/>
      <c r="P153" s="148"/>
      <c r="Q153" s="148"/>
      <c r="R153" s="148"/>
      <c r="S153" s="148"/>
      <c r="T153" s="148"/>
    </row>
    <row r="154" ht="15.75" customHeight="1">
      <c r="A154" s="148"/>
      <c r="B154" s="162"/>
      <c r="C154" s="148"/>
      <c r="D154" s="148"/>
      <c r="E154" s="148"/>
      <c r="F154" s="148"/>
      <c r="G154" s="148"/>
      <c r="H154" s="148"/>
      <c r="I154" s="148"/>
      <c r="J154" s="148"/>
      <c r="K154" s="148"/>
      <c r="L154" s="148"/>
      <c r="M154" s="148"/>
      <c r="N154" s="148"/>
      <c r="O154" s="148"/>
      <c r="P154" s="148"/>
      <c r="Q154" s="148"/>
      <c r="R154" s="148"/>
      <c r="S154" s="148"/>
      <c r="T154" s="148"/>
    </row>
    <row r="155" ht="15.75" customHeight="1">
      <c r="A155" s="148"/>
      <c r="B155" s="162"/>
      <c r="C155" s="148"/>
      <c r="D155" s="148"/>
      <c r="E155" s="148"/>
      <c r="F155" s="148"/>
      <c r="G155" s="148"/>
      <c r="H155" s="148"/>
      <c r="I155" s="148"/>
      <c r="J155" s="148"/>
      <c r="K155" s="148"/>
      <c r="L155" s="148"/>
      <c r="M155" s="148"/>
      <c r="N155" s="148"/>
      <c r="O155" s="148"/>
      <c r="P155" s="148"/>
      <c r="Q155" s="148"/>
      <c r="R155" s="148"/>
      <c r="S155" s="148"/>
      <c r="T155" s="148"/>
    </row>
    <row r="156" ht="15.75" customHeight="1">
      <c r="A156" s="148"/>
      <c r="B156" s="162"/>
      <c r="C156" s="148"/>
      <c r="D156" s="148"/>
      <c r="E156" s="148"/>
      <c r="F156" s="148"/>
      <c r="G156" s="148"/>
      <c r="H156" s="148"/>
      <c r="I156" s="148"/>
      <c r="J156" s="148"/>
      <c r="K156" s="148"/>
      <c r="L156" s="148"/>
      <c r="M156" s="148"/>
      <c r="N156" s="148"/>
      <c r="O156" s="148"/>
      <c r="P156" s="148"/>
      <c r="Q156" s="148"/>
      <c r="R156" s="148"/>
      <c r="S156" s="148"/>
      <c r="T156" s="148"/>
    </row>
    <row r="157" ht="15.75" customHeight="1">
      <c r="A157" s="148"/>
      <c r="B157" s="162"/>
      <c r="C157" s="148"/>
      <c r="D157" s="148"/>
      <c r="E157" s="148"/>
      <c r="F157" s="148"/>
      <c r="G157" s="148"/>
      <c r="H157" s="148"/>
      <c r="I157" s="148"/>
      <c r="J157" s="148"/>
      <c r="K157" s="148"/>
      <c r="L157" s="148"/>
      <c r="M157" s="148"/>
      <c r="N157" s="148"/>
      <c r="O157" s="148"/>
      <c r="P157" s="148"/>
      <c r="Q157" s="148"/>
      <c r="R157" s="148"/>
      <c r="S157" s="148"/>
      <c r="T157" s="148"/>
    </row>
    <row r="158" ht="15.75" customHeight="1">
      <c r="A158" s="148"/>
      <c r="B158" s="162"/>
      <c r="C158" s="148"/>
      <c r="D158" s="148"/>
      <c r="E158" s="148"/>
      <c r="F158" s="148"/>
      <c r="G158" s="148"/>
      <c r="H158" s="148"/>
      <c r="I158" s="148"/>
      <c r="J158" s="148"/>
      <c r="K158" s="148"/>
      <c r="L158" s="148"/>
      <c r="M158" s="148"/>
      <c r="N158" s="148"/>
      <c r="O158" s="148"/>
      <c r="P158" s="148"/>
      <c r="Q158" s="148"/>
      <c r="R158" s="148"/>
      <c r="S158" s="148"/>
      <c r="T158" s="148"/>
    </row>
    <row r="159" ht="15.75" customHeight="1">
      <c r="A159" s="148"/>
      <c r="B159" s="162"/>
      <c r="C159" s="148"/>
      <c r="D159" s="148"/>
      <c r="E159" s="148"/>
      <c r="F159" s="148"/>
      <c r="G159" s="148"/>
      <c r="H159" s="148"/>
      <c r="I159" s="148"/>
      <c r="J159" s="148"/>
      <c r="K159" s="148"/>
      <c r="L159" s="148"/>
      <c r="M159" s="148"/>
      <c r="N159" s="148"/>
      <c r="O159" s="148"/>
      <c r="P159" s="148"/>
      <c r="Q159" s="148"/>
      <c r="R159" s="148"/>
      <c r="S159" s="148"/>
      <c r="T159" s="148"/>
    </row>
    <row r="160" ht="15.75" customHeight="1">
      <c r="A160" s="148"/>
      <c r="B160" s="162"/>
      <c r="C160" s="148"/>
      <c r="D160" s="148"/>
      <c r="E160" s="148"/>
      <c r="F160" s="148"/>
      <c r="G160" s="148"/>
      <c r="H160" s="148"/>
      <c r="I160" s="148"/>
      <c r="J160" s="148"/>
      <c r="K160" s="148"/>
      <c r="L160" s="148"/>
      <c r="M160" s="148"/>
      <c r="N160" s="148"/>
      <c r="O160" s="148"/>
      <c r="P160" s="148"/>
      <c r="Q160" s="148"/>
      <c r="R160" s="148"/>
      <c r="S160" s="148"/>
      <c r="T160" s="148"/>
    </row>
    <row r="161" ht="15.75" customHeight="1">
      <c r="A161" s="148"/>
      <c r="B161" s="162"/>
      <c r="C161" s="148"/>
      <c r="D161" s="148"/>
      <c r="E161" s="148"/>
      <c r="F161" s="148"/>
      <c r="G161" s="148"/>
      <c r="H161" s="148"/>
      <c r="I161" s="148"/>
      <c r="J161" s="148"/>
      <c r="K161" s="148"/>
      <c r="L161" s="148"/>
      <c r="M161" s="148"/>
      <c r="N161" s="148"/>
      <c r="O161" s="148"/>
      <c r="P161" s="148"/>
      <c r="Q161" s="148"/>
      <c r="R161" s="148"/>
      <c r="S161" s="148"/>
      <c r="T161" s="148"/>
    </row>
    <row r="162" ht="15.75" customHeight="1">
      <c r="A162" s="148"/>
      <c r="B162" s="162"/>
      <c r="C162" s="148"/>
      <c r="D162" s="148"/>
      <c r="E162" s="148"/>
      <c r="F162" s="148"/>
      <c r="G162" s="148"/>
      <c r="H162" s="148"/>
      <c r="I162" s="148"/>
      <c r="J162" s="148"/>
      <c r="K162" s="148"/>
      <c r="L162" s="148"/>
      <c r="M162" s="148"/>
      <c r="N162" s="148"/>
      <c r="O162" s="148"/>
      <c r="P162" s="148"/>
      <c r="Q162" s="148"/>
      <c r="R162" s="148"/>
      <c r="S162" s="148"/>
      <c r="T162" s="148"/>
    </row>
    <row r="163" ht="15.75" customHeight="1">
      <c r="A163" s="148"/>
      <c r="B163" s="162"/>
      <c r="C163" s="148"/>
      <c r="D163" s="148"/>
      <c r="E163" s="148"/>
      <c r="F163" s="148"/>
      <c r="G163" s="148"/>
      <c r="H163" s="148"/>
      <c r="I163" s="148"/>
      <c r="J163" s="148"/>
      <c r="K163" s="148"/>
      <c r="L163" s="148"/>
      <c r="M163" s="148"/>
      <c r="N163" s="148"/>
      <c r="O163" s="148"/>
      <c r="P163" s="148"/>
      <c r="Q163" s="148"/>
      <c r="R163" s="148"/>
      <c r="S163" s="148"/>
      <c r="T163" s="148"/>
    </row>
    <row r="164" ht="15.75" customHeight="1">
      <c r="A164" s="148"/>
      <c r="B164" s="162"/>
      <c r="C164" s="148"/>
      <c r="D164" s="148"/>
      <c r="E164" s="148"/>
      <c r="F164" s="148"/>
      <c r="G164" s="148"/>
      <c r="H164" s="148"/>
      <c r="I164" s="148"/>
      <c r="J164" s="148"/>
      <c r="K164" s="148"/>
      <c r="L164" s="148"/>
      <c r="M164" s="148"/>
      <c r="N164" s="148"/>
      <c r="O164" s="148"/>
      <c r="P164" s="148"/>
      <c r="Q164" s="148"/>
      <c r="R164" s="148"/>
      <c r="S164" s="148"/>
      <c r="T164" s="148"/>
    </row>
    <row r="165" ht="15.75" customHeight="1">
      <c r="A165" s="148"/>
      <c r="B165" s="162"/>
      <c r="C165" s="148"/>
      <c r="D165" s="148"/>
      <c r="E165" s="148"/>
      <c r="F165" s="148"/>
      <c r="G165" s="148"/>
      <c r="H165" s="148"/>
      <c r="I165" s="148"/>
      <c r="J165" s="148"/>
      <c r="K165" s="148"/>
      <c r="L165" s="148"/>
      <c r="M165" s="148"/>
      <c r="N165" s="148"/>
      <c r="O165" s="148"/>
      <c r="P165" s="148"/>
      <c r="Q165" s="148"/>
      <c r="R165" s="148"/>
      <c r="S165" s="148"/>
      <c r="T165" s="148"/>
    </row>
    <row r="166" ht="15.75" customHeight="1">
      <c r="A166" s="148"/>
      <c r="B166" s="162"/>
      <c r="C166" s="148"/>
      <c r="D166" s="148"/>
      <c r="E166" s="148"/>
      <c r="F166" s="148"/>
      <c r="G166" s="148"/>
      <c r="H166" s="148"/>
      <c r="I166" s="148"/>
      <c r="J166" s="148"/>
      <c r="K166" s="148"/>
      <c r="L166" s="148"/>
      <c r="M166" s="148"/>
      <c r="N166" s="148"/>
      <c r="O166" s="148"/>
      <c r="P166" s="148"/>
      <c r="Q166" s="148"/>
      <c r="R166" s="148"/>
      <c r="S166" s="148"/>
      <c r="T166" s="148"/>
    </row>
    <row r="167" ht="15.75" customHeight="1">
      <c r="A167" s="148"/>
      <c r="B167" s="162"/>
      <c r="C167" s="148"/>
      <c r="D167" s="148"/>
      <c r="E167" s="148"/>
      <c r="F167" s="148"/>
      <c r="G167" s="148"/>
      <c r="H167" s="148"/>
      <c r="I167" s="148"/>
      <c r="J167" s="148"/>
      <c r="K167" s="148"/>
      <c r="L167" s="148"/>
      <c r="M167" s="148"/>
      <c r="N167" s="148"/>
      <c r="O167" s="148"/>
      <c r="P167" s="148"/>
      <c r="Q167" s="148"/>
      <c r="R167" s="148"/>
      <c r="S167" s="148"/>
      <c r="T167" s="148"/>
    </row>
    <row r="168" ht="15.75" customHeight="1">
      <c r="A168" s="148"/>
      <c r="B168" s="162"/>
      <c r="C168" s="148"/>
      <c r="D168" s="148"/>
      <c r="E168" s="148"/>
      <c r="F168" s="148"/>
      <c r="G168" s="148"/>
      <c r="H168" s="148"/>
      <c r="I168" s="148"/>
      <c r="J168" s="148"/>
      <c r="K168" s="148"/>
      <c r="L168" s="148"/>
      <c r="M168" s="148"/>
      <c r="N168" s="148"/>
      <c r="O168" s="148"/>
      <c r="P168" s="148"/>
      <c r="Q168" s="148"/>
      <c r="R168" s="148"/>
      <c r="S168" s="148"/>
      <c r="T168" s="148"/>
    </row>
    <row r="169" ht="15.75" customHeight="1">
      <c r="A169" s="148"/>
      <c r="B169" s="162"/>
      <c r="C169" s="148"/>
      <c r="D169" s="148"/>
      <c r="E169" s="148"/>
      <c r="F169" s="148"/>
      <c r="G169" s="148"/>
      <c r="H169" s="148"/>
      <c r="I169" s="148"/>
      <c r="J169" s="148"/>
      <c r="K169" s="148"/>
      <c r="L169" s="148"/>
      <c r="M169" s="148"/>
      <c r="N169" s="148"/>
      <c r="O169" s="148"/>
      <c r="P169" s="148"/>
      <c r="Q169" s="148"/>
      <c r="R169" s="148"/>
      <c r="S169" s="148"/>
      <c r="T169" s="148"/>
    </row>
    <row r="170" ht="15.75" customHeight="1">
      <c r="A170" s="148"/>
      <c r="B170" s="162"/>
      <c r="C170" s="148"/>
      <c r="D170" s="148"/>
      <c r="E170" s="148"/>
      <c r="F170" s="148"/>
      <c r="G170" s="148"/>
      <c r="H170" s="148"/>
      <c r="I170" s="148"/>
      <c r="J170" s="148"/>
      <c r="K170" s="148"/>
      <c r="L170" s="148"/>
      <c r="M170" s="148"/>
      <c r="N170" s="148"/>
      <c r="O170" s="148"/>
      <c r="P170" s="148"/>
      <c r="Q170" s="148"/>
      <c r="R170" s="148"/>
      <c r="S170" s="148"/>
      <c r="T170" s="148"/>
    </row>
    <row r="171" ht="15.75" customHeight="1">
      <c r="A171" s="148"/>
      <c r="B171" s="162"/>
      <c r="C171" s="148"/>
      <c r="D171" s="148"/>
      <c r="E171" s="148"/>
      <c r="F171" s="148"/>
      <c r="G171" s="148"/>
      <c r="H171" s="148"/>
      <c r="I171" s="148"/>
      <c r="J171" s="148"/>
      <c r="K171" s="148"/>
      <c r="L171" s="148"/>
      <c r="M171" s="148"/>
      <c r="N171" s="148"/>
      <c r="O171" s="148"/>
      <c r="P171" s="148"/>
      <c r="Q171" s="148"/>
      <c r="R171" s="148"/>
      <c r="S171" s="148"/>
      <c r="T171" s="148"/>
    </row>
    <row r="172" ht="15.75" customHeight="1">
      <c r="A172" s="148"/>
      <c r="B172" s="162"/>
      <c r="C172" s="148"/>
      <c r="D172" s="148"/>
      <c r="E172" s="148"/>
      <c r="F172" s="148"/>
      <c r="G172" s="148"/>
      <c r="H172" s="148"/>
      <c r="I172" s="148"/>
      <c r="J172" s="148"/>
      <c r="K172" s="148"/>
      <c r="L172" s="148"/>
      <c r="M172" s="148"/>
      <c r="N172" s="148"/>
      <c r="O172" s="148"/>
      <c r="P172" s="148"/>
      <c r="Q172" s="148"/>
      <c r="R172" s="148"/>
      <c r="S172" s="148"/>
      <c r="T172" s="148"/>
    </row>
    <row r="173" ht="15.75" customHeight="1">
      <c r="A173" s="148"/>
      <c r="B173" s="162"/>
      <c r="C173" s="148"/>
      <c r="D173" s="148"/>
      <c r="E173" s="148"/>
      <c r="F173" s="148"/>
      <c r="G173" s="148"/>
      <c r="H173" s="148"/>
      <c r="I173" s="148"/>
      <c r="J173" s="148"/>
      <c r="K173" s="148"/>
      <c r="L173" s="148"/>
      <c r="M173" s="148"/>
      <c r="N173" s="148"/>
      <c r="O173" s="148"/>
      <c r="P173" s="148"/>
      <c r="Q173" s="148"/>
      <c r="R173" s="148"/>
      <c r="S173" s="148"/>
      <c r="T173" s="148"/>
    </row>
    <row r="174" ht="15.75" customHeight="1">
      <c r="A174" s="148"/>
      <c r="B174" s="162"/>
      <c r="C174" s="148"/>
      <c r="D174" s="148"/>
      <c r="E174" s="148"/>
      <c r="F174" s="148"/>
      <c r="G174" s="148"/>
      <c r="H174" s="148"/>
      <c r="I174" s="148"/>
      <c r="J174" s="148"/>
      <c r="K174" s="148"/>
      <c r="L174" s="148"/>
      <c r="M174" s="148"/>
      <c r="N174" s="148"/>
      <c r="O174" s="148"/>
      <c r="P174" s="148"/>
      <c r="Q174" s="148"/>
      <c r="R174" s="148"/>
      <c r="S174" s="148"/>
      <c r="T174" s="148"/>
    </row>
    <row r="175" ht="15.75" customHeight="1">
      <c r="A175" s="148"/>
      <c r="B175" s="162"/>
      <c r="C175" s="148"/>
      <c r="D175" s="148"/>
      <c r="E175" s="148"/>
      <c r="F175" s="148"/>
      <c r="G175" s="148"/>
      <c r="H175" s="148"/>
      <c r="I175" s="148"/>
      <c r="J175" s="148"/>
      <c r="K175" s="148"/>
      <c r="L175" s="148"/>
      <c r="M175" s="148"/>
      <c r="N175" s="148"/>
      <c r="O175" s="148"/>
      <c r="P175" s="148"/>
      <c r="Q175" s="148"/>
      <c r="R175" s="148"/>
      <c r="S175" s="148"/>
      <c r="T175" s="148"/>
    </row>
    <row r="176" ht="15.75" customHeight="1">
      <c r="A176" s="148"/>
      <c r="B176" s="162"/>
      <c r="C176" s="148"/>
      <c r="D176" s="148"/>
      <c r="E176" s="148"/>
      <c r="F176" s="148"/>
      <c r="G176" s="148"/>
      <c r="H176" s="148"/>
      <c r="I176" s="148"/>
      <c r="J176" s="148"/>
      <c r="K176" s="148"/>
      <c r="L176" s="148"/>
      <c r="M176" s="148"/>
      <c r="N176" s="148"/>
      <c r="O176" s="148"/>
      <c r="P176" s="148"/>
      <c r="Q176" s="148"/>
      <c r="R176" s="148"/>
      <c r="S176" s="148"/>
      <c r="T176" s="148"/>
    </row>
    <row r="177" ht="15.75" customHeight="1">
      <c r="A177" s="148"/>
      <c r="B177" s="162"/>
      <c r="C177" s="148"/>
      <c r="D177" s="148"/>
      <c r="E177" s="148"/>
      <c r="F177" s="148"/>
      <c r="G177" s="148"/>
      <c r="H177" s="148"/>
      <c r="I177" s="148"/>
      <c r="J177" s="148"/>
      <c r="K177" s="148"/>
      <c r="L177" s="148"/>
      <c r="M177" s="148"/>
      <c r="N177" s="148"/>
      <c r="O177" s="148"/>
      <c r="P177" s="148"/>
      <c r="Q177" s="148"/>
      <c r="R177" s="148"/>
      <c r="S177" s="148"/>
      <c r="T177" s="148"/>
    </row>
    <row r="178" ht="15.75" customHeight="1">
      <c r="A178" s="148"/>
      <c r="B178" s="162"/>
      <c r="C178" s="148"/>
      <c r="D178" s="148"/>
      <c r="E178" s="148"/>
      <c r="F178" s="148"/>
      <c r="G178" s="148"/>
      <c r="H178" s="148"/>
      <c r="I178" s="148"/>
      <c r="J178" s="148"/>
      <c r="K178" s="148"/>
      <c r="L178" s="148"/>
      <c r="M178" s="148"/>
      <c r="N178" s="148"/>
      <c r="O178" s="148"/>
      <c r="P178" s="148"/>
      <c r="Q178" s="148"/>
      <c r="R178" s="148"/>
      <c r="S178" s="148"/>
      <c r="T178" s="148"/>
    </row>
    <row r="179" ht="15.75" customHeight="1">
      <c r="A179" s="148"/>
      <c r="B179" s="162"/>
      <c r="C179" s="148"/>
      <c r="D179" s="148"/>
      <c r="E179" s="148"/>
      <c r="F179" s="148"/>
      <c r="G179" s="148"/>
      <c r="H179" s="148"/>
      <c r="I179" s="148"/>
      <c r="J179" s="148"/>
      <c r="K179" s="148"/>
      <c r="L179" s="148"/>
      <c r="M179" s="148"/>
      <c r="N179" s="148"/>
      <c r="O179" s="148"/>
      <c r="P179" s="148"/>
      <c r="Q179" s="148"/>
      <c r="R179" s="148"/>
      <c r="S179" s="148"/>
      <c r="T179" s="148"/>
    </row>
    <row r="180" ht="15.75" customHeight="1">
      <c r="A180" s="148"/>
      <c r="B180" s="162"/>
      <c r="C180" s="148"/>
      <c r="D180" s="148"/>
      <c r="E180" s="148"/>
      <c r="F180" s="148"/>
      <c r="G180" s="148"/>
      <c r="H180" s="148"/>
      <c r="I180" s="148"/>
      <c r="J180" s="148"/>
      <c r="K180" s="148"/>
      <c r="L180" s="148"/>
      <c r="M180" s="148"/>
      <c r="N180" s="148"/>
      <c r="O180" s="148"/>
      <c r="P180" s="148"/>
      <c r="Q180" s="148"/>
      <c r="R180" s="148"/>
      <c r="S180" s="148"/>
      <c r="T180" s="148"/>
    </row>
    <row r="181" ht="15.75" customHeight="1">
      <c r="A181" s="148"/>
      <c r="B181" s="162"/>
      <c r="C181" s="148"/>
      <c r="D181" s="148"/>
      <c r="E181" s="148"/>
      <c r="F181" s="148"/>
      <c r="G181" s="148"/>
      <c r="H181" s="148"/>
      <c r="I181" s="148"/>
      <c r="J181" s="148"/>
      <c r="K181" s="148"/>
      <c r="L181" s="148"/>
      <c r="M181" s="148"/>
      <c r="N181" s="148"/>
      <c r="O181" s="148"/>
      <c r="P181" s="148"/>
      <c r="Q181" s="148"/>
      <c r="R181" s="148"/>
      <c r="S181" s="148"/>
      <c r="T181" s="148"/>
    </row>
    <row r="182" ht="15.75" customHeight="1">
      <c r="A182" s="148"/>
      <c r="B182" s="162"/>
      <c r="C182" s="148"/>
      <c r="D182" s="148"/>
      <c r="E182" s="148"/>
      <c r="F182" s="148"/>
      <c r="G182" s="148"/>
      <c r="H182" s="148"/>
      <c r="I182" s="148"/>
      <c r="J182" s="148"/>
      <c r="K182" s="148"/>
      <c r="L182" s="148"/>
      <c r="M182" s="148"/>
      <c r="N182" s="148"/>
      <c r="O182" s="148"/>
      <c r="P182" s="148"/>
      <c r="Q182" s="148"/>
      <c r="R182" s="148"/>
      <c r="S182" s="148"/>
      <c r="T182" s="148"/>
    </row>
    <row r="183" ht="15.75" customHeight="1">
      <c r="A183" s="148"/>
      <c r="B183" s="162"/>
      <c r="C183" s="148"/>
      <c r="D183" s="148"/>
      <c r="E183" s="148"/>
      <c r="F183" s="148"/>
      <c r="G183" s="148"/>
      <c r="H183" s="148"/>
      <c r="I183" s="148"/>
      <c r="J183" s="148"/>
      <c r="K183" s="148"/>
      <c r="L183" s="148"/>
      <c r="M183" s="148"/>
      <c r="N183" s="148"/>
      <c r="O183" s="148"/>
      <c r="P183" s="148"/>
      <c r="Q183" s="148"/>
      <c r="R183" s="148"/>
      <c r="S183" s="148"/>
      <c r="T183" s="148"/>
    </row>
    <row r="184" ht="15.75" customHeight="1">
      <c r="A184" s="148"/>
      <c r="B184" s="162"/>
      <c r="C184" s="148"/>
      <c r="D184" s="148"/>
      <c r="E184" s="148"/>
      <c r="F184" s="148"/>
      <c r="G184" s="148"/>
      <c r="H184" s="148"/>
      <c r="I184" s="148"/>
      <c r="J184" s="148"/>
      <c r="K184" s="148"/>
      <c r="L184" s="148"/>
      <c r="M184" s="148"/>
      <c r="N184" s="148"/>
      <c r="O184" s="148"/>
      <c r="P184" s="148"/>
      <c r="Q184" s="148"/>
      <c r="R184" s="148"/>
      <c r="S184" s="148"/>
      <c r="T184" s="148"/>
    </row>
    <row r="185" ht="15.75" customHeight="1">
      <c r="A185" s="148"/>
      <c r="B185" s="162"/>
      <c r="C185" s="148"/>
      <c r="D185" s="148"/>
      <c r="E185" s="148"/>
      <c r="F185" s="148"/>
      <c r="G185" s="148"/>
      <c r="H185" s="148"/>
      <c r="I185" s="148"/>
      <c r="J185" s="148"/>
      <c r="K185" s="148"/>
      <c r="L185" s="148"/>
      <c r="M185" s="148"/>
      <c r="N185" s="148"/>
      <c r="O185" s="148"/>
      <c r="P185" s="148"/>
      <c r="Q185" s="148"/>
      <c r="R185" s="148"/>
      <c r="S185" s="148"/>
      <c r="T185" s="148"/>
    </row>
    <row r="186" ht="15.75" customHeight="1">
      <c r="A186" s="148"/>
      <c r="B186" s="162"/>
      <c r="C186" s="148"/>
      <c r="D186" s="148"/>
      <c r="E186" s="148"/>
      <c r="F186" s="148"/>
      <c r="G186" s="148"/>
      <c r="H186" s="148"/>
      <c r="I186" s="148"/>
      <c r="J186" s="148"/>
      <c r="K186" s="148"/>
      <c r="L186" s="148"/>
      <c r="M186" s="148"/>
      <c r="N186" s="148"/>
      <c r="O186" s="148"/>
      <c r="P186" s="148"/>
      <c r="Q186" s="148"/>
      <c r="R186" s="148"/>
      <c r="S186" s="148"/>
      <c r="T186" s="148"/>
    </row>
    <row r="187" ht="15.75" customHeight="1">
      <c r="A187" s="148"/>
      <c r="B187" s="162"/>
      <c r="C187" s="148"/>
      <c r="D187" s="148"/>
      <c r="E187" s="148"/>
      <c r="F187" s="148"/>
      <c r="G187" s="148"/>
      <c r="H187" s="148"/>
      <c r="I187" s="148"/>
      <c r="J187" s="148"/>
      <c r="K187" s="148"/>
      <c r="L187" s="148"/>
      <c r="M187" s="148"/>
      <c r="N187" s="148"/>
      <c r="O187" s="148"/>
      <c r="P187" s="148"/>
      <c r="Q187" s="148"/>
      <c r="R187" s="148"/>
      <c r="S187" s="148"/>
      <c r="T187" s="148"/>
    </row>
    <row r="188" ht="15.75" customHeight="1">
      <c r="A188" s="148"/>
      <c r="B188" s="162"/>
      <c r="C188" s="148"/>
      <c r="D188" s="148"/>
      <c r="E188" s="148"/>
      <c r="F188" s="148"/>
      <c r="G188" s="148"/>
      <c r="H188" s="148"/>
      <c r="I188" s="148"/>
      <c r="J188" s="148"/>
      <c r="K188" s="148"/>
      <c r="L188" s="148"/>
      <c r="M188" s="148"/>
      <c r="N188" s="148"/>
      <c r="O188" s="148"/>
      <c r="P188" s="148"/>
      <c r="Q188" s="148"/>
      <c r="R188" s="148"/>
      <c r="S188" s="148"/>
      <c r="T188" s="148"/>
    </row>
    <row r="189" ht="15.75" customHeight="1">
      <c r="A189" s="148"/>
      <c r="B189" s="162"/>
      <c r="C189" s="148"/>
      <c r="D189" s="148"/>
      <c r="E189" s="148"/>
      <c r="F189" s="148"/>
      <c r="G189" s="148"/>
      <c r="H189" s="148"/>
      <c r="I189" s="148"/>
      <c r="J189" s="148"/>
      <c r="K189" s="148"/>
      <c r="L189" s="148"/>
      <c r="M189" s="148"/>
      <c r="N189" s="148"/>
      <c r="O189" s="148"/>
      <c r="P189" s="148"/>
      <c r="Q189" s="148"/>
      <c r="R189" s="148"/>
      <c r="S189" s="148"/>
      <c r="T189" s="148"/>
    </row>
    <row r="190" ht="15.75" customHeight="1">
      <c r="A190" s="148"/>
      <c r="B190" s="162"/>
      <c r="C190" s="148"/>
      <c r="D190" s="148"/>
      <c r="E190" s="148"/>
      <c r="F190" s="148"/>
      <c r="G190" s="148"/>
      <c r="H190" s="148"/>
      <c r="I190" s="148"/>
      <c r="J190" s="148"/>
      <c r="K190" s="148"/>
      <c r="L190" s="148"/>
      <c r="M190" s="148"/>
      <c r="N190" s="148"/>
      <c r="O190" s="148"/>
      <c r="P190" s="148"/>
      <c r="Q190" s="148"/>
      <c r="R190" s="148"/>
      <c r="S190" s="148"/>
      <c r="T190" s="148"/>
    </row>
    <row r="191" ht="15.75" customHeight="1">
      <c r="A191" s="148"/>
      <c r="B191" s="162"/>
      <c r="C191" s="148"/>
      <c r="D191" s="148"/>
      <c r="E191" s="148"/>
      <c r="F191" s="148"/>
      <c r="G191" s="148"/>
      <c r="H191" s="148"/>
      <c r="I191" s="148"/>
      <c r="J191" s="148"/>
      <c r="K191" s="148"/>
      <c r="L191" s="148"/>
      <c r="M191" s="148"/>
      <c r="N191" s="148"/>
      <c r="O191" s="148"/>
      <c r="P191" s="148"/>
      <c r="Q191" s="148"/>
      <c r="R191" s="148"/>
      <c r="S191" s="148"/>
      <c r="T191" s="148"/>
    </row>
    <row r="192" ht="15.75" customHeight="1">
      <c r="A192" s="148"/>
      <c r="B192" s="162"/>
      <c r="C192" s="148"/>
      <c r="D192" s="148"/>
      <c r="E192" s="148"/>
      <c r="F192" s="148"/>
      <c r="G192" s="148"/>
      <c r="H192" s="148"/>
      <c r="I192" s="148"/>
      <c r="J192" s="148"/>
      <c r="K192" s="148"/>
      <c r="L192" s="148"/>
      <c r="M192" s="148"/>
      <c r="N192" s="148"/>
      <c r="O192" s="148"/>
      <c r="P192" s="148"/>
      <c r="Q192" s="148"/>
      <c r="R192" s="148"/>
      <c r="S192" s="148"/>
      <c r="T192" s="148"/>
    </row>
    <row r="193" ht="15.75" customHeight="1">
      <c r="A193" s="148"/>
      <c r="B193" s="162"/>
      <c r="C193" s="148"/>
      <c r="D193" s="148"/>
      <c r="E193" s="148"/>
      <c r="F193" s="148"/>
      <c r="G193" s="148"/>
      <c r="H193" s="148"/>
      <c r="I193" s="148"/>
      <c r="J193" s="148"/>
      <c r="K193" s="148"/>
      <c r="L193" s="148"/>
      <c r="M193" s="148"/>
      <c r="N193" s="148"/>
      <c r="O193" s="148"/>
      <c r="P193" s="148"/>
      <c r="Q193" s="148"/>
      <c r="R193" s="148"/>
      <c r="S193" s="148"/>
      <c r="T193" s="148"/>
    </row>
    <row r="194" ht="15.75" customHeight="1">
      <c r="A194" s="148"/>
      <c r="B194" s="162"/>
      <c r="C194" s="148"/>
      <c r="D194" s="148"/>
      <c r="E194" s="148"/>
      <c r="F194" s="148"/>
      <c r="G194" s="148"/>
      <c r="H194" s="148"/>
      <c r="I194" s="148"/>
      <c r="J194" s="148"/>
      <c r="K194" s="148"/>
      <c r="L194" s="148"/>
      <c r="M194" s="148"/>
      <c r="N194" s="148"/>
      <c r="O194" s="148"/>
      <c r="P194" s="148"/>
      <c r="Q194" s="148"/>
      <c r="R194" s="148"/>
      <c r="S194" s="148"/>
      <c r="T194" s="148"/>
    </row>
    <row r="195" ht="15.75" customHeight="1">
      <c r="A195" s="148"/>
      <c r="B195" s="162"/>
      <c r="C195" s="148"/>
      <c r="D195" s="148"/>
      <c r="E195" s="148"/>
      <c r="F195" s="148"/>
      <c r="G195" s="148"/>
      <c r="H195" s="148"/>
      <c r="I195" s="148"/>
      <c r="J195" s="148"/>
      <c r="K195" s="148"/>
      <c r="L195" s="148"/>
      <c r="M195" s="148"/>
      <c r="N195" s="148"/>
      <c r="O195" s="148"/>
      <c r="P195" s="148"/>
      <c r="Q195" s="148"/>
      <c r="R195" s="148"/>
      <c r="S195" s="148"/>
      <c r="T195" s="148"/>
    </row>
    <row r="196" ht="15.75" customHeight="1">
      <c r="A196" s="148"/>
      <c r="B196" s="162"/>
      <c r="C196" s="148"/>
      <c r="D196" s="148"/>
      <c r="E196" s="148"/>
      <c r="F196" s="148"/>
      <c r="G196" s="148"/>
      <c r="H196" s="148"/>
      <c r="I196" s="148"/>
      <c r="J196" s="148"/>
      <c r="K196" s="148"/>
      <c r="L196" s="148"/>
      <c r="M196" s="148"/>
      <c r="N196" s="148"/>
      <c r="O196" s="148"/>
      <c r="P196" s="148"/>
      <c r="Q196" s="148"/>
      <c r="R196" s="148"/>
      <c r="S196" s="148"/>
      <c r="T196" s="148"/>
    </row>
    <row r="197" ht="15.75" customHeight="1">
      <c r="A197" s="148"/>
      <c r="B197" s="162"/>
      <c r="C197" s="148"/>
      <c r="D197" s="148"/>
      <c r="E197" s="148"/>
      <c r="F197" s="148"/>
      <c r="G197" s="148"/>
      <c r="H197" s="148"/>
      <c r="I197" s="148"/>
      <c r="J197" s="148"/>
      <c r="K197" s="148"/>
      <c r="L197" s="148"/>
      <c r="M197" s="148"/>
      <c r="N197" s="148"/>
      <c r="O197" s="148"/>
      <c r="P197" s="148"/>
      <c r="Q197" s="148"/>
      <c r="R197" s="148"/>
      <c r="S197" s="148"/>
      <c r="T197" s="148"/>
    </row>
    <row r="198" ht="15.75" customHeight="1">
      <c r="A198" s="148"/>
      <c r="B198" s="162"/>
      <c r="C198" s="148"/>
      <c r="D198" s="148"/>
      <c r="E198" s="148"/>
      <c r="F198" s="148"/>
      <c r="G198" s="148"/>
      <c r="H198" s="148"/>
      <c r="I198" s="148"/>
      <c r="J198" s="148"/>
      <c r="K198" s="148"/>
      <c r="L198" s="148"/>
      <c r="M198" s="148"/>
      <c r="N198" s="148"/>
      <c r="O198" s="148"/>
      <c r="P198" s="148"/>
      <c r="Q198" s="148"/>
      <c r="R198" s="148"/>
      <c r="S198" s="148"/>
      <c r="T198" s="148"/>
    </row>
    <row r="199" ht="15.75" customHeight="1">
      <c r="A199" s="148"/>
      <c r="B199" s="162"/>
      <c r="C199" s="148"/>
      <c r="D199" s="148"/>
      <c r="E199" s="148"/>
      <c r="F199" s="148"/>
      <c r="G199" s="148"/>
      <c r="H199" s="148"/>
      <c r="I199" s="148"/>
      <c r="J199" s="148"/>
      <c r="K199" s="148"/>
      <c r="L199" s="148"/>
      <c r="M199" s="148"/>
      <c r="N199" s="148"/>
      <c r="O199" s="148"/>
      <c r="P199" s="148"/>
      <c r="Q199" s="148"/>
      <c r="R199" s="148"/>
      <c r="S199" s="148"/>
      <c r="T199" s="148"/>
    </row>
    <row r="200" ht="15.75" customHeight="1">
      <c r="A200" s="148"/>
      <c r="B200" s="162"/>
      <c r="C200" s="148"/>
      <c r="D200" s="148"/>
      <c r="E200" s="148"/>
      <c r="F200" s="148"/>
      <c r="G200" s="148"/>
      <c r="H200" s="148"/>
      <c r="I200" s="148"/>
      <c r="J200" s="148"/>
      <c r="K200" s="148"/>
      <c r="L200" s="148"/>
      <c r="M200" s="148"/>
      <c r="N200" s="148"/>
      <c r="O200" s="148"/>
      <c r="P200" s="148"/>
      <c r="Q200" s="148"/>
      <c r="R200" s="148"/>
      <c r="S200" s="148"/>
      <c r="T200" s="148"/>
    </row>
    <row r="201" ht="15.75" customHeight="1">
      <c r="A201" s="148"/>
      <c r="B201" s="162"/>
      <c r="C201" s="148"/>
      <c r="D201" s="148"/>
      <c r="E201" s="148"/>
      <c r="F201" s="148"/>
      <c r="G201" s="148"/>
      <c r="H201" s="148"/>
      <c r="I201" s="148"/>
      <c r="J201" s="148"/>
      <c r="K201" s="148"/>
      <c r="L201" s="148"/>
      <c r="M201" s="148"/>
      <c r="N201" s="148"/>
      <c r="O201" s="148"/>
      <c r="P201" s="148"/>
      <c r="Q201" s="148"/>
      <c r="R201" s="148"/>
      <c r="S201" s="148"/>
      <c r="T201" s="148"/>
    </row>
    <row r="202" ht="15.75" customHeight="1">
      <c r="A202" s="148"/>
      <c r="B202" s="162"/>
      <c r="C202" s="148"/>
      <c r="D202" s="148"/>
      <c r="E202" s="148"/>
      <c r="F202" s="148"/>
      <c r="G202" s="148"/>
      <c r="H202" s="148"/>
      <c r="I202" s="148"/>
      <c r="J202" s="148"/>
      <c r="K202" s="148"/>
      <c r="L202" s="148"/>
      <c r="M202" s="148"/>
      <c r="N202" s="148"/>
      <c r="O202" s="148"/>
      <c r="P202" s="148"/>
      <c r="Q202" s="148"/>
      <c r="R202" s="148"/>
      <c r="S202" s="148"/>
      <c r="T202" s="148"/>
    </row>
    <row r="203" ht="15.75" customHeight="1">
      <c r="A203" s="148"/>
      <c r="B203" s="162"/>
      <c r="C203" s="148"/>
      <c r="D203" s="148"/>
      <c r="E203" s="148"/>
      <c r="F203" s="148"/>
      <c r="G203" s="148"/>
      <c r="H203" s="148"/>
      <c r="I203" s="148"/>
      <c r="J203" s="148"/>
      <c r="K203" s="148"/>
      <c r="L203" s="148"/>
      <c r="M203" s="148"/>
      <c r="N203" s="148"/>
      <c r="O203" s="148"/>
      <c r="P203" s="148"/>
      <c r="Q203" s="148"/>
      <c r="R203" s="148"/>
      <c r="S203" s="148"/>
      <c r="T203" s="148"/>
    </row>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2024-08-09T15:33:55Z</dcterms:created>
  <dc:creator>Swetha N</dc:creator>
</cp:coreProperties>
</file>